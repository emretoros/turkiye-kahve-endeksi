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9565fc041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iş Ürün Endeksi" sheetId="1" r:id="Rffcaa9f7065b4bfb"/>
    <x:sheet xmlns:r="http://schemas.openxmlformats.org/officeDocument/2006/relationships" name="İşletme Kapsamı" sheetId="2" r:id="R78f633d4bd024a48"/>
    <x:sheet xmlns:r="http://schemas.openxmlformats.org/officeDocument/2006/relationships" name="Eksik Veri Kuyruğu" sheetId="3" r:id="Rfe4735572b854804"/>
    <x:sheet xmlns:r="http://schemas.openxmlformats.org/officeDocument/2006/relationships" name="Menşe Özeti" sheetId="4" r:id="Re95d22d912d845a6"/>
    <x:sheet xmlns:r="http://schemas.openxmlformats.org/officeDocument/2006/relationships" name="Özet" sheetId="5" r:id="Rc3d8af63ab58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 &quot;TL&quot;"/>
    <x:numFmt numFmtId="202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900"/>
      <x:name val="Carlito"/>
    </x:font>
    <x:font>
      <x:b/>
      <x:sz val="11"/>
      <x:color rgb="FFFFFFFF"/>
      <x:name val="Carlito"/>
    </x:font>
    <x:font>
      <x:sz val="9"/>
      <x:name val="Carlito"/>
    </x:font>
    <x:font>
      <x:i/>
      <x:sz val="11"/>
      <x:color rgb="FF8B1E1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32116"/>
      </x:patternFill>
    </x:fill>
    <x:fill>
      <x:patternFill patternType="solid">
        <x:fgColor rgb="FFFFF0C7"/>
      </x:patternFill>
    </x:fill>
    <x:fill>
      <x:patternFill patternType="solid">
        <x:fgColor rgb="FF2E6F73"/>
      </x:patternFill>
    </x:fill>
    <x:fill>
      <x:patternFill patternType="solid">
        <x:fgColor rgb="FF8B5E3C"/>
      </x:patternFill>
    </x:fill>
    <x:fill>
      <x:patternFill patternType="solid">
        <x:fgColor rgb="FFFCE8E6"/>
      </x:patternFill>
    </x:fill>
    <x:fill>
      <x:patternFill patternType="solid">
        <x:fgColor rgb="FF8B3A3A"/>
      </x:patternFill>
    </x:fill>
    <x:fill>
      <x:patternFill patternType="solid">
        <x:fgColor rgb="FF3D6B4F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61bb0652046fb" /><Relationship Type="http://schemas.openxmlformats.org/officeDocument/2006/relationships/theme" Target="/xl/theme/theme1.xml" Id="Rf798074d6dc34007" /><Relationship Type="http://schemas.openxmlformats.org/officeDocument/2006/relationships/sharedStrings" Target="/xl/sharedStrings.xml" Id="R4d82c4186aff433d" /><Relationship Type="http://schemas.openxmlformats.org/officeDocument/2006/relationships/worksheet" Target="/xl/worksheets/sheet1.xml" Id="Rffcaa9f7065b4bfb" /><Relationship Type="http://schemas.openxmlformats.org/officeDocument/2006/relationships/worksheet" Target="/xl/worksheets/sheet2.xml" Id="R78f633d4bd024a48" /><Relationship Type="http://schemas.openxmlformats.org/officeDocument/2006/relationships/worksheet" Target="/xl/worksheets/sheet3.xml" Id="Rfe4735572b854804" /><Relationship Type="http://schemas.openxmlformats.org/officeDocument/2006/relationships/worksheet" Target="/xl/worksheets/sheet4.xml" Id="Re95d22d912d845a6" /><Relationship Type="http://schemas.openxmlformats.org/officeDocument/2006/relationships/worksheet" Target="/xl/worksheets/sheet5.xml" Id="Rc3d8af63ab584fcc" /></Relationships>
</file>

<file path=xl/tables/table1.xml><?xml version="1.0" encoding="utf-8"?>
<x:table xmlns:x="http://schemas.openxmlformats.org/spreadsheetml/2006/main" id="1" name="UnfilteredCoffeeIndex" displayName="UnfilteredCoffeeIndex" ref="A3:R1714" headerRowCount="1" totalsRowCount="0" totalsRowShown="0">
  <x:tableColumns count="18">
    <x:tableColumn id="1" name="İşletme"/>
    <x:tableColumn id="2" name="Şehir"/>
    <x:tableColumn id="3" name="İşletme doğrulaması"/>
    <x:tableColumn id="4" name="Kayıt türü"/>
    <x:tableColumn id="5" name="Ürün / katalog kaydı"/>
    <x:tableColumn id="6" name="Menşe"/>
    <x:tableColumn id="7" name="Gramaj (g)"/>
    <x:tableColumn id="8" name="Gramaj durumu"/>
    <x:tableColumn id="9" name="Fiyat (TL)"/>
    <x:tableColumn id="10" name="Fiyat durumu"/>
    <x:tableColumn id="11" name="TL/kg"/>
    <x:tableColumn id="12" name="Stok"/>
    <x:tableColumn id="13" name="Ürün türü"/>
    <x:tableColumn id="14" name="Kaynak yöntemi"/>
    <x:tableColumn id="15" name="Ürün güveni"/>
    <x:tableColumn id="16" name="Kontrol tarihi"/>
    <x:tableColumn id="17" name="Ürün / mağaza bağlantısı"/>
    <x:tableColumn id="18" name="N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filteredBusinessCoverage" displayName="UnfilteredBusinessCoverage" ref="A3:H154" headerRowCount="1" totalsRowCount="0" totalsRowShown="0">
  <x:tableColumns count="8">
    <x:tableColumn id="1" name="İşletme"/>
    <x:tableColumn id="2" name="Doğrulama"/>
    <x:tableColumn id="3" name="Toplam satır"/>
    <x:tableColumn id="4" name="Adlandırılmış ürün"/>
    <x:tableColumn id="5" name="Katalog takip satırı"/>
    <x:tableColumn id="6" name="Fiyatlı satır"/>
    <x:tableColumn id="7" name="Gramajlı satır"/>
    <x:tableColumn id="8" name="İnceleme sonucu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MissingDataQueue" displayName="MissingDataQueue" ref="A3:J1057" headerRowCount="1" totalsRowCount="0" totalsRowShown="0">
  <x:tableColumns count="10">
    <x:tableColumn id="1" name="İşletme"/>
    <x:tableColumn id="2" name="Kayıt türü"/>
    <x:tableColumn id="3" name="Ürün/katalog"/>
    <x:tableColumn id="4" name="Menşe"/>
    <x:tableColumn id="5" name="Gramaj"/>
    <x:tableColumn id="6" name="Fiyat"/>
    <x:tableColumn id="7" name="Eksik alan"/>
    <x:tableColumn id="8" name="Kaynak yöntemi"/>
    <x:tableColumn id="9" name="Bağlantı"/>
    <x:tableColumn id="10" name="Not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UnfilteredOriginSummary" displayName="UnfilteredOriginSummary" ref="A3:E68" headerRowCount="1" totalsRowCount="0" totalsRowShown="0">
  <x:tableColumns count="5">
    <x:tableColumn id="1" name="Menşe"/>
    <x:tableColumn id="2" name="Ürün-varyant"/>
    <x:tableColumn id="3" name="Fiyatı erişilen"/>
    <x:tableColumn id="4" name="Gramajı erişilen"/>
    <x:tableColumn id="5" name="TL/kg hesaplanabile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aac06d46aa43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337e27361544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ec6f60e37345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b3116344da341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1" hidden="0" customWidth="1"/>
    <x:col min="4" max="4" width="20" hidden="0" customWidth="1"/>
    <x:col min="5" max="5" width="38" hidden="0" customWidth="1"/>
    <x:col min="6" max="6" width="26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13" hidden="0" customWidth="1"/>
    <x:col min="13" max="13" width="20" hidden="0" customWidth="1"/>
    <x:col min="14" max="14" width="27" hidden="0" customWidth="1"/>
    <x:col min="15" max="15" width="15" hidden="0" customWidth="1"/>
    <x:col min="16" max="16" width="15" hidden="0" customWidth="1"/>
    <x:col min="17" max="17" width="50" hidden="0" customWidth="1"/>
    <x:col min="18" max="18" width="48" hidden="0" customWidth="1"/>
  </x:cols>
  <x:sheetData>
    <x:row r="1">
      <x:c r="A1" s="5" t="str">
        <x:v>Türkiye Kahve Ürün Endeksi — Filtresiz 151 İşletme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8" t="str">
        <x:v>Fiyat ve gramaj eksikliği kayıt dışlama nedeni değildir. Erişilemeyen alanlar açıkça işaretlenmiş, ürün/mağaza/Instagram bağlantısı manuel inceleme için korunmuştur.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>
      <x:c r="A3" s="11" t="str">
        <x:v>İşletme</x:v>
      </x:c>
      <x:c r="B3" s="11" t="str">
        <x:v>Şehir</x:v>
      </x:c>
      <x:c r="C3" s="11" t="str">
        <x:v>İşletme doğrulaması</x:v>
      </x:c>
      <x:c r="D3" s="11" t="str">
        <x:v>Kayıt türü</x:v>
      </x:c>
      <x:c r="E3" s="11" t="str">
        <x:v>Ürün / katalog kaydı</x:v>
      </x:c>
      <x:c r="F3" s="11" t="str">
        <x:v>Menşe</x:v>
      </x:c>
      <x:c r="G3" s="11" t="str">
        <x:v>Gramaj (g)</x:v>
      </x:c>
      <x:c r="H3" s="11" t="str">
        <x:v>Gramaj durumu</x:v>
      </x:c>
      <x:c r="I3" s="11" t="str">
        <x:v>Fiyat (TL)</x:v>
      </x:c>
      <x:c r="J3" s="11" t="str">
        <x:v>Fiyat durumu</x:v>
      </x:c>
      <x:c r="K3" s="11" t="str">
        <x:v>TL/kg</x:v>
      </x:c>
      <x:c r="L3" s="11" t="str">
        <x:v>Stok</x:v>
      </x:c>
      <x:c r="M3" s="11" t="str">
        <x:v>Ürün türü</x:v>
      </x:c>
      <x:c r="N3" s="11" t="str">
        <x:v>Kaynak yöntemi</x:v>
      </x:c>
      <x:c r="O3" s="11" t="str">
        <x:v>Ürün güveni</x:v>
      </x:c>
      <x:c r="P3" s="11" t="str">
        <x:v>Kontrol tarihi</x:v>
      </x:c>
      <x:c r="Q3" s="11" t="str">
        <x:v>Ürün / mağaza bağlantısı</x:v>
      </x:c>
      <x:c r="R3" s="11" t="str">
        <x:v>Not</x:v>
      </x:c>
    </x:row>
    <x:row r="4" ht="40" customHeight="1">
      <x:c r="A4" s="16" t="str">
        <x:v>1978 Coffee Roastery</x:v>
      </x:c>
      <x:c r="B4" s="16" t="str"/>
      <x:c r="C4" s="16" t="str">
        <x:v>Doğrulandı</x:v>
      </x:c>
      <x:c r="D4" s="16" t="str">
        <x:v>Ürün kaydı</x:v>
      </x:c>
      <x:c r="E4" s="16" t="str">
        <x:v>78 Tanışma Paketi</x:v>
      </x:c>
      <x:c r="F4" s="16" t="str">
        <x:v>Brezilya</x:v>
      </x:c>
      <x:c r="G4" s="17" t="str">
        <x:v>Erişilemedi</x:v>
      </x:c>
      <x:c r="H4" s="16" t="str">
        <x:v>Erişilemedi</x:v>
      </x:c>
      <x:c r="I4" s="18" t="n">
        <x:v>1000</x:v>
      </x:c>
      <x:c r="J4" s="18" t="str">
        <x:v>Erişildi</x:v>
      </x:c>
      <x:c r="K4" s="18" t="str">
        <x:f>IF(AND(ISNUMBER(G4),ISNUMBER(I4)),I4/G4*1000,"Erişilemedi")</x:f>
        <x:v>Erişilemedi</x:v>
      </x:c>
      <x:c r="L4" s="16" t="str">
        <x:v>Belirsiz</x:v>
      </x:c>
      <x:c r="M4" s="16" t="str">
        <x:v>Kahve ürünü</x:v>
      </x:c>
      <x:c r="N4" s="16" t="str">
        <x:v>Site haritası ürün sayfası</x:v>
      </x:c>
      <x:c r="O4" s="16" t="str">
        <x:v>Düşük</x:v>
      </x:c>
      <x:c r="P4" s="19" t="n">
        <x:v>46245</x:v>
      </x:c>
      <x:c r="Q4" s="20" t="str">
        <x:v>https://1978coffee.com/78-tanisma-paketi</x:v>
      </x:c>
      <x:c r="R4" s="20" t="str">
        <x:v>Ürün kimliği korundu; eksik alanlar erişilemedi olarak işaretlenecek.</x:v>
      </x:c>
    </x:row>
    <x:row r="5" ht="40" customHeight="1">
      <x:c r="A5" s="16" t="str">
        <x:v>1978 Coffee Roastery</x:v>
      </x:c>
      <x:c r="B5" s="16" t="str"/>
      <x:c r="C5" s="16" t="str">
        <x:v>Doğrulandı</x:v>
      </x:c>
      <x:c r="D5" s="16" t="str">
        <x:v>Ürün kaydı</x:v>
      </x:c>
      <x:c r="E5" s="16" t="str">
        <x:v>Brazil Mogiana ( 1 Kg )</x:v>
      </x:c>
      <x:c r="F5" s="16" t="str">
        <x:v>Brezilya</x:v>
      </x:c>
      <x:c r="G5" s="17" t="n">
        <x:v>1000</x:v>
      </x:c>
      <x:c r="H5" s="16" t="str">
        <x:v>Erişildi</x:v>
      </x:c>
      <x:c r="I5" s="18" t="n">
        <x:v>1950</x:v>
      </x:c>
      <x:c r="J5" s="18" t="str">
        <x:v>Erişildi</x:v>
      </x:c>
      <x:c r="K5" s="18" t="n">
        <x:f>IF(AND(ISNUMBER(G5),ISNUMBER(I5)),I5/G5*1000,"Erişilemedi")</x:f>
        <x:v>1950</x:v>
      </x:c>
      <x:c r="L5" s="16" t="str">
        <x:v>Stokta</x:v>
      </x:c>
      <x:c r="M5" s="16" t="str">
        <x:v>Tek köken/ürün</x:v>
      </x:c>
      <x:c r="N5" s="16" t="str">
        <x:v>Site haritası + ürün JSON-LD</x:v>
      </x:c>
      <x:c r="O5" s="16" t="str">
        <x:v>Orta</x:v>
      </x:c>
      <x:c r="P5" s="19" t="n">
        <x:v>46245</x:v>
      </x:c>
      <x:c r="Q5" s="20" t="str">
        <x:v>https://1978coffee.com/brazil-mogiana-1-kg-</x:v>
      </x:c>
      <x:c r="R5" s="20" t="str">
        <x:v>Tekil ürün sayfasındaki yapılandırılmış veriden çıkarıldı.</x:v>
      </x:c>
    </x:row>
    <x:row r="6" ht="40" customHeight="1">
      <x:c r="A6" s="16" t="str">
        <x:v>1978 Coffee Roastery</x:v>
      </x:c>
      <x:c r="B6" s="16" t="str"/>
      <x:c r="C6" s="16" t="str">
        <x:v>Doğrulandı</x:v>
      </x:c>
      <x:c r="D6" s="16" t="str">
        <x:v>Ürün kaydı</x:v>
      </x:c>
      <x:c r="E6" s="16" t="str">
        <x:v>Brazil Mogiana ( 1 Kg )</x:v>
      </x:c>
      <x:c r="F6" s="16" t="str">
        <x:v>Brezilya</x:v>
      </x:c>
      <x:c r="G6" s="17" t="n">
        <x:v>1000</x:v>
      </x:c>
      <x:c r="H6" s="16" t="str">
        <x:v>Erişildi</x:v>
      </x:c>
      <x:c r="I6" s="18" t="n">
        <x:v>1000</x:v>
      </x:c>
      <x:c r="J6" s="18" t="str">
        <x:v>Erişildi</x:v>
      </x:c>
      <x:c r="K6" s="18" t="n">
        <x:f>IF(AND(ISNUMBER(G6),ISNUMBER(I6)),I6/G6*1000,"Erişilemedi")</x:f>
        <x:v>1000</x:v>
      </x:c>
      <x:c r="L6" s="16" t="str">
        <x:v>Belirsiz</x:v>
      </x:c>
      <x:c r="M6" s="16" t="str">
        <x:v>Kahve ürünü</x:v>
      </x:c>
      <x:c r="N6" s="16" t="str">
        <x:v>Site haritası ürün sayfası</x:v>
      </x:c>
      <x:c r="O6" s="16" t="str">
        <x:v>Orta</x:v>
      </x:c>
      <x:c r="P6" s="19" t="n">
        <x:v>46245</x:v>
      </x:c>
      <x:c r="Q6" s="20" t="str">
        <x:v>https://1978coffee.com/brazil-mogiana-1-kg-</x:v>
      </x:c>
      <x:c r="R6" s="20" t="str">
        <x:v>Ürün kimliği korundu; eksik alanlar erişilemedi olarak işaretlenecek.</x:v>
      </x:c>
    </x:row>
    <x:row r="7" ht="40" customHeight="1">
      <x:c r="A7" s="16" t="str">
        <x:v>1978 Coffee Roastery</x:v>
      </x:c>
      <x:c r="B7" s="16" t="str"/>
      <x:c r="C7" s="16" t="str">
        <x:v>Doğrulandı</x:v>
      </x:c>
      <x:c r="D7" s="16" t="str">
        <x:v>Ürün kaydı</x:v>
      </x:c>
      <x:c r="E7" s="16" t="str">
        <x:v>Brazil Mogiana ( 250 gr )</x:v>
      </x:c>
      <x:c r="F7" s="16" t="str">
        <x:v>Brezilya</x:v>
      </x:c>
      <x:c r="G7" s="17" t="n">
        <x:v>250</x:v>
      </x:c>
      <x:c r="H7" s="16" t="str">
        <x:v>Erişildi</x:v>
      </x:c>
      <x:c r="I7" s="18" t="n">
        <x:v>640</x:v>
      </x:c>
      <x:c r="J7" s="18" t="str">
        <x:v>Erişildi</x:v>
      </x:c>
      <x:c r="K7" s="18" t="n">
        <x:f>IF(AND(ISNUMBER(G7),ISNUMBER(I7)),I7/G7*1000,"Erişilemedi")</x:f>
        <x:v>2560</x:v>
      </x:c>
      <x:c r="L7" s="16" t="str">
        <x:v>Stokta</x:v>
      </x:c>
      <x:c r="M7" s="16" t="str">
        <x:v>Tek köken/ürün</x:v>
      </x:c>
      <x:c r="N7" s="16" t="str">
        <x:v>Site haritası + ürün JSON-LD</x:v>
      </x:c>
      <x:c r="O7" s="16" t="str">
        <x:v>Orta</x:v>
      </x:c>
      <x:c r="P7" s="19" t="n">
        <x:v>46245</x:v>
      </x:c>
      <x:c r="Q7" s="20" t="str">
        <x:v>https://1978coffee.com/brazil-mogiana-250-gr-</x:v>
      </x:c>
      <x:c r="R7" s="20" t="str">
        <x:v>Tekil ürün sayfasındaki yapılandırılmış veriden çıkarıldı.</x:v>
      </x:c>
    </x:row>
    <x:row r="8" ht="40" customHeight="1">
      <x:c r="A8" s="16" t="str">
        <x:v>1978 Coffee Roastery</x:v>
      </x:c>
      <x:c r="B8" s="16" t="str"/>
      <x:c r="C8" s="16" t="str">
        <x:v>Doğrulandı</x:v>
      </x:c>
      <x:c r="D8" s="16" t="str">
        <x:v>Ürün kaydı</x:v>
      </x:c>
      <x:c r="E8" s="16" t="str">
        <x:v>Brazil Mogiana ( 250 gr )</x:v>
      </x:c>
      <x:c r="F8" s="16" t="str">
        <x:v>Brezilya</x:v>
      </x:c>
      <x:c r="G8" s="17" t="n">
        <x:v>250</x:v>
      </x:c>
      <x:c r="H8" s="16" t="str">
        <x:v>Erişildi</x:v>
      </x:c>
      <x:c r="I8" s="18" t="n">
        <x:v>1000</x:v>
      </x:c>
      <x:c r="J8" s="18" t="str">
        <x:v>Erişildi</x:v>
      </x:c>
      <x:c r="K8" s="18" t="n">
        <x:f>IF(AND(ISNUMBER(G8),ISNUMBER(I8)),I8/G8*1000,"Erişilemedi")</x:f>
        <x:v>4000</x:v>
      </x:c>
      <x:c r="L8" s="16" t="str">
        <x:v>Belirsiz</x:v>
      </x:c>
      <x:c r="M8" s="16" t="str">
        <x:v>Kahve ürünü</x:v>
      </x:c>
      <x:c r="N8" s="16" t="str">
        <x:v>Site haritası ürün sayfası</x:v>
      </x:c>
      <x:c r="O8" s="16" t="str">
        <x:v>Orta</x:v>
      </x:c>
      <x:c r="P8" s="19" t="n">
        <x:v>46245</x:v>
      </x:c>
      <x:c r="Q8" s="20" t="str">
        <x:v>https://1978coffee.com/brazil-mogiana-250-gr-</x:v>
      </x:c>
      <x:c r="R8" s="20" t="str">
        <x:v>Ürün kimliği korundu; eksik alanlar erişilemedi olarak işaretlenecek.</x:v>
      </x:c>
    </x:row>
    <x:row r="9" ht="40" customHeight="1">
      <x:c r="A9" s="16" t="str">
        <x:v>1978 Coffee Roastery</x:v>
      </x:c>
      <x:c r="B9" s="16" t="str"/>
      <x:c r="C9" s="16" t="str">
        <x:v>Doğrulandı</x:v>
      </x:c>
      <x:c r="D9" s="16" t="str">
        <x:v>Ürün kaydı</x:v>
      </x:c>
      <x:c r="E9" s="16" t="str">
        <x:v>Colombia EL PARAISO</x:v>
      </x:c>
      <x:c r="F9" s="16" t="str">
        <x:v>Kolombiya</x:v>
      </x:c>
      <x:c r="G9" s="17" t="str">
        <x:v>Erişilemedi</x:v>
      </x:c>
      <x:c r="H9" s="16" t="str">
        <x:v>Erişilemedi</x:v>
      </x:c>
      <x:c r="I9" s="18" t="n">
        <x:v>1000</x:v>
      </x:c>
      <x:c r="J9" s="18" t="str">
        <x:v>Erişildi</x:v>
      </x:c>
      <x:c r="K9" s="18" t="str">
        <x:f>IF(AND(ISNUMBER(G9),ISNUMBER(I9)),I9/G9*1000,"Erişilemedi")</x:f>
        <x:v>Erişilemedi</x:v>
      </x:c>
      <x:c r="L9" s="16" t="str">
        <x:v>Belirsiz</x:v>
      </x:c>
      <x:c r="M9" s="16" t="str">
        <x:v>Kahve ürünü</x:v>
      </x:c>
      <x:c r="N9" s="16" t="str">
        <x:v>Site haritası ürün sayfası</x:v>
      </x:c>
      <x:c r="O9" s="16" t="str">
        <x:v>Düşük</x:v>
      </x:c>
      <x:c r="P9" s="19" t="n">
        <x:v>46245</x:v>
      </x:c>
      <x:c r="Q9" s="20" t="str">
        <x:v>https://1978coffee.com/colombia-el-paraiso</x:v>
      </x:c>
      <x:c r="R9" s="20" t="str">
        <x:v>Ürün kimliği korundu; eksik alanlar erişilemedi olarak işaretlenecek.</x:v>
      </x:c>
    </x:row>
    <x:row r="10" ht="40" customHeight="1">
      <x:c r="A10" s="16" t="str">
        <x:v>1978 Coffee Roastery</x:v>
      </x:c>
      <x:c r="B10" s="16" t="str"/>
      <x:c r="C10" s="16" t="str">
        <x:v>Doğrulandı</x:v>
      </x:c>
      <x:c r="D10" s="16" t="str">
        <x:v>Ürün kaydı</x:v>
      </x:c>
      <x:c r="E10" s="16" t="str">
        <x:v>Colombia LA ROCA</x:v>
      </x:c>
      <x:c r="F10" s="16" t="str">
        <x:v>Kolombiya</x:v>
      </x:c>
      <x:c r="G10" s="17" t="str">
        <x:v>Erişilemedi</x:v>
      </x:c>
      <x:c r="H10" s="16" t="str">
        <x:v>Erişilemedi</x:v>
      </x:c>
      <x:c r="I10" s="18" t="n">
        <x:v>1000</x:v>
      </x:c>
      <x:c r="J10" s="18" t="str">
        <x:v>Erişildi</x:v>
      </x:c>
      <x:c r="K10" s="18" t="str">
        <x:f>IF(AND(ISNUMBER(G10),ISNUMBER(I10)),I10/G10*1000,"Erişilemedi")</x:f>
        <x:v>Erişilemedi</x:v>
      </x:c>
      <x:c r="L10" s="16" t="str">
        <x:v>Belirsiz</x:v>
      </x:c>
      <x:c r="M10" s="16" t="str">
        <x:v>Kahve ürünü</x:v>
      </x:c>
      <x:c r="N10" s="16" t="str">
        <x:v>Site haritası ürün sayfası</x:v>
      </x:c>
      <x:c r="O10" s="16" t="str">
        <x:v>Düşük</x:v>
      </x:c>
      <x:c r="P10" s="19" t="n">
        <x:v>46245</x:v>
      </x:c>
      <x:c r="Q10" s="20" t="str">
        <x:v>https://1978coffee.com/colombia-la-roca</x:v>
      </x:c>
      <x:c r="R10" s="20" t="str">
        <x:v>Ürün kimliği korundu; eksik alanlar erişilemedi olarak işaretlenecek.</x:v>
      </x:c>
    </x:row>
    <x:row r="11" ht="40" customHeight="1">
      <x:c r="A11" s="16" t="str">
        <x:v>1978 Coffee Roastery</x:v>
      </x:c>
      <x:c r="B11" s="16" t="str"/>
      <x:c r="C11" s="16" t="str">
        <x:v>Doğrulandı</x:v>
      </x:c>
      <x:c r="D11" s="16" t="str">
        <x:v>Ürün kaydı</x:v>
      </x:c>
      <x:c r="E11" s="16" t="str">
        <x:v>Honduras Las Calaveras ( 1 Kg )</x:v>
      </x:c>
      <x:c r="F11" s="16" t="str">
        <x:v>Honduras</x:v>
      </x:c>
      <x:c r="G11" s="17" t="n">
        <x:v>1000</x:v>
      </x:c>
      <x:c r="H11" s="16" t="str">
        <x:v>Erişildi</x:v>
      </x:c>
      <x:c r="I11" s="18" t="n">
        <x:v>2850</x:v>
      </x:c>
      <x:c r="J11" s="18" t="str">
        <x:v>Erişildi</x:v>
      </x:c>
      <x:c r="K11" s="18" t="n">
        <x:f>IF(AND(ISNUMBER(G11),ISNUMBER(I11)),I11/G11*1000,"Erişilemedi")</x:f>
        <x:v>2850</x:v>
      </x:c>
      <x:c r="L11" s="16" t="str">
        <x:v>Stokta</x:v>
      </x:c>
      <x:c r="M11" s="16" t="str">
        <x:v>Tek köken/ürün</x:v>
      </x:c>
      <x:c r="N11" s="16" t="str">
        <x:v>Site haritası + ürün JSON-LD</x:v>
      </x:c>
      <x:c r="O11" s="16" t="str">
        <x:v>Orta</x:v>
      </x:c>
      <x:c r="P11" s="19" t="n">
        <x:v>46245</x:v>
      </x:c>
      <x:c r="Q11" s="20" t="str">
        <x:v>https://1978coffee.com/honduras-las-calaveras-1-kg-</x:v>
      </x:c>
      <x:c r="R11" s="20" t="str">
        <x:v>Tekil ürün sayfasındaki yapılandırılmış veriden çıkarıldı.</x:v>
      </x:c>
    </x:row>
    <x:row r="12" ht="40" customHeight="1">
      <x:c r="A12" s="16" t="str">
        <x:v>1978 Coffee Roastery</x:v>
      </x:c>
      <x:c r="B12" s="16" t="str"/>
      <x:c r="C12" s="16" t="str">
        <x:v>Doğrulandı</x:v>
      </x:c>
      <x:c r="D12" s="16" t="str">
        <x:v>Ürün kaydı</x:v>
      </x:c>
      <x:c r="E12" s="16" t="str">
        <x:v>Honduras Las Calaveras ( 1 Kg )</x:v>
      </x:c>
      <x:c r="F12" s="16" t="str">
        <x:v>Honduras</x:v>
      </x:c>
      <x:c r="G12" s="17" t="n">
        <x:v>1000</x:v>
      </x:c>
      <x:c r="H12" s="16" t="str">
        <x:v>Erişildi</x:v>
      </x:c>
      <x:c r="I12" s="18" t="n">
        <x:v>1000</x:v>
      </x:c>
      <x:c r="J12" s="18" t="str">
        <x:v>Erişildi</x:v>
      </x:c>
      <x:c r="K12" s="18" t="n">
        <x:f>IF(AND(ISNUMBER(G12),ISNUMBER(I12)),I12/G12*1000,"Erişilemedi")</x:f>
        <x:v>1000</x:v>
      </x:c>
      <x:c r="L12" s="16" t="str">
        <x:v>Belirsiz</x:v>
      </x:c>
      <x:c r="M12" s="16" t="str">
        <x:v>Kahve ürünü</x:v>
      </x:c>
      <x:c r="N12" s="16" t="str">
        <x:v>Site haritası ürün sayfası</x:v>
      </x:c>
      <x:c r="O12" s="16" t="str">
        <x:v>Orta</x:v>
      </x:c>
      <x:c r="P12" s="19" t="n">
        <x:v>46245</x:v>
      </x:c>
      <x:c r="Q12" s="20" t="str">
        <x:v>https://1978coffee.com/honduras-las-calaveras-1-kg-</x:v>
      </x:c>
      <x:c r="R12" s="20" t="str">
        <x:v>Ürün kimliği korundu; eksik alanlar erişilemedi olarak işaretlenecek.</x:v>
      </x:c>
    </x:row>
    <x:row r="13" ht="40" customHeight="1">
      <x:c r="A13" s="16" t="str">
        <x:v>1978 Coffee Roastery</x:v>
      </x:c>
      <x:c r="B13" s="16" t="str"/>
      <x:c r="C13" s="16" t="str">
        <x:v>Doğrulandı</x:v>
      </x:c>
      <x:c r="D13" s="16" t="str">
        <x:v>Ürün kaydı</x:v>
      </x:c>
      <x:c r="E13" s="16" t="str">
        <x:v>Honduras Las Calaveras ( 250 gr )</x:v>
      </x:c>
      <x:c r="F13" s="16" t="str">
        <x:v>Honduras</x:v>
      </x:c>
      <x:c r="G13" s="17" t="n">
        <x:v>250</x:v>
      </x:c>
      <x:c r="H13" s="16" t="str">
        <x:v>Erişildi</x:v>
      </x:c>
      <x:c r="I13" s="18" t="n">
        <x:v>840</x:v>
      </x:c>
      <x:c r="J13" s="18" t="str">
        <x:v>Erişildi</x:v>
      </x:c>
      <x:c r="K13" s="18" t="n">
        <x:f>IF(AND(ISNUMBER(G13),ISNUMBER(I13)),I13/G13*1000,"Erişilemedi")</x:f>
        <x:v>3360</x:v>
      </x:c>
      <x:c r="L13" s="16" t="str">
        <x:v>Stokta</x:v>
      </x:c>
      <x:c r="M13" s="16" t="str">
        <x:v>Tek köken/ürün</x:v>
      </x:c>
      <x:c r="N13" s="16" t="str">
        <x:v>Site haritası + ürün JSON-LD</x:v>
      </x:c>
      <x:c r="O13" s="16" t="str">
        <x:v>Orta</x:v>
      </x:c>
      <x:c r="P13" s="19" t="n">
        <x:v>46245</x:v>
      </x:c>
      <x:c r="Q13" s="20" t="str">
        <x:v>https://1978coffee.com/honduras-las-calaveras-250-gr-</x:v>
      </x:c>
      <x:c r="R13" s="20" t="str">
        <x:v>Tekil ürün sayfasındaki yapılandırılmış veriden çıkarıldı.</x:v>
      </x:c>
    </x:row>
    <x:row r="14" ht="40" customHeight="1">
      <x:c r="A14" s="16" t="str">
        <x:v>1978 Coffee Roastery</x:v>
      </x:c>
      <x:c r="B14" s="16" t="str"/>
      <x:c r="C14" s="16" t="str">
        <x:v>Doğrulandı</x:v>
      </x:c>
      <x:c r="D14" s="16" t="str">
        <x:v>Ürün kaydı</x:v>
      </x:c>
      <x:c r="E14" s="16" t="str">
        <x:v>Honduras Las Calaveras ( 250 gr )</x:v>
      </x:c>
      <x:c r="F14" s="16" t="str">
        <x:v>Honduras</x:v>
      </x:c>
      <x:c r="G14" s="17" t="n">
        <x:v>250</x:v>
      </x:c>
      <x:c r="H14" s="16" t="str">
        <x:v>Erişildi</x:v>
      </x:c>
      <x:c r="I14" s="18" t="n">
        <x:v>1000</x:v>
      </x:c>
      <x:c r="J14" s="18" t="str">
        <x:v>Erişildi</x:v>
      </x:c>
      <x:c r="K14" s="18" t="n">
        <x:f>IF(AND(ISNUMBER(G14),ISNUMBER(I14)),I14/G14*1000,"Erişilemedi")</x:f>
        <x:v>4000</x:v>
      </x:c>
      <x:c r="L14" s="16" t="str">
        <x:v>Belirsiz</x:v>
      </x:c>
      <x:c r="M14" s="16" t="str">
        <x:v>Kahve ürünü</x:v>
      </x:c>
      <x:c r="N14" s="16" t="str">
        <x:v>Site haritası ürün sayfası</x:v>
      </x:c>
      <x:c r="O14" s="16" t="str">
        <x:v>Orta</x:v>
      </x:c>
      <x:c r="P14" s="19" t="n">
        <x:v>46245</x:v>
      </x:c>
      <x:c r="Q14" s="20" t="str">
        <x:v>https://1978coffee.com/honduras-las-calaveras-250-gr-</x:v>
      </x:c>
      <x:c r="R14" s="20" t="str">
        <x:v>Ürün kimliği korundu; eksik alanlar erişilemedi olarak işaretlenecek.</x:v>
      </x:c>
    </x:row>
    <x:row r="15" ht="40" customHeight="1">
      <x:c r="A15" s="16" t="str">
        <x:v>1978 Coffee Roastery</x:v>
      </x:c>
      <x:c r="B15" s="16" t="str"/>
      <x:c r="C15" s="16" t="str">
        <x:v>Doğrulandı</x:v>
      </x:c>
      <x:c r="D15" s="16" t="str">
        <x:v>Ürün kaydı</x:v>
      </x:c>
      <x:c r="E15" s="16" t="str">
        <x:v>TIMEMORE Coffee Server (360 ml)</x:v>
      </x:c>
      <x:c r="F15" s="16" t="str">
        <x:v>Menşe belirtilmemiş</x:v>
      </x:c>
      <x:c r="G15" s="17" t="str">
        <x:v>Erişilemedi</x:v>
      </x:c>
      <x:c r="H15" s="16" t="str">
        <x:v>Erişilemedi</x:v>
      </x:c>
      <x:c r="I15" s="18" t="n">
        <x:v>1000</x:v>
      </x:c>
      <x:c r="J15" s="18" t="str">
        <x:v>Erişildi</x:v>
      </x:c>
      <x:c r="K15" s="18" t="str">
        <x:f>IF(AND(ISNUMBER(G15),ISNUMBER(I15)),I15/G15*1000,"Erişilemedi")</x:f>
        <x:v>Erişilemedi</x:v>
      </x:c>
      <x:c r="L15" s="16" t="str">
        <x:v>Belirsiz</x:v>
      </x:c>
      <x:c r="M15" s="16" t="str">
        <x:v>Kahve ürünü</x:v>
      </x:c>
      <x:c r="N15" s="16" t="str">
        <x:v>Site haritası ürün sayfası</x:v>
      </x:c>
      <x:c r="O15" s="16" t="str">
        <x:v>Düşük</x:v>
      </x:c>
      <x:c r="P15" s="19" t="n">
        <x:v>46245</x:v>
      </x:c>
      <x:c r="Q15" s="20" t="str">
        <x:v>https://1978coffee.com/timemore-coffee-server</x:v>
      </x:c>
      <x:c r="R15" s="20" t="str">
        <x:v>Ürün kimliği korundu; eksik alanlar erişilemedi olarak işaretlenecek.</x:v>
      </x:c>
    </x:row>
    <x:row r="16" ht="40" customHeight="1">
      <x:c r="A16" s="16" t="str">
        <x:v>1978 Coffee Roastery</x:v>
      </x:c>
      <x:c r="B16" s="16" t="str"/>
      <x:c r="C16" s="16" t="str">
        <x:v>Doğrulandı</x:v>
      </x:c>
      <x:c r="D16" s="16" t="str">
        <x:v>Ürün kaydı</x:v>
      </x:c>
      <x:c r="E16" s="16" t="str">
        <x:v>Türk Kahvesi</x:v>
      </x:c>
      <x:c r="F16" s="16" t="str">
        <x:v>Menşe belirtilmemiş</x:v>
      </x:c>
      <x:c r="G16" s="17" t="str">
        <x:v>Erişilemedi</x:v>
      </x:c>
      <x:c r="H16" s="16" t="str">
        <x:v>Erişilemedi</x:v>
      </x:c>
      <x:c r="I16" s="18" t="n">
        <x:v>1000</x:v>
      </x:c>
      <x:c r="J16" s="18" t="str">
        <x:v>Erişildi</x:v>
      </x:c>
      <x:c r="K16" s="18" t="str">
        <x:f>IF(AND(ISNUMBER(G16),ISNUMBER(I16)),I16/G16*1000,"Erişilemedi")</x:f>
        <x:v>Erişilemedi</x:v>
      </x:c>
      <x:c r="L16" s="16" t="str">
        <x:v>Belirsiz</x:v>
      </x:c>
      <x:c r="M16" s="16" t="str">
        <x:v>Kahve ürünü</x:v>
      </x:c>
      <x:c r="N16" s="16" t="str">
        <x:v>Site haritası ürün sayfası</x:v>
      </x:c>
      <x:c r="O16" s="16" t="str">
        <x:v>Düşük</x:v>
      </x:c>
      <x:c r="P16" s="19" t="n">
        <x:v>46245</x:v>
      </x:c>
      <x:c r="Q16" s="20" t="str">
        <x:v>https://1978coffee.com/turk-kahvesi-1</x:v>
      </x:c>
      <x:c r="R16" s="20" t="str">
        <x:v>Ürün kimliği korundu; eksik alanlar erişilemedi olarak işaretlenecek.</x:v>
      </x:c>
    </x:row>
    <x:row r="17" ht="40" customHeight="1">
      <x:c r="A17" s="16" t="str">
        <x:v>A Roasting Lab</x:v>
      </x:c>
      <x:c r="B17" s="16" t="str">
        <x:v>Bursa</x:v>
      </x:c>
      <x:c r="C17" s="16" t="str">
        <x:v>Doğrulandı</x:v>
      </x:c>
      <x:c r="D17" s="16" t="str">
        <x:v>Ürün kaydı</x:v>
      </x:c>
      <x:c r="E17" s="16" t="str">
        <x:v>🎁 Türk Kahvesi 250g (HEDİYE)</x:v>
      </x:c>
      <x:c r="F17" s="16" t="str">
        <x:v>Menşe belirtilmemiş</x:v>
      </x:c>
      <x:c r="G17" s="17" t="n">
        <x:v>250</x:v>
      </x:c>
      <x:c r="H17" s="16" t="str">
        <x:v>Erişildi</x:v>
      </x:c>
      <x:c r="I17" s="18" t="str">
        <x:v>Erişilemedi</x:v>
      </x:c>
      <x:c r="J17" s="18" t="str">
        <x:v>Erişilemedi</x:v>
      </x:c>
      <x:c r="K17" s="18" t="str">
        <x:f>IF(AND(ISNUMBER(G17),ISNUMBER(I17)),I17/G17*1000,"Erişilemedi")</x:f>
        <x:v>Erişilemedi</x:v>
      </x:c>
      <x:c r="L17" s="16" t="str">
        <x:v>Stokta</x:v>
      </x:c>
      <x:c r="M17" s="16" t="str">
        <x:v>Türk kahvesi</x:v>
      </x:c>
      <x:c r="N17" s="16" t="str">
        <x:v>Shopify ürün akışı</x:v>
      </x:c>
      <x:c r="O17" s="16" t="str">
        <x:v>Orta</x:v>
      </x:c>
      <x:c r="P17" s="19" t="n">
        <x:v>46245</x:v>
      </x:c>
      <x:c r="Q17" s="20" t="str">
        <x:v>https://aroastinglab.com/products/turkish-coffee-blend-250-gram-turk-kahvesi-sca_clone_freegift</x:v>
      </x:c>
      <x:c r="R17" s="20" t="str">
        <x:v>Öğütüm seçenekleri tekilleştirildi.</x:v>
      </x:c>
    </x:row>
    <x:row r="18" ht="40" customHeight="1">
      <x:c r="A18" s="16" t="str">
        <x:v>A Roasting Lab</x:v>
      </x:c>
      <x:c r="B18" s="16" t="str">
        <x:v>Bursa</x:v>
      </x:c>
      <x:c r="C18" s="16" t="str">
        <x:v>Doğrulandı</x:v>
      </x:c>
      <x:c r="D18" s="16" t="str">
        <x:v>Ürün kaydı</x:v>
      </x:c>
      <x:c r="E18" s="16" t="str">
        <x:v>ARL Collective Hediye | 50g Kahve Paketi</x:v>
      </x:c>
      <x:c r="F18" s="16" t="str">
        <x:v>Menşe belirtilmemiş</x:v>
      </x:c>
      <x:c r="G18" s="17" t="n">
        <x:v>50</x:v>
      </x:c>
      <x:c r="H18" s="16" t="str">
        <x:v>Erişildi</x:v>
      </x:c>
      <x:c r="I18" s="18" t="n">
        <x:v>115</x:v>
      </x:c>
      <x:c r="J18" s="18" t="str">
        <x:v>Erişildi</x:v>
      </x:c>
      <x:c r="K18" s="18" t="n">
        <x:f>IF(AND(ISNUMBER(G18),ISNUMBER(I18)),I18/G18*1000,"Erişilemedi")</x:f>
        <x:v>2300</x:v>
      </x:c>
      <x:c r="L18" s="16" t="str">
        <x:v>Stokta</x:v>
      </x:c>
      <x:c r="M18" s="16" t="str">
        <x:v>Tek köken/ürün</x:v>
      </x:c>
      <x:c r="N18" s="16" t="str">
        <x:v>Shopify ürün akışı</x:v>
      </x:c>
      <x:c r="O18" s="16" t="str">
        <x:v>Yüksek</x:v>
      </x:c>
      <x:c r="P18" s="19" t="n">
        <x:v>46245</x:v>
      </x:c>
      <x:c r="Q18" s="20" t="str">
        <x:v>https://aroastinglab.com/products/arl-collective-hediyesi-50g-kahve</x:v>
      </x:c>
      <x:c r="R18" s="20" t="str">
        <x:v>Öğütüm seçenekleri aynı gramaj ve fiyatta tekilleştirildi.</x:v>
      </x:c>
    </x:row>
    <x:row r="19" ht="40" customHeight="1">
      <x:c r="A19" s="16" t="str">
        <x:v>A Roasting Lab</x:v>
      </x:c>
      <x:c r="B19" s="16" t="str">
        <x:v>Bursa</x:v>
      </x:c>
      <x:c r="C19" s="16" t="str">
        <x:v>Doğrulandı</x:v>
      </x:c>
      <x:c r="D19" s="16" t="str">
        <x:v>Ürün kaydı</x:v>
      </x:c>
      <x:c r="E19" s="16" t="str">
        <x:v>ARL Collective Hediye | 50g Kahve Paketi</x:v>
      </x:c>
      <x:c r="F19" s="16" t="str">
        <x:v>Menşe belirtilmemiş</x:v>
      </x:c>
      <x:c r="G19" s="17" t="n">
        <x:v>50</x:v>
      </x:c>
      <x:c r="H19" s="16" t="str">
        <x:v>Erişildi</x:v>
      </x:c>
      <x:c r="I19" s="18" t="n">
        <x:v>129</x:v>
      </x:c>
      <x:c r="J19" s="18" t="str">
        <x:v>Erişildi</x:v>
      </x:c>
      <x:c r="K19" s="18" t="n">
        <x:f>IF(AND(ISNUMBER(G19),ISNUMBER(I19)),I19/G19*1000,"Erişilemedi")</x:f>
        <x:v>2580</x:v>
      </x:c>
      <x:c r="L19" s="16" t="str">
        <x:v>Stokta</x:v>
      </x:c>
      <x:c r="M19" s="16" t="str">
        <x:v>Tek köken/ürün</x:v>
      </x:c>
      <x:c r="N19" s="16" t="str">
        <x:v>Shopify ürün akışı</x:v>
      </x:c>
      <x:c r="O19" s="16" t="str">
        <x:v>Yüksek</x:v>
      </x:c>
      <x:c r="P19" s="19" t="n">
        <x:v>46245</x:v>
      </x:c>
      <x:c r="Q19" s="20" t="str">
        <x:v>https://aroastinglab.com/products/arl-collective-hediyesi-50g-kahve</x:v>
      </x:c>
      <x:c r="R19" s="20" t="str">
        <x:v>Öğütüm seçenekleri aynı gramaj ve fiyatta tekilleştirildi.</x:v>
      </x:c>
    </x:row>
    <x:row r="20" ht="40" customHeight="1">
      <x:c r="A20" s="16" t="str">
        <x:v>A Roasting Lab</x:v>
      </x:c>
      <x:c r="B20" s="16" t="str">
        <x:v>Bursa</x:v>
      </x:c>
      <x:c r="C20" s="16" t="str">
        <x:v>Doğrulandı</x:v>
      </x:c>
      <x:c r="D20" s="16" t="str">
        <x:v>Ürün kaydı</x:v>
      </x:c>
      <x:c r="E20" s="16" t="str">
        <x:v>ARL Collective Hediyesi | 1000g Kahve Paketi</x:v>
      </x:c>
      <x:c r="F20" s="16" t="str">
        <x:v>Menşe belirtilmemiş</x:v>
      </x:c>
      <x:c r="G20" s="17" t="n">
        <x:v>1000</x:v>
      </x:c>
      <x:c r="H20" s="16" t="str">
        <x:v>Erişildi</x:v>
      </x:c>
      <x:c r="I20" s="18" t="n">
        <x:v>1796.4</x:v>
      </x:c>
      <x:c r="J20" s="18" t="str">
        <x:v>Erişildi</x:v>
      </x:c>
      <x:c r="K20" s="18" t="n">
        <x:f>IF(AND(ISNUMBER(G20),ISNUMBER(I20)),I20/G20*1000,"Erişilemedi")</x:f>
        <x:v>1796.4</x:v>
      </x:c>
      <x:c r="L20" s="16" t="str">
        <x:v>Stokta</x:v>
      </x:c>
      <x:c r="M20" s="16" t="str">
        <x:v>Tek köken/ürün</x:v>
      </x:c>
      <x:c r="N20" s="16" t="str">
        <x:v>Shopify ürün akışı</x:v>
      </x:c>
      <x:c r="O20" s="16" t="str">
        <x:v>Yüksek</x:v>
      </x:c>
      <x:c r="P20" s="19" t="n">
        <x:v>46245</x:v>
      </x:c>
      <x:c r="Q20" s="20" t="str">
        <x:v>https://aroastinglab.com/products/arl-collective-hediyesi-1000g-kahve-paketi</x:v>
      </x:c>
      <x:c r="R20" s="20" t="str">
        <x:v>Öğütüm seçenekleri aynı gramaj ve fiyatta tekilleştirildi.</x:v>
      </x:c>
    </x:row>
    <x:row r="21" ht="40" customHeight="1">
      <x:c r="A21" s="16" t="str">
        <x:v>A Roasting Lab</x:v>
      </x:c>
      <x:c r="B21" s="16" t="str">
        <x:v>Bursa</x:v>
      </x:c>
      <x:c r="C21" s="16" t="str">
        <x:v>Doğrulandı</x:v>
      </x:c>
      <x:c r="D21" s="16" t="str">
        <x:v>Ürün kaydı</x:v>
      </x:c>
      <x:c r="E21" s="16" t="str">
        <x:v>ARL Collective Hediyesi | 1000g Kahve Paketi</x:v>
      </x:c>
      <x:c r="F21" s="16" t="str">
        <x:v>Menşe belirtilmemiş</x:v>
      </x:c>
      <x:c r="G21" s="17" t="n">
        <x:v>1000</x:v>
      </x:c>
      <x:c r="H21" s="16" t="str">
        <x:v>Erişildi</x:v>
      </x:c>
      <x:c r="I21" s="18" t="n">
        <x:v>2149</x:v>
      </x:c>
      <x:c r="J21" s="18" t="str">
        <x:v>Erişildi</x:v>
      </x:c>
      <x:c r="K21" s="18" t="n">
        <x:f>IF(AND(ISNUMBER(G21),ISNUMBER(I21)),I21/G21*1000,"Erişilemedi")</x:f>
        <x:v>2149</x:v>
      </x:c>
      <x:c r="L21" s="16" t="str">
        <x:v>Stokta</x:v>
      </x:c>
      <x:c r="M21" s="16" t="str">
        <x:v>Tek köken/ürün</x:v>
      </x:c>
      <x:c r="N21" s="16" t="str">
        <x:v>Shopify ürün akışı</x:v>
      </x:c>
      <x:c r="O21" s="16" t="str">
        <x:v>Yüksek</x:v>
      </x:c>
      <x:c r="P21" s="19" t="n">
        <x:v>46245</x:v>
      </x:c>
      <x:c r="Q21" s="20" t="str">
        <x:v>https://aroastinglab.com/products/arl-collective-hediyesi-1000g-kahve-paketi</x:v>
      </x:c>
      <x:c r="R21" s="20" t="str">
        <x:v>Öğütüm seçenekleri aynı gramaj ve fiyatta tekilleştirildi.</x:v>
      </x:c>
    </x:row>
    <x:row r="22" ht="40" customHeight="1">
      <x:c r="A22" s="16" t="str">
        <x:v>A Roasting Lab</x:v>
      </x:c>
      <x:c r="B22" s="16" t="str">
        <x:v>Bursa</x:v>
      </x:c>
      <x:c r="C22" s="16" t="str">
        <x:v>Doğrulandı</x:v>
      </x:c>
      <x:c r="D22" s="16" t="str">
        <x:v>Ürün kaydı</x:v>
      </x:c>
      <x:c r="E22" s="16" t="str">
        <x:v>ARL Collective Hediyesi | 1000g Kahve Paketi</x:v>
      </x:c>
      <x:c r="F22" s="16" t="str">
        <x:v>Menşe belirtilmemiş</x:v>
      </x:c>
      <x:c r="G22" s="17" t="n">
        <x:v>1000</x:v>
      </x:c>
      <x:c r="H22" s="16" t="str">
        <x:v>Erişildi</x:v>
      </x:c>
      <x:c r="I22" s="18" t="n">
        <x:v>1088</x:v>
      </x:c>
      <x:c r="J22" s="18" t="str">
        <x:v>Erişildi</x:v>
      </x:c>
      <x:c r="K22" s="18" t="n">
        <x:f>IF(AND(ISNUMBER(G22),ISNUMBER(I22)),I22/G22*1000,"Erişilemedi")</x:f>
        <x:v>1088</x:v>
      </x:c>
      <x:c r="L22" s="16" t="str">
        <x:v>Stokta</x:v>
      </x:c>
      <x:c r="M22" s="16" t="str">
        <x:v>Tek köken/ürün</x:v>
      </x:c>
      <x:c r="N22" s="16" t="str">
        <x:v>Shopify ürün akışı</x:v>
      </x:c>
      <x:c r="O22" s="16" t="str">
        <x:v>Yüksek</x:v>
      </x:c>
      <x:c r="P22" s="19" t="n">
        <x:v>46245</x:v>
      </x:c>
      <x:c r="Q22" s="20" t="str">
        <x:v>https://aroastinglab.com/products/arl-collective-hediyesi-1000g-kahve-paketi</x:v>
      </x:c>
      <x:c r="R22" s="20" t="str">
        <x:v>Öğütüm seçenekleri aynı gramaj ve fiyatta tekilleştirildi.</x:v>
      </x:c>
    </x:row>
    <x:row r="23" ht="40" customHeight="1">
      <x:c r="A23" s="16" t="str">
        <x:v>A Roasting Lab</x:v>
      </x:c>
      <x:c r="B23" s="16" t="str">
        <x:v>Bursa</x:v>
      </x:c>
      <x:c r="C23" s="16" t="str">
        <x:v>Doğrulandı</x:v>
      </x:c>
      <x:c r="D23" s="16" t="str">
        <x:v>Ürün kaydı</x:v>
      </x:c>
      <x:c r="E23" s="16" t="str">
        <x:v>ARL Collective Hediyesi | 250g Kahve Paketi</x:v>
      </x:c>
      <x:c r="F23" s="16" t="str">
        <x:v>Menşe belirtilmemiş</x:v>
      </x:c>
      <x:c r="G23" s="17" t="n">
        <x:v>250</x:v>
      </x:c>
      <x:c r="H23" s="16" t="str">
        <x:v>Erişildi</x:v>
      </x:c>
      <x:c r="I23" s="18" t="n">
        <x:v>499</x:v>
      </x:c>
      <x:c r="J23" s="18" t="str">
        <x:v>Erişildi</x:v>
      </x:c>
      <x:c r="K23" s="18" t="n">
        <x:f>IF(AND(ISNUMBER(G23),ISNUMBER(I23)),I23/G23*1000,"Erişilemedi")</x:f>
        <x:v>1996</x:v>
      </x:c>
      <x:c r="L23" s="16" t="str">
        <x:v>Stokta</x:v>
      </x:c>
      <x:c r="M23" s="16" t="str">
        <x:v>Tek köken/ürün</x:v>
      </x:c>
      <x:c r="N23" s="16" t="str">
        <x:v>Shopify ürün akışı</x:v>
      </x:c>
      <x:c r="O23" s="16" t="str">
        <x:v>Yüksek</x:v>
      </x:c>
      <x:c r="P23" s="19" t="n">
        <x:v>46245</x:v>
      </x:c>
      <x:c r="Q23" s="20" t="str">
        <x:v>https://aroastinglab.com/products/arl-collective-hediyesi-250g-kahve</x:v>
      </x:c>
      <x:c r="R23" s="20" t="str">
        <x:v>Öğütüm seçenekleri aynı gramaj ve fiyatta tekilleştirildi.</x:v>
      </x:c>
    </x:row>
    <x:row r="24" ht="40" customHeight="1">
      <x:c r="A24" s="16" t="str">
        <x:v>A Roasting Lab</x:v>
      </x:c>
      <x:c r="B24" s="16" t="str">
        <x:v>Bursa</x:v>
      </x:c>
      <x:c r="C24" s="16" t="str">
        <x:v>Doğrulandı</x:v>
      </x:c>
      <x:c r="D24" s="16" t="str">
        <x:v>Ürün kaydı</x:v>
      </x:c>
      <x:c r="E24" s="16" t="str">
        <x:v>ARL Collective Hediyesi | 250g Kahve Paketi</x:v>
      </x:c>
      <x:c r="F24" s="16" t="str">
        <x:v>Menşe belirtilmemiş</x:v>
      </x:c>
      <x:c r="G24" s="17" t="n">
        <x:v>250</x:v>
      </x:c>
      <x:c r="H24" s="16" t="str">
        <x:v>Erişildi</x:v>
      </x:c>
      <x:c r="I24" s="18" t="n">
        <x:v>599</x:v>
      </x:c>
      <x:c r="J24" s="18" t="str">
        <x:v>Erişildi</x:v>
      </x:c>
      <x:c r="K24" s="18" t="n">
        <x:f>IF(AND(ISNUMBER(G24),ISNUMBER(I24)),I24/G24*1000,"Erişilemedi")</x:f>
        <x:v>2396</x:v>
      </x:c>
      <x:c r="L24" s="16" t="str">
        <x:v>Stokta</x:v>
      </x:c>
      <x:c r="M24" s="16" t="str">
        <x:v>Tek köken/ürün</x:v>
      </x:c>
      <x:c r="N24" s="16" t="str">
        <x:v>Shopify ürün akışı</x:v>
      </x:c>
      <x:c r="O24" s="16" t="str">
        <x:v>Yüksek</x:v>
      </x:c>
      <x:c r="P24" s="19" t="n">
        <x:v>46245</x:v>
      </x:c>
      <x:c r="Q24" s="20" t="str">
        <x:v>https://aroastinglab.com/products/arl-collective-hediyesi-250g-kahve</x:v>
      </x:c>
      <x:c r="R24" s="20" t="str">
        <x:v>Öğütüm seçenekleri aynı gramaj ve fiyatta tekilleştirildi.</x:v>
      </x:c>
    </x:row>
    <x:row r="25" ht="40" customHeight="1">
      <x:c r="A25" s="16" t="str">
        <x:v>A Roasting Lab</x:v>
      </x:c>
      <x:c r="B25" s="16" t="str">
        <x:v>Bursa</x:v>
      </x:c>
      <x:c r="C25" s="16" t="str">
        <x:v>Doğrulandı</x:v>
      </x:c>
      <x:c r="D25" s="16" t="str">
        <x:v>Ürün kaydı</x:v>
      </x:c>
      <x:c r="E25" s="16" t="str">
        <x:v>ARL Collective Hediyesi | 250g Kahve Paketi</x:v>
      </x:c>
      <x:c r="F25" s="16" t="str">
        <x:v>Menşe belirtilmemiş</x:v>
      </x:c>
      <x:c r="G25" s="17" t="n">
        <x:v>250</x:v>
      </x:c>
      <x:c r="H25" s="16" t="str">
        <x:v>Erişildi</x:v>
      </x:c>
      <x:c r="I25" s="18" t="n">
        <x:v>333</x:v>
      </x:c>
      <x:c r="J25" s="18" t="str">
        <x:v>Erişildi</x:v>
      </x:c>
      <x:c r="K25" s="18" t="n">
        <x:f>IF(AND(ISNUMBER(G25),ISNUMBER(I25)),I25/G25*1000,"Erişilemedi")</x:f>
        <x:v>1332</x:v>
      </x:c>
      <x:c r="L25" s="16" t="str">
        <x:v>Stokta</x:v>
      </x:c>
      <x:c r="M25" s="16" t="str">
        <x:v>Tek köken/ürün</x:v>
      </x:c>
      <x:c r="N25" s="16" t="str">
        <x:v>Shopify ürün akışı</x:v>
      </x:c>
      <x:c r="O25" s="16" t="str">
        <x:v>Yüksek</x:v>
      </x:c>
      <x:c r="P25" s="19" t="n">
        <x:v>46245</x:v>
      </x:c>
      <x:c r="Q25" s="20" t="str">
        <x:v>https://aroastinglab.com/products/arl-collective-hediyesi-250g-kahve</x:v>
      </x:c>
      <x:c r="R25" s="20" t="str">
        <x:v>Öğütüm seçenekleri aynı gramaj ve fiyatta tekilleştirildi.</x:v>
      </x:c>
    </x:row>
    <x:row r="26" ht="40" customHeight="1">
      <x:c r="A26" s="16" t="str">
        <x:v>A Roasting Lab</x:v>
      </x:c>
      <x:c r="B26" s="16" t="str">
        <x:v>Bursa</x:v>
      </x:c>
      <x:c r="C26" s="16" t="str">
        <x:v>Doğrulandı</x:v>
      </x:c>
      <x:c r="D26" s="16" t="str">
        <x:v>Ürün kaydı</x:v>
      </x:c>
      <x:c r="E26" s="16" t="str">
        <x:v>Astrower Blend Kahve - 1000g</x:v>
      </x:c>
      <x:c r="F26" s="16" t="str">
        <x:v>Etiyopya | El Salvador</x:v>
      </x:c>
      <x:c r="G26" s="17" t="n">
        <x:v>1000</x:v>
      </x:c>
      <x:c r="H26" s="16" t="str">
        <x:v>Erişildi</x:v>
      </x:c>
      <x:c r="I26" s="18" t="n">
        <x:v>1526.94</x:v>
      </x:c>
      <x:c r="J26" s="18" t="str">
        <x:v>Erişildi</x:v>
      </x:c>
      <x:c r="K26" s="18" t="n">
        <x:f>IF(AND(ISNUMBER(G26),ISNUMBER(I26)),I26/G26*1000,"Erişilemedi")</x:f>
        <x:v>1526.94</x:v>
      </x:c>
      <x:c r="L26" s="16" t="str">
        <x:v>Stokta</x:v>
      </x:c>
      <x:c r="M26" s="16" t="str">
        <x:v>Harman</x:v>
      </x:c>
      <x:c r="N26" s="16" t="str">
        <x:v>Shopify ürün akışı</x:v>
      </x:c>
      <x:c r="O26" s="16" t="str">
        <x:v>Yüksek</x:v>
      </x:c>
      <x:c r="P26" s="19" t="n">
        <x:v>46245</x:v>
      </x:c>
      <x:c r="Q26" s="20" t="str">
        <x:v>https://aroastinglab.com/products/astrower-filter-blend-1000-gram-filtre-kahve</x:v>
      </x:c>
      <x:c r="R26" s="20" t="str">
        <x:v>Öğütüm seçenekleri aynı gramaj ve fiyatta tekilleştirildi.</x:v>
      </x:c>
    </x:row>
    <x:row r="27" ht="40" customHeight="1">
      <x:c r="A27" s="16" t="str">
        <x:v>A Roasting Lab</x:v>
      </x:c>
      <x:c r="B27" s="16" t="str">
        <x:v>Bursa</x:v>
      </x:c>
      <x:c r="C27" s="16" t="str">
        <x:v>Doğrulandı</x:v>
      </x:c>
      <x:c r="D27" s="16" t="str">
        <x:v>Ürün kaydı</x:v>
      </x:c>
      <x:c r="E27" s="16" t="str">
        <x:v>Astrower Blend Kahve - 250g</x:v>
      </x:c>
      <x:c r="F27" s="16" t="str">
        <x:v>Etiyopya | El Salvador</x:v>
      </x:c>
      <x:c r="G27" s="17" t="n">
        <x:v>250</x:v>
      </x:c>
      <x:c r="H27" s="16" t="str">
        <x:v>Erişildi</x:v>
      </x:c>
      <x:c r="I27" s="18" t="n">
        <x:v>424.15</x:v>
      </x:c>
      <x:c r="J27" s="18" t="str">
        <x:v>Erişildi</x:v>
      </x:c>
      <x:c r="K27" s="18" t="n">
        <x:f>IF(AND(ISNUMBER(G27),ISNUMBER(I27)),I27/G27*1000,"Erişilemedi")</x:f>
        <x:v>1696.6</x:v>
      </x:c>
      <x:c r="L27" s="16" t="str">
        <x:v>Stokta</x:v>
      </x:c>
      <x:c r="M27" s="16" t="str">
        <x:v>Harman</x:v>
      </x:c>
      <x:c r="N27" s="16" t="str">
        <x:v>Shopify ürün akışı</x:v>
      </x:c>
      <x:c r="O27" s="16" t="str">
        <x:v>Yüksek</x:v>
      </x:c>
      <x:c r="P27" s="19" t="n">
        <x:v>46245</x:v>
      </x:c>
      <x:c r="Q27" s="20" t="str">
        <x:v>https://aroastinglab.com/products/astrower-filter-blend-filtre-kahve-250-gr</x:v>
      </x:c>
      <x:c r="R27" s="20" t="str">
        <x:v>Öğütüm seçenekleri aynı gramaj ve fiyatta tekilleştirildi.</x:v>
      </x:c>
    </x:row>
    <x:row r="28" ht="40" customHeight="1">
      <x:c r="A28" s="16" t="str">
        <x:v>A Roasting Lab</x:v>
      </x:c>
      <x:c r="B28" s="16" t="str">
        <x:v>Bursa</x:v>
      </x:c>
      <x:c r="C28" s="16" t="str">
        <x:v>Doğrulandı</x:v>
      </x:c>
      <x:c r="D28" s="16" t="str">
        <x:v>Ürün kaydı</x:v>
      </x:c>
      <x:c r="E28" s="16" t="str">
        <x:v>Astrower Blend Kahve 50g</x:v>
      </x:c>
      <x:c r="F28" s="16" t="str">
        <x:v>Etiyopya | El Salvador</x:v>
      </x:c>
      <x:c r="G28" s="17" t="n">
        <x:v>50</x:v>
      </x:c>
      <x:c r="H28" s="16" t="str">
        <x:v>Erişildi</x:v>
      </x:c>
      <x:c r="I28" s="18" t="n">
        <x:v>97.75</x:v>
      </x:c>
      <x:c r="J28" s="18" t="str">
        <x:v>Erişildi</x:v>
      </x:c>
      <x:c r="K28" s="18" t="n">
        <x:f>IF(AND(ISNUMBER(G28),ISNUMBER(I28)),I28/G28*1000,"Erişilemedi")</x:f>
        <x:v>1955</x:v>
      </x:c>
      <x:c r="L28" s="16" t="str">
        <x:v>Stokta</x:v>
      </x:c>
      <x:c r="M28" s="16" t="str">
        <x:v>Harman</x:v>
      </x:c>
      <x:c r="N28" s="16" t="str">
        <x:v>Shopify ürün akışı</x:v>
      </x:c>
      <x:c r="O28" s="16" t="str">
        <x:v>Yüksek</x:v>
      </x:c>
      <x:c r="P28" s="19" t="n">
        <x:v>46245</x:v>
      </x:c>
      <x:c r="Q28" s="20" t="str">
        <x:v>https://aroastinglab.com/products/astrower-filter-blend-filtre-kahve-50-gr</x:v>
      </x:c>
      <x:c r="R28" s="20" t="str">
        <x:v>Öğütüm seçenekleri aynı gramaj ve fiyatta tekilleştirildi.</x:v>
      </x:c>
    </x:row>
    <x:row r="29" ht="40" customHeight="1">
      <x:c r="A29" s="16" t="str">
        <x:v>A Roasting Lab</x:v>
      </x:c>
      <x:c r="B29" s="16" t="str">
        <x:v>Bursa</x:v>
      </x:c>
      <x:c r="C29" s="16" t="str">
        <x:v>Doğrulandı</x:v>
      </x:c>
      <x:c r="D29" s="16" t="str">
        <x:v>Ürün kaydı</x:v>
      </x:c>
      <x:c r="E29" s="16" t="str">
        <x:v>Aurora Kahveler Deneme Paketi 5x50 g</x:v>
      </x:c>
      <x:c r="F29" s="16" t="str">
        <x:v>Kolombiya | Burundi | El Salvador | Endonezya</x:v>
      </x:c>
      <x:c r="G29" s="17" t="n">
        <x:v>50</x:v>
      </x:c>
      <x:c r="H29" s="16" t="str">
        <x:v>Erişildi</x:v>
      </x:c>
      <x:c r="I29" s="18" t="n">
        <x:v>479.2</x:v>
      </x:c>
      <x:c r="J29" s="18" t="str">
        <x:v>Erişildi</x:v>
      </x:c>
      <x:c r="K29" s="18" t="n">
        <x:f>IF(AND(ISNUMBER(G29),ISNUMBER(I29)),I29/G29*1000,"Erişilemedi")</x:f>
        <x:v>9584</x:v>
      </x:c>
      <x:c r="L29" s="16" t="str">
        <x:v>Stokta</x:v>
      </x:c>
      <x:c r="M29" s="16" t="str">
        <x:v>Tek köken/ürün</x:v>
      </x:c>
      <x:c r="N29" s="16" t="str">
        <x:v>Shopify ürün akışı</x:v>
      </x:c>
      <x:c r="O29" s="16" t="str">
        <x:v>Yüksek</x:v>
      </x:c>
      <x:c r="P29" s="19" t="n">
        <x:v>46245</x:v>
      </x:c>
      <x:c r="Q29" s="20" t="str">
        <x:v>https://aroastinglab.com/products/aurora-kahveler-deneme-paketi</x:v>
      </x:c>
      <x:c r="R29" s="20" t="str">
        <x:v>Öğütüm seçenekleri aynı gramaj ve fiyatta tekilleştirildi.</x:v>
      </x:c>
    </x:row>
    <x:row r="30" ht="40" customHeight="1">
      <x:c r="A30" s="16" t="str">
        <x:v>A Roasting Lab</x:v>
      </x:c>
      <x:c r="B30" s="16" t="str">
        <x:v>Bursa</x:v>
      </x:c>
      <x:c r="C30" s="16" t="str">
        <x:v>Doğrulandı</x:v>
      </x:c>
      <x:c r="D30" s="16" t="str">
        <x:v>Ürün kaydı</x:v>
      </x:c>
      <x:c r="E30" s="16" t="str">
        <x:v>Brezilya Filtre Kahve 1000g</x:v>
      </x:c>
      <x:c r="F30" s="16" t="str">
        <x:v>Brezilya</x:v>
      </x:c>
      <x:c r="G30" s="17" t="n">
        <x:v>1000</x:v>
      </x:c>
      <x:c r="H30" s="16" t="str">
        <x:v>Erişildi</x:v>
      </x:c>
      <x:c r="I30" s="18" t="n">
        <x:v>1526.94</x:v>
      </x:c>
      <x:c r="J30" s="18" t="str">
        <x:v>Erişildi</x:v>
      </x:c>
      <x:c r="K30" s="18" t="n">
        <x:f>IF(AND(ISNUMBER(G30),ISNUMBER(I30)),I30/G30*1000,"Erişilemedi")</x:f>
        <x:v>1526.94</x:v>
      </x:c>
      <x:c r="L30" s="16" t="str">
        <x:v>Stokta</x:v>
      </x:c>
      <x:c r="M30" s="16" t="str">
        <x:v>Tek köken/ürün</x:v>
      </x:c>
      <x:c r="N30" s="16" t="str">
        <x:v>Shopify ürün akışı</x:v>
      </x:c>
      <x:c r="O30" s="16" t="str">
        <x:v>Yüksek</x:v>
      </x:c>
      <x:c r="P30" s="19" t="n">
        <x:v>46245</x:v>
      </x:c>
      <x:c r="Q30" s="20" t="str">
        <x:v>https://aroastinglab.com/products/brazil-bella-giana-1000-gram-filtre-kahve</x:v>
      </x:c>
      <x:c r="R30" s="20" t="str">
        <x:v>Öğütüm seçenekleri aynı gramaj ve fiyatta tekilleştirildi.</x:v>
      </x:c>
    </x:row>
    <x:row r="31" ht="40" customHeight="1">
      <x:c r="A31" s="16" t="str">
        <x:v>A Roasting Lab</x:v>
      </x:c>
      <x:c r="B31" s="16" t="str">
        <x:v>Bursa</x:v>
      </x:c>
      <x:c r="C31" s="16" t="str">
        <x:v>Doğrulandı</x:v>
      </x:c>
      <x:c r="D31" s="16" t="str">
        <x:v>Ürün kaydı</x:v>
      </x:c>
      <x:c r="E31" s="16" t="str">
        <x:v>Brezilya Filtre Kahve 250g</x:v>
      </x:c>
      <x:c r="F31" s="16" t="str">
        <x:v>Brezilya</x:v>
      </x:c>
      <x:c r="G31" s="17" t="n">
        <x:v>250</x:v>
      </x:c>
      <x:c r="H31" s="16" t="str">
        <x:v>Erişildi</x:v>
      </x:c>
      <x:c r="I31" s="18" t="n">
        <x:v>424.15</x:v>
      </x:c>
      <x:c r="J31" s="18" t="str">
        <x:v>Erişildi</x:v>
      </x:c>
      <x:c r="K31" s="18" t="n">
        <x:f>IF(AND(ISNUMBER(G31),ISNUMBER(I31)),I31/G31*1000,"Erişilemedi")</x:f>
        <x:v>1696.6</x:v>
      </x:c>
      <x:c r="L31" s="16" t="str">
        <x:v>Stokta</x:v>
      </x:c>
      <x:c r="M31" s="16" t="str">
        <x:v>Tek köken/ürün</x:v>
      </x:c>
      <x:c r="N31" s="16" t="str">
        <x:v>Shopify ürün akışı</x:v>
      </x:c>
      <x:c r="O31" s="16" t="str">
        <x:v>Yüksek</x:v>
      </x:c>
      <x:c r="P31" s="19" t="n">
        <x:v>46245</x:v>
      </x:c>
      <x:c r="Q31" s="20" t="str">
        <x:v>https://aroastinglab.com/products/brazil-bella-giana-250-gram-filtre-kahve</x:v>
      </x:c>
      <x:c r="R31" s="20" t="str">
        <x:v>Öğütüm seçenekleri aynı gramaj ve fiyatta tekilleştirildi.</x:v>
      </x:c>
    </x:row>
    <x:row r="32" ht="40" customHeight="1">
      <x:c r="A32" s="16" t="str">
        <x:v>A Roasting Lab</x:v>
      </x:c>
      <x:c r="B32" s="16" t="str">
        <x:v>Bursa</x:v>
      </x:c>
      <x:c r="C32" s="16" t="str">
        <x:v>Doğrulandı</x:v>
      </x:c>
      <x:c r="D32" s="16" t="str">
        <x:v>Ürün kaydı</x:v>
      </x:c>
      <x:c r="E32" s="16" t="str">
        <x:v>Brezilya Filtre Kahve 50g</x:v>
      </x:c>
      <x:c r="F32" s="16" t="str">
        <x:v>Brezilya</x:v>
      </x:c>
      <x:c r="G32" s="17" t="n">
        <x:v>50</x:v>
      </x:c>
      <x:c r="H32" s="16" t="str">
        <x:v>Erişildi</x:v>
      </x:c>
      <x:c r="I32" s="18" t="n">
        <x:v>97.75</x:v>
      </x:c>
      <x:c r="J32" s="18" t="str">
        <x:v>Erişildi</x:v>
      </x:c>
      <x:c r="K32" s="18" t="n">
        <x:f>IF(AND(ISNUMBER(G32),ISNUMBER(I32)),I32/G32*1000,"Erişilemedi")</x:f>
        <x:v>1955</x:v>
      </x:c>
      <x:c r="L32" s="16" t="str">
        <x:v>Stokta</x:v>
      </x:c>
      <x:c r="M32" s="16" t="str">
        <x:v>Tek köken/ürün</x:v>
      </x:c>
      <x:c r="N32" s="16" t="str">
        <x:v>Shopify ürün akışı</x:v>
      </x:c>
      <x:c r="O32" s="16" t="str">
        <x:v>Yüksek</x:v>
      </x:c>
      <x:c r="P32" s="19" t="n">
        <x:v>46245</x:v>
      </x:c>
      <x:c r="Q32" s="20" t="str">
        <x:v>https://aroastinglab.com/products/brazil-bella-giana-50-gram-filtre-kahve</x:v>
      </x:c>
      <x:c r="R32" s="20" t="str">
        <x:v>Öğütüm seçenekleri aynı gramaj ve fiyatta tekilleştirildi.</x:v>
      </x:c>
    </x:row>
    <x:row r="33" ht="40" customHeight="1">
      <x:c r="A33" s="16" t="str">
        <x:v>A Roasting Lab</x:v>
      </x:c>
      <x:c r="B33" s="16" t="str">
        <x:v>Bursa</x:v>
      </x:c>
      <x:c r="C33" s="16" t="str">
        <x:v>Doğrulandı</x:v>
      </x:c>
      <x:c r="D33" s="16" t="str">
        <x:v>Ürün kaydı</x:v>
      </x:c>
      <x:c r="E33" s="16" t="str">
        <x:v>Burundi Filtre Kahve 1000g</x:v>
      </x:c>
      <x:c r="F33" s="16" t="str">
        <x:v>Burundi</x:v>
      </x:c>
      <x:c r="G33" s="17" t="n">
        <x:v>1000</x:v>
      </x:c>
      <x:c r="H33" s="16" t="str">
        <x:v>Erişildi</x:v>
      </x:c>
      <x:c r="I33" s="18" t="n">
        <x:v>1526.94</x:v>
      </x:c>
      <x:c r="J33" s="18" t="str">
        <x:v>Erişildi</x:v>
      </x:c>
      <x:c r="K33" s="18" t="n">
        <x:f>IF(AND(ISNUMBER(G33),ISNUMBER(I33)),I33/G33*1000,"Erişilemedi")</x:f>
        <x:v>1526.94</x:v>
      </x:c>
      <x:c r="L33" s="16" t="str">
        <x:v>Stokta</x:v>
      </x:c>
      <x:c r="M33" s="16" t="str">
        <x:v>Tek köken/ürün</x:v>
      </x:c>
      <x:c r="N33" s="16" t="str">
        <x:v>Shopify ürün akışı</x:v>
      </x:c>
      <x:c r="O33" s="16" t="str">
        <x:v>Yüksek</x:v>
      </x:c>
      <x:c r="P33" s="19" t="n">
        <x:v>46245</x:v>
      </x:c>
      <x:c r="Q33" s="20" t="str">
        <x:v>https://aroastinglab.com/products/burundi-afric-1000-gram-filtre-kahve</x:v>
      </x:c>
      <x:c r="R33" s="20" t="str">
        <x:v>Öğütüm seçenekleri aynı gramaj ve fiyatta tekilleştirildi.</x:v>
      </x:c>
    </x:row>
    <x:row r="34" ht="40" customHeight="1">
      <x:c r="A34" s="16" t="str">
        <x:v>A Roasting Lab</x:v>
      </x:c>
      <x:c r="B34" s="16" t="str">
        <x:v>Bursa</x:v>
      </x:c>
      <x:c r="C34" s="16" t="str">
        <x:v>Doğrulandı</x:v>
      </x:c>
      <x:c r="D34" s="16" t="str">
        <x:v>Ürün kaydı</x:v>
      </x:c>
      <x:c r="E34" s="16" t="str">
        <x:v>Burundi Filtre Kahve 250g</x:v>
      </x:c>
      <x:c r="F34" s="16" t="str">
        <x:v>Burundi</x:v>
      </x:c>
      <x:c r="G34" s="17" t="n">
        <x:v>250</x:v>
      </x:c>
      <x:c r="H34" s="16" t="str">
        <x:v>Erişildi</x:v>
      </x:c>
      <x:c r="I34" s="18" t="n">
        <x:v>424.15</x:v>
      </x:c>
      <x:c r="J34" s="18" t="str">
        <x:v>Erişildi</x:v>
      </x:c>
      <x:c r="K34" s="18" t="n">
        <x:f>IF(AND(ISNUMBER(G34),ISNUMBER(I34)),I34/G34*1000,"Erişilemedi")</x:f>
        <x:v>1696.6</x:v>
      </x:c>
      <x:c r="L34" s="16" t="str">
        <x:v>Stokta</x:v>
      </x:c>
      <x:c r="M34" s="16" t="str">
        <x:v>Tek köken/ürün</x:v>
      </x:c>
      <x:c r="N34" s="16" t="str">
        <x:v>Shopify ürün akışı</x:v>
      </x:c>
      <x:c r="O34" s="16" t="str">
        <x:v>Yüksek</x:v>
      </x:c>
      <x:c r="P34" s="19" t="n">
        <x:v>46245</x:v>
      </x:c>
      <x:c r="Q34" s="20" t="str">
        <x:v>https://aroastinglab.com/products/burundi-afric-250-gram-filtre-kahve</x:v>
      </x:c>
      <x:c r="R34" s="20" t="str">
        <x:v>Öğütüm seçenekleri aynı gramaj ve fiyatta tekilleştirildi.</x:v>
      </x:c>
    </x:row>
    <x:row r="35" ht="40" customHeight="1">
      <x:c r="A35" s="16" t="str">
        <x:v>A Roasting Lab</x:v>
      </x:c>
      <x:c r="B35" s="16" t="str">
        <x:v>Bursa</x:v>
      </x:c>
      <x:c r="C35" s="16" t="str">
        <x:v>Doğrulandı</x:v>
      </x:c>
      <x:c r="D35" s="16" t="str">
        <x:v>Ürün kaydı</x:v>
      </x:c>
      <x:c r="E35" s="16" t="str">
        <x:v>Burundi Filtre Kahve 50g</x:v>
      </x:c>
      <x:c r="F35" s="16" t="str">
        <x:v>Burundi</x:v>
      </x:c>
      <x:c r="G35" s="17" t="n">
        <x:v>50</x:v>
      </x:c>
      <x:c r="H35" s="16" t="str">
        <x:v>Erişildi</x:v>
      </x:c>
      <x:c r="I35" s="18" t="n">
        <x:v>97.75</x:v>
      </x:c>
      <x:c r="J35" s="18" t="str">
        <x:v>Erişildi</x:v>
      </x:c>
      <x:c r="K35" s="18" t="n">
        <x:f>IF(AND(ISNUMBER(G35),ISNUMBER(I35)),I35/G35*1000,"Erişilemedi")</x:f>
        <x:v>1955</x:v>
      </x:c>
      <x:c r="L35" s="16" t="str">
        <x:v>Stokta</x:v>
      </x:c>
      <x:c r="M35" s="16" t="str">
        <x:v>Tek köken/ürün</x:v>
      </x:c>
      <x:c r="N35" s="16" t="str">
        <x:v>Shopify ürün akışı</x:v>
      </x:c>
      <x:c r="O35" s="16" t="str">
        <x:v>Yüksek</x:v>
      </x:c>
      <x:c r="P35" s="19" t="n">
        <x:v>46245</x:v>
      </x:c>
      <x:c r="Q35" s="20" t="str">
        <x:v>https://aroastinglab.com/products/burundi-afric-50-gram-filtre-kahve</x:v>
      </x:c>
      <x:c r="R35" s="20" t="str">
        <x:v>Öğütüm seçenekleri aynı gramaj ve fiyatta tekilleştirildi.</x:v>
      </x:c>
    </x:row>
    <x:row r="36" ht="40" customHeight="1">
      <x:c r="A36" s="16" t="str">
        <x:v>A Roasting Lab</x:v>
      </x:c>
      <x:c r="B36" s="16" t="str">
        <x:v>Bursa</x:v>
      </x:c>
      <x:c r="C36" s="16" t="str">
        <x:v>Doğrulandı</x:v>
      </x:c>
      <x:c r="D36" s="16" t="str">
        <x:v>Ürün kaydı</x:v>
      </x:c>
      <x:c r="E36" s="16" t="str">
        <x:v>Darkness Blend Kahve 1000g</x:v>
      </x:c>
      <x:c r="F36" s="16" t="str">
        <x:v>Kolombiya | Brezilya</x:v>
      </x:c>
      <x:c r="G36" s="17" t="n">
        <x:v>1000</x:v>
      </x:c>
      <x:c r="H36" s="16" t="str">
        <x:v>Erişildi</x:v>
      </x:c>
      <x:c r="I36" s="18" t="n">
        <x:v>1526.94</x:v>
      </x:c>
      <x:c r="J36" s="18" t="str">
        <x:v>Erişildi</x:v>
      </x:c>
      <x:c r="K36" s="18" t="n">
        <x:f>IF(AND(ISNUMBER(G36),ISNUMBER(I36)),I36/G36*1000,"Erişilemedi")</x:f>
        <x:v>1526.94</x:v>
      </x:c>
      <x:c r="L36" s="16" t="str">
        <x:v>Stokta</x:v>
      </x:c>
      <x:c r="M36" s="16" t="str">
        <x:v>Harman</x:v>
      </x:c>
      <x:c r="N36" s="16" t="str">
        <x:v>Shopify ürün akışı</x:v>
      </x:c>
      <x:c r="O36" s="16" t="str">
        <x:v>Yüksek</x:v>
      </x:c>
      <x:c r="P36" s="19" t="n">
        <x:v>46245</x:v>
      </x:c>
      <x:c r="Q36" s="20" t="str">
        <x:v>https://aroastinglab.com/products/darkness-blend-kahve-1000g</x:v>
      </x:c>
      <x:c r="R36" s="20" t="str">
        <x:v>Öğütüm seçenekleri aynı gramaj ve fiyatta tekilleştirildi.</x:v>
      </x:c>
    </x:row>
    <x:row r="37" ht="40" customHeight="1">
      <x:c r="A37" s="16" t="str">
        <x:v>A Roasting Lab</x:v>
      </x:c>
      <x:c r="B37" s="16" t="str">
        <x:v>Bursa</x:v>
      </x:c>
      <x:c r="C37" s="16" t="str">
        <x:v>Doğrulandı</x:v>
      </x:c>
      <x:c r="D37" s="16" t="str">
        <x:v>Ürün kaydı</x:v>
      </x:c>
      <x:c r="E37" s="16" t="str">
        <x:v>Darkness Blend Kahve 250g</x:v>
      </x:c>
      <x:c r="F37" s="16" t="str">
        <x:v>Kolombiya | Brezilya</x:v>
      </x:c>
      <x:c r="G37" s="17" t="n">
        <x:v>250</x:v>
      </x:c>
      <x:c r="H37" s="16" t="str">
        <x:v>Erişildi</x:v>
      </x:c>
      <x:c r="I37" s="18" t="n">
        <x:v>424.15</x:v>
      </x:c>
      <x:c r="J37" s="18" t="str">
        <x:v>Erişildi</x:v>
      </x:c>
      <x:c r="K37" s="18" t="n">
        <x:f>IF(AND(ISNUMBER(G37),ISNUMBER(I37)),I37/G37*1000,"Erişilemedi")</x:f>
        <x:v>1696.6</x:v>
      </x:c>
      <x:c r="L37" s="16" t="str">
        <x:v>Stokta</x:v>
      </x:c>
      <x:c r="M37" s="16" t="str">
        <x:v>Harman</x:v>
      </x:c>
      <x:c r="N37" s="16" t="str">
        <x:v>Shopify ürün akışı</x:v>
      </x:c>
      <x:c r="O37" s="16" t="str">
        <x:v>Yüksek</x:v>
      </x:c>
      <x:c r="P37" s="19" t="n">
        <x:v>46245</x:v>
      </x:c>
      <x:c r="Q37" s="20" t="str">
        <x:v>https://aroastinglab.com/products/darkness-filter-blend-250-gram-filtre-kahve</x:v>
      </x:c>
      <x:c r="R37" s="20" t="str">
        <x:v>Öğütüm seçenekleri aynı gramaj ve fiyatta tekilleştirildi.</x:v>
      </x:c>
    </x:row>
    <x:row r="38" ht="40" customHeight="1">
      <x:c r="A38" s="16" t="str">
        <x:v>A Roasting Lab</x:v>
      </x:c>
      <x:c r="B38" s="16" t="str">
        <x:v>Bursa</x:v>
      </x:c>
      <x:c r="C38" s="16" t="str">
        <x:v>Doğrulandı</x:v>
      </x:c>
      <x:c r="D38" s="16" t="str">
        <x:v>Ürün kaydı</x:v>
      </x:c>
      <x:c r="E38" s="16" t="str">
        <x:v>El Salvador Espresso 1000g</x:v>
      </x:c>
      <x:c r="F38" s="16" t="str">
        <x:v>El Salvador</x:v>
      </x:c>
      <x:c r="G38" s="17" t="n">
        <x:v>1000</x:v>
      </x:c>
      <x:c r="H38" s="16" t="str">
        <x:v>Erişildi</x:v>
      </x:c>
      <x:c r="I38" s="18" t="n">
        <x:v>1526.94</x:v>
      </x:c>
      <x:c r="J38" s="18" t="str">
        <x:v>Erişildi</x:v>
      </x:c>
      <x:c r="K38" s="18" t="n">
        <x:f>IF(AND(ISNUMBER(G38),ISNUMBER(I38)),I38/G38*1000,"Erişilemedi")</x:f>
        <x:v>1526.94</x:v>
      </x:c>
      <x:c r="L38" s="16" t="str">
        <x:v>Stokta</x:v>
      </x:c>
      <x:c r="M38" s="16" t="str">
        <x:v>Tek köken/ürün</x:v>
      </x:c>
      <x:c r="N38" s="16" t="str">
        <x:v>Shopify ürün akışı</x:v>
      </x:c>
      <x:c r="O38" s="16" t="str">
        <x:v>Yüksek</x:v>
      </x:c>
      <x:c r="P38" s="19" t="n">
        <x:v>46245</x:v>
      </x:c>
      <x:c r="Q38" s="20" t="str">
        <x:v>https://aroastinglab.com/products/el-salvador-espresso-shg-1000-gram</x:v>
      </x:c>
      <x:c r="R38" s="20" t="str">
        <x:v>Öğütüm seçenekleri aynı gramaj ve fiyatta tekilleştirildi.</x:v>
      </x:c>
    </x:row>
    <x:row r="39" ht="40" customHeight="1">
      <x:c r="A39" s="16" t="str">
        <x:v>A Roasting Lab</x:v>
      </x:c>
      <x:c r="B39" s="16" t="str">
        <x:v>Bursa</x:v>
      </x:c>
      <x:c r="C39" s="16" t="str">
        <x:v>Doğrulandı</x:v>
      </x:c>
      <x:c r="D39" s="16" t="str">
        <x:v>Ürün kaydı</x:v>
      </x:c>
      <x:c r="E39" s="16" t="str">
        <x:v>El Salvador Espresso 250g</x:v>
      </x:c>
      <x:c r="F39" s="16" t="str">
        <x:v>El Salvador</x:v>
      </x:c>
      <x:c r="G39" s="17" t="n">
        <x:v>250</x:v>
      </x:c>
      <x:c r="H39" s="16" t="str">
        <x:v>Erişildi</x:v>
      </x:c>
      <x:c r="I39" s="18" t="n">
        <x:v>424.15</x:v>
      </x:c>
      <x:c r="J39" s="18" t="str">
        <x:v>Erişildi</x:v>
      </x:c>
      <x:c r="K39" s="18" t="n">
        <x:f>IF(AND(ISNUMBER(G39),ISNUMBER(I39)),I39/G39*1000,"Erişilemedi")</x:f>
        <x:v>1696.6</x:v>
      </x:c>
      <x:c r="L39" s="16" t="str">
        <x:v>Stokta</x:v>
      </x:c>
      <x:c r="M39" s="16" t="str">
        <x:v>Tek köken/ürün</x:v>
      </x:c>
      <x:c r="N39" s="16" t="str">
        <x:v>Shopify ürün akışı</x:v>
      </x:c>
      <x:c r="O39" s="16" t="str">
        <x:v>Yüksek</x:v>
      </x:c>
      <x:c r="P39" s="19" t="n">
        <x:v>46245</x:v>
      </x:c>
      <x:c r="Q39" s="20" t="str">
        <x:v>https://aroastinglab.com/products/el-salvador-espresso-shg-250-gram</x:v>
      </x:c>
      <x:c r="R39" s="20" t="str">
        <x:v>Öğütüm seçenekleri aynı gramaj ve fiyatta tekilleştirildi.</x:v>
      </x:c>
    </x:row>
    <x:row r="40" ht="40" customHeight="1">
      <x:c r="A40" s="16" t="str">
        <x:v>A Roasting Lab</x:v>
      </x:c>
      <x:c r="B40" s="16" t="str">
        <x:v>Bursa</x:v>
      </x:c>
      <x:c r="C40" s="16" t="str">
        <x:v>Doğrulandı</x:v>
      </x:c>
      <x:c r="D40" s="16" t="str">
        <x:v>Ürün kaydı</x:v>
      </x:c>
      <x:c r="E40" s="16" t="str">
        <x:v>El Salvador Espresso 50g</x:v>
      </x:c>
      <x:c r="F40" s="16" t="str">
        <x:v>El Salvador</x:v>
      </x:c>
      <x:c r="G40" s="17" t="n">
        <x:v>50</x:v>
      </x:c>
      <x:c r="H40" s="16" t="str">
        <x:v>Erişildi</x:v>
      </x:c>
      <x:c r="I40" s="18" t="n">
        <x:v>97.75</x:v>
      </x:c>
      <x:c r="J40" s="18" t="str">
        <x:v>Erişildi</x:v>
      </x:c>
      <x:c r="K40" s="18" t="n">
        <x:f>IF(AND(ISNUMBER(G40),ISNUMBER(I40)),I40/G40*1000,"Erişilemedi")</x:f>
        <x:v>1955</x:v>
      </x:c>
      <x:c r="L40" s="16" t="str">
        <x:v>Stokta</x:v>
      </x:c>
      <x:c r="M40" s="16" t="str">
        <x:v>Tek köken/ürün</x:v>
      </x:c>
      <x:c r="N40" s="16" t="str">
        <x:v>Shopify ürün akışı</x:v>
      </x:c>
      <x:c r="O40" s="16" t="str">
        <x:v>Yüksek</x:v>
      </x:c>
      <x:c r="P40" s="19" t="n">
        <x:v>46245</x:v>
      </x:c>
      <x:c r="Q40" s="20" t="str">
        <x:v>https://aroastinglab.com/products/el-salvador-espresso-shg-50-gram</x:v>
      </x:c>
      <x:c r="R40" s="20" t="str">
        <x:v>Öğütüm seçenekleri aynı gramaj ve fiyatta tekilleştirildi.</x:v>
      </x:c>
    </x:row>
    <x:row r="41" ht="40" customHeight="1">
      <x:c r="A41" s="16" t="str">
        <x:v>A Roasting Lab</x:v>
      </x:c>
      <x:c r="B41" s="16" t="str">
        <x:v>Bursa</x:v>
      </x:c>
      <x:c r="C41" s="16" t="str">
        <x:v>Doğrulandı</x:v>
      </x:c>
      <x:c r="D41" s="16" t="str">
        <x:v>Ürün kaydı</x:v>
      </x:c>
      <x:c r="E41" s="16" t="str">
        <x:v>El Salvador Filtre Kahve 1000g</x:v>
      </x:c>
      <x:c r="F41" s="16" t="str">
        <x:v>El Salvador</x:v>
      </x:c>
      <x:c r="G41" s="17" t="n">
        <x:v>1000</x:v>
      </x:c>
      <x:c r="H41" s="16" t="str">
        <x:v>Erişildi</x:v>
      </x:c>
      <x:c r="I41" s="18" t="n">
        <x:v>1526.94</x:v>
      </x:c>
      <x:c r="J41" s="18" t="str">
        <x:v>Erişildi</x:v>
      </x:c>
      <x:c r="K41" s="18" t="n">
        <x:f>IF(AND(ISNUMBER(G41),ISNUMBER(I41)),I41/G41*1000,"Erişilemedi")</x:f>
        <x:v>1526.94</x:v>
      </x:c>
      <x:c r="L41" s="16" t="str">
        <x:v>Stokta</x:v>
      </x:c>
      <x:c r="M41" s="16" t="str">
        <x:v>Tek köken/ürün</x:v>
      </x:c>
      <x:c r="N41" s="16" t="str">
        <x:v>Shopify ürün akışı</x:v>
      </x:c>
      <x:c r="O41" s="16" t="str">
        <x:v>Yüksek</x:v>
      </x:c>
      <x:c r="P41" s="19" t="n">
        <x:v>46245</x:v>
      </x:c>
      <x:c r="Q41" s="20" t="str">
        <x:v>https://aroastinglab.com/products/el-salvador-shg-1000-gram-filtre-kahve</x:v>
      </x:c>
      <x:c r="R41" s="20" t="str">
        <x:v>Öğütüm seçenekleri aynı gramaj ve fiyatta tekilleştirildi.</x:v>
      </x:c>
    </x:row>
    <x:row r="42" ht="40" customHeight="1">
      <x:c r="A42" s="16" t="str">
        <x:v>A Roasting Lab</x:v>
      </x:c>
      <x:c r="B42" s="16" t="str">
        <x:v>Bursa</x:v>
      </x:c>
      <x:c r="C42" s="16" t="str">
        <x:v>Doğrulandı</x:v>
      </x:c>
      <x:c r="D42" s="16" t="str">
        <x:v>Ürün kaydı</x:v>
      </x:c>
      <x:c r="E42" s="16" t="str">
        <x:v>El Salvador Filtre Kahve 250g</x:v>
      </x:c>
      <x:c r="F42" s="16" t="str">
        <x:v>El Salvador</x:v>
      </x:c>
      <x:c r="G42" s="17" t="n">
        <x:v>250</x:v>
      </x:c>
      <x:c r="H42" s="16" t="str">
        <x:v>Erişildi</x:v>
      </x:c>
      <x:c r="I42" s="18" t="n">
        <x:v>424.15</x:v>
      </x:c>
      <x:c r="J42" s="18" t="str">
        <x:v>Erişildi</x:v>
      </x:c>
      <x:c r="K42" s="18" t="n">
        <x:f>IF(AND(ISNUMBER(G42),ISNUMBER(I42)),I42/G42*1000,"Erişilemedi")</x:f>
        <x:v>1696.6</x:v>
      </x:c>
      <x:c r="L42" s="16" t="str">
        <x:v>Stokta</x:v>
      </x:c>
      <x:c r="M42" s="16" t="str">
        <x:v>Tek köken/ürün</x:v>
      </x:c>
      <x:c r="N42" s="16" t="str">
        <x:v>Shopify ürün akışı</x:v>
      </x:c>
      <x:c r="O42" s="16" t="str">
        <x:v>Yüksek</x:v>
      </x:c>
      <x:c r="P42" s="19" t="n">
        <x:v>46245</x:v>
      </x:c>
      <x:c r="Q42" s="20" t="str">
        <x:v>https://aroastinglab.com/products/el-salvador-shg-250-gram-filtre-kahve</x:v>
      </x:c>
      <x:c r="R42" s="20" t="str">
        <x:v>Öğütüm seçenekleri aynı gramaj ve fiyatta tekilleştirildi.</x:v>
      </x:c>
    </x:row>
    <x:row r="43" ht="40" customHeight="1">
      <x:c r="A43" s="16" t="str">
        <x:v>A Roasting Lab</x:v>
      </x:c>
      <x:c r="B43" s="16" t="str">
        <x:v>Bursa</x:v>
      </x:c>
      <x:c r="C43" s="16" t="str">
        <x:v>Doğrulandı</x:v>
      </x:c>
      <x:c r="D43" s="16" t="str">
        <x:v>Ürün kaydı</x:v>
      </x:c>
      <x:c r="E43" s="16" t="str">
        <x:v>El Salvador Filtre Kahve 50g</x:v>
      </x:c>
      <x:c r="F43" s="16" t="str">
        <x:v>El Salvador</x:v>
      </x:c>
      <x:c r="G43" s="17" t="n">
        <x:v>50</x:v>
      </x:c>
      <x:c r="H43" s="16" t="str">
        <x:v>Erişildi</x:v>
      </x:c>
      <x:c r="I43" s="18" t="n">
        <x:v>97.75</x:v>
      </x:c>
      <x:c r="J43" s="18" t="str">
        <x:v>Erişildi</x:v>
      </x:c>
      <x:c r="K43" s="18" t="n">
        <x:f>IF(AND(ISNUMBER(G43),ISNUMBER(I43)),I43/G43*1000,"Erişilemedi")</x:f>
        <x:v>1955</x:v>
      </x:c>
      <x:c r="L43" s="16" t="str">
        <x:v>Stokta</x:v>
      </x:c>
      <x:c r="M43" s="16" t="str">
        <x:v>Tek köken/ürün</x:v>
      </x:c>
      <x:c r="N43" s="16" t="str">
        <x:v>Shopify ürün akışı</x:v>
      </x:c>
      <x:c r="O43" s="16" t="str">
        <x:v>Yüksek</x:v>
      </x:c>
      <x:c r="P43" s="19" t="n">
        <x:v>46245</x:v>
      </x:c>
      <x:c r="Q43" s="20" t="str">
        <x:v>https://aroastinglab.com/products/el-salvador-shg-50-gram-filtre-kahve</x:v>
      </x:c>
      <x:c r="R43" s="20" t="str">
        <x:v>Öğütüm seçenekleri aynı gramaj ve fiyatta tekilleştirildi.</x:v>
      </x:c>
    </x:row>
    <x:row r="44" ht="40" customHeight="1">
      <x:c r="A44" s="16" t="str">
        <x:v>A Roasting Lab</x:v>
      </x:c>
      <x:c r="B44" s="16" t="str">
        <x:v>Bursa</x:v>
      </x:c>
      <x:c r="C44" s="16" t="str">
        <x:v>Doğrulandı</x:v>
      </x:c>
      <x:c r="D44" s="16" t="str">
        <x:v>Ürün kaydı</x:v>
      </x:c>
      <x:c r="E44" s="16" t="str">
        <x:v>El Salvador Finca Gabriela Filtre Kahve 250g</x:v>
      </x:c>
      <x:c r="F44" s="16" t="str">
        <x:v>El Salvador</x:v>
      </x:c>
      <x:c r="G44" s="17" t="n">
        <x:v>250</x:v>
      </x:c>
      <x:c r="H44" s="16" t="str">
        <x:v>Erişildi</x:v>
      </x:c>
      <x:c r="I44" s="18" t="n">
        <x:v>509.15</x:v>
      </x:c>
      <x:c r="J44" s="18" t="str">
        <x:v>Erişildi</x:v>
      </x:c>
      <x:c r="K44" s="18" t="n">
        <x:f>IF(AND(ISNUMBER(G44),ISNUMBER(I44)),I44/G44*1000,"Erişilemedi")</x:f>
        <x:v>2036.6</x:v>
      </x:c>
      <x:c r="L44" s="16" t="str">
        <x:v>Stokta</x:v>
      </x:c>
      <x:c r="M44" s="16" t="str">
        <x:v>Tek köken/ürün</x:v>
      </x:c>
      <x:c r="N44" s="16" t="str">
        <x:v>Shopify ürün akışı</x:v>
      </x:c>
      <x:c r="O44" s="16" t="str">
        <x:v>Yüksek</x:v>
      </x:c>
      <x:c r="P44" s="19" t="n">
        <x:v>46245</x:v>
      </x:c>
      <x:c r="Q44" s="20" t="str">
        <x:v>https://aroastinglab.com/products/el-salvador-finca-gabriela-250-gram-filtre-kahve</x:v>
      </x:c>
      <x:c r="R44" s="20" t="str">
        <x:v>Öğütüm seçenekleri aynı gramaj ve fiyatta tekilleştirildi.</x:v>
      </x:c>
    </x:row>
    <x:row r="45" ht="40" customHeight="1">
      <x:c r="A45" s="16" t="str">
        <x:v>A Roasting Lab</x:v>
      </x:c>
      <x:c r="B45" s="16" t="str">
        <x:v>Bursa</x:v>
      </x:c>
      <x:c r="C45" s="16" t="str">
        <x:v>Doğrulandı</x:v>
      </x:c>
      <x:c r="D45" s="16" t="str">
        <x:v>Ürün kaydı</x:v>
      </x:c>
      <x:c r="E45" s="16" t="str">
        <x:v>Endonezya Sumatra Filtre Kahve 1000g</x:v>
      </x:c>
      <x:c r="F45" s="16" t="str">
        <x:v>Endonezya</x:v>
      </x:c>
      <x:c r="G45" s="17" t="n">
        <x:v>1000</x:v>
      </x:c>
      <x:c r="H45" s="16" t="str">
        <x:v>Erişildi</x:v>
      </x:c>
      <x:c r="I45" s="18" t="n">
        <x:v>1826.65</x:v>
      </x:c>
      <x:c r="J45" s="18" t="str">
        <x:v>Erişildi</x:v>
      </x:c>
      <x:c r="K45" s="18" t="n">
        <x:f>IF(AND(ISNUMBER(G45),ISNUMBER(I45)),I45/G45*1000,"Erişilemedi")</x:f>
        <x:v>1826.65</x:v>
      </x:c>
      <x:c r="L45" s="16" t="str">
        <x:v>Stokta</x:v>
      </x:c>
      <x:c r="M45" s="16" t="str">
        <x:v>Tek köken/ürün</x:v>
      </x:c>
      <x:c r="N45" s="16" t="str">
        <x:v>Shopify ürün akışı</x:v>
      </x:c>
      <x:c r="O45" s="16" t="str">
        <x:v>Yüksek</x:v>
      </x:c>
      <x:c r="P45" s="19" t="n">
        <x:v>46245</x:v>
      </x:c>
      <x:c r="Q45" s="20" t="str">
        <x:v>https://aroastinglab.com/products/indonesia-sumatra-blue-mandheling-1000-gram-filtre-kahve</x:v>
      </x:c>
      <x:c r="R45" s="20" t="str">
        <x:v>Öğütüm seçenekleri aynı gramaj ve fiyatta tekilleştirildi.</x:v>
      </x:c>
    </x:row>
    <x:row r="46" ht="40" customHeight="1">
      <x:c r="A46" s="16" t="str">
        <x:v>A Roasting Lab</x:v>
      </x:c>
      <x:c r="B46" s="16" t="str">
        <x:v>Bursa</x:v>
      </x:c>
      <x:c r="C46" s="16" t="str">
        <x:v>Doğrulandı</x:v>
      </x:c>
      <x:c r="D46" s="16" t="str">
        <x:v>Ürün kaydı</x:v>
      </x:c>
      <x:c r="E46" s="16" t="str">
        <x:v>Endonezya Sumatra Filtre Kahve 250g</x:v>
      </x:c>
      <x:c r="F46" s="16" t="str">
        <x:v>Endonezya</x:v>
      </x:c>
      <x:c r="G46" s="17" t="n">
        <x:v>250</x:v>
      </x:c>
      <x:c r="H46" s="16" t="str">
        <x:v>Erişildi</x:v>
      </x:c>
      <x:c r="I46" s="18" t="n">
        <x:v>509.15</x:v>
      </x:c>
      <x:c r="J46" s="18" t="str">
        <x:v>Erişildi</x:v>
      </x:c>
      <x:c r="K46" s="18" t="n">
        <x:f>IF(AND(ISNUMBER(G46),ISNUMBER(I46)),I46/G46*1000,"Erişilemedi")</x:f>
        <x:v>2036.6</x:v>
      </x:c>
      <x:c r="L46" s="16" t="str">
        <x:v>Stokta</x:v>
      </x:c>
      <x:c r="M46" s="16" t="str">
        <x:v>Tek köken/ürün</x:v>
      </x:c>
      <x:c r="N46" s="16" t="str">
        <x:v>Shopify ürün akışı</x:v>
      </x:c>
      <x:c r="O46" s="16" t="str">
        <x:v>Yüksek</x:v>
      </x:c>
      <x:c r="P46" s="19" t="n">
        <x:v>46245</x:v>
      </x:c>
      <x:c r="Q46" s="20" t="str">
        <x:v>https://aroastinglab.com/products/indonesia-sumatra-blue-mandheling-250-gram-filtre-kahve</x:v>
      </x:c>
      <x:c r="R46" s="20" t="str">
        <x:v>Öğütüm seçenekleri aynı gramaj ve fiyatta tekilleştirildi.</x:v>
      </x:c>
    </x:row>
    <x:row r="47" ht="40" customHeight="1">
      <x:c r="A47" s="16" t="str">
        <x:v>A Roasting Lab</x:v>
      </x:c>
      <x:c r="B47" s="16" t="str">
        <x:v>Bursa</x:v>
      </x:c>
      <x:c r="C47" s="16" t="str">
        <x:v>Doğrulandı</x:v>
      </x:c>
      <x:c r="D47" s="16" t="str">
        <x:v>Ürün kaydı</x:v>
      </x:c>
      <x:c r="E47" s="16" t="str">
        <x:v>Endonezya Sumatra Filtre Kahve 50g</x:v>
      </x:c>
      <x:c r="F47" s="16" t="str">
        <x:v>Endonezya</x:v>
      </x:c>
      <x:c r="G47" s="17" t="n">
        <x:v>50</x:v>
      </x:c>
      <x:c r="H47" s="16" t="str">
        <x:v>Erişildi</x:v>
      </x:c>
      <x:c r="I47" s="18" t="n">
        <x:v>109.65</x:v>
      </x:c>
      <x:c r="J47" s="18" t="str">
        <x:v>Erişildi</x:v>
      </x:c>
      <x:c r="K47" s="18" t="n">
        <x:f>IF(AND(ISNUMBER(G47),ISNUMBER(I47)),I47/G47*1000,"Erişilemedi")</x:f>
        <x:v>2193</x:v>
      </x:c>
      <x:c r="L47" s="16" t="str">
        <x:v>Stokta</x:v>
      </x:c>
      <x:c r="M47" s="16" t="str">
        <x:v>Tek köken/ürün</x:v>
      </x:c>
      <x:c r="N47" s="16" t="str">
        <x:v>Shopify ürün akışı</x:v>
      </x:c>
      <x:c r="O47" s="16" t="str">
        <x:v>Yüksek</x:v>
      </x:c>
      <x:c r="P47" s="19" t="n">
        <x:v>46245</x:v>
      </x:c>
      <x:c r="Q47" s="20" t="str">
        <x:v>https://aroastinglab.com/products/indonesia-sumatra-blue-mandheling-50-gram-filtre-kahve</x:v>
      </x:c>
      <x:c r="R47" s="20" t="str">
        <x:v>Öğütüm seçenekleri aynı gramaj ve fiyatta tekilleştirildi.</x:v>
      </x:c>
    </x:row>
    <x:row r="48" ht="40" customHeight="1">
      <x:c r="A48" s="16" t="str">
        <x:v>A Roasting Lab</x:v>
      </x:c>
      <x:c r="B48" s="16" t="str">
        <x:v>Bursa</x:v>
      </x:c>
      <x:c r="C48" s="16" t="str">
        <x:v>Doğrulandı</x:v>
      </x:c>
      <x:c r="D48" s="16" t="str">
        <x:v>Ürün kaydı</x:v>
      </x:c>
      <x:c r="E48" s="16" t="str">
        <x:v>Espresso Kahveler Deneme Paketi 4x50 g</x:v>
      </x:c>
      <x:c r="F48" s="16" t="str">
        <x:v>Kolombiya | Guatemala | El Salvador</x:v>
      </x:c>
      <x:c r="G48" s="17" t="n">
        <x:v>50</x:v>
      </x:c>
      <x:c r="H48" s="16" t="str">
        <x:v>Erişildi</x:v>
      </x:c>
      <x:c r="I48" s="18" t="n">
        <x:v>399.2</x:v>
      </x:c>
      <x:c r="J48" s="18" t="str">
        <x:v>Erişildi</x:v>
      </x:c>
      <x:c r="K48" s="18" t="n">
        <x:f>IF(AND(ISNUMBER(G48),ISNUMBER(I48)),I48/G48*1000,"Erişilemedi")</x:f>
        <x:v>7984</x:v>
      </x:c>
      <x:c r="L48" s="16" t="str">
        <x:v>Stokta</x:v>
      </x:c>
      <x:c r="M48" s="16" t="str">
        <x:v>Tek köken/ürün</x:v>
      </x:c>
      <x:c r="N48" s="16" t="str">
        <x:v>Shopify ürün akışı</x:v>
      </x:c>
      <x:c r="O48" s="16" t="str">
        <x:v>Yüksek</x:v>
      </x:c>
      <x:c r="P48" s="19" t="n">
        <x:v>46245</x:v>
      </x:c>
      <x:c r="Q48" s="20" t="str">
        <x:v>https://aroastinglab.com/products/espresso-kahveler-deneme-paketi-4x50-g</x:v>
      </x:c>
      <x:c r="R48" s="20" t="str">
        <x:v>Öğütüm seçenekleri aynı gramaj ve fiyatta tekilleştirildi.</x:v>
      </x:c>
    </x:row>
    <x:row r="49" ht="40" customHeight="1">
      <x:c r="A49" s="16" t="str">
        <x:v>A Roasting Lab</x:v>
      </x:c>
      <x:c r="B49" s="16" t="str">
        <x:v>Bursa</x:v>
      </x:c>
      <x:c r="C49" s="16" t="str">
        <x:v>Doğrulandı</x:v>
      </x:c>
      <x:c r="D49" s="16" t="str">
        <x:v>Ürün kaydı</x:v>
      </x:c>
      <x:c r="E49" s="16" t="str">
        <x:v>Espresso Kahveler Tanışma Seti 4x1000 g</x:v>
      </x:c>
      <x:c r="F49" s="16" t="str">
        <x:v>Kolombiya | Guatemala | El Salvador</x:v>
      </x:c>
      <x:c r="G49" s="17" t="n">
        <x:v>1000</x:v>
      </x:c>
      <x:c r="H49" s="16" t="str">
        <x:v>Erişildi</x:v>
      </x:c>
      <x:c r="I49" s="18" t="n">
        <x:v>5389.2</x:v>
      </x:c>
      <x:c r="J49" s="18" t="str">
        <x:v>Erişildi</x:v>
      </x:c>
      <x:c r="K49" s="18" t="n">
        <x:f>IF(AND(ISNUMBER(G49),ISNUMBER(I49)),I49/G49*1000,"Erişilemedi")</x:f>
        <x:v>5389.2</x:v>
      </x:c>
      <x:c r="L49" s="16" t="str">
        <x:v>Stokta</x:v>
      </x:c>
      <x:c r="M49" s="16" t="str">
        <x:v>Tek köken/ürün</x:v>
      </x:c>
      <x:c r="N49" s="16" t="str">
        <x:v>Shopify ürün akışı</x:v>
      </x:c>
      <x:c r="O49" s="16" t="str">
        <x:v>Yüksek</x:v>
      </x:c>
      <x:c r="P49" s="19" t="n">
        <x:v>46245</x:v>
      </x:c>
      <x:c r="Q49" s="20" t="str">
        <x:v>https://aroastinglab.com/products/espresso-kahveler-tanisma-seti-4x1000-g</x:v>
      </x:c>
      <x:c r="R49" s="20" t="str">
        <x:v>Öğütüm seçenekleri aynı gramaj ve fiyatta tekilleştirildi.</x:v>
      </x:c>
    </x:row>
    <x:row r="50" ht="40" customHeight="1">
      <x:c r="A50" s="16" t="str">
        <x:v>A Roasting Lab</x:v>
      </x:c>
      <x:c r="B50" s="16" t="str">
        <x:v>Bursa</x:v>
      </x:c>
      <x:c r="C50" s="16" t="str">
        <x:v>Doğrulandı</x:v>
      </x:c>
      <x:c r="D50" s="16" t="str">
        <x:v>Ürün kaydı</x:v>
      </x:c>
      <x:c r="E50" s="16" t="str">
        <x:v>Espresso Kahveler Tanışma Seti 4x250 g</x:v>
      </x:c>
      <x:c r="F50" s="16" t="str">
        <x:v>Kolombiya | Guatemala | El Salvador</x:v>
      </x:c>
      <x:c r="G50" s="17" t="n">
        <x:v>250</x:v>
      </x:c>
      <x:c r="H50" s="16" t="str">
        <x:v>Erişildi</x:v>
      </x:c>
      <x:c r="I50" s="18" t="n">
        <x:v>1497</x:v>
      </x:c>
      <x:c r="J50" s="18" t="str">
        <x:v>Erişildi</x:v>
      </x:c>
      <x:c r="K50" s="18" t="n">
        <x:f>IF(AND(ISNUMBER(G50),ISNUMBER(I50)),I50/G50*1000,"Erişilemedi")</x:f>
        <x:v>5988</x:v>
      </x:c>
      <x:c r="L50" s="16" t="str">
        <x:v>Stokta</x:v>
      </x:c>
      <x:c r="M50" s="16" t="str">
        <x:v>Tek köken/ürün</x:v>
      </x:c>
      <x:c r="N50" s="16" t="str">
        <x:v>Shopify ürün akışı</x:v>
      </x:c>
      <x:c r="O50" s="16" t="str">
        <x:v>Yüksek</x:v>
      </x:c>
      <x:c r="P50" s="19" t="n">
        <x:v>46245</x:v>
      </x:c>
      <x:c r="Q50" s="20" t="str">
        <x:v>https://aroastinglab.com/products/espresso-kahveler-tanisma-seti-4x250-g</x:v>
      </x:c>
      <x:c r="R50" s="20" t="str">
        <x:v>Öğütüm seçenekleri aynı gramaj ve fiyatta tekilleştirildi.</x:v>
      </x:c>
    </x:row>
    <x:row r="51" ht="40" customHeight="1">
      <x:c r="A51" s="16" t="str">
        <x:v>A Roasting Lab</x:v>
      </x:c>
      <x:c r="B51" s="16" t="str">
        <x:v>Bursa</x:v>
      </x:c>
      <x:c r="C51" s="16" t="str">
        <x:v>Doğrulandı</x:v>
      </x:c>
      <x:c r="D51" s="16" t="str">
        <x:v>Ürün kaydı</x:v>
      </x:c>
      <x:c r="E51" s="16" t="str">
        <x:v>Ethiopia Guji Filtre Kahve 250g</x:v>
      </x:c>
      <x:c r="F51" s="16" t="str">
        <x:v>Etiyopya</x:v>
      </x:c>
      <x:c r="G51" s="17" t="n">
        <x:v>250</x:v>
      </x:c>
      <x:c r="H51" s="16" t="str">
        <x:v>Erişildi</x:v>
      </x:c>
      <x:c r="I51" s="18" t="n">
        <x:v>509.15</x:v>
      </x:c>
      <x:c r="J51" s="18" t="str">
        <x:v>Erişildi</x:v>
      </x:c>
      <x:c r="K51" s="18" t="n">
        <x:f>IF(AND(ISNUMBER(G51),ISNUMBER(I51)),I51/G51*1000,"Erişilemedi")</x:f>
        <x:v>2036.6</x:v>
      </x:c>
      <x:c r="L51" s="16" t="str">
        <x:v>Stokta</x:v>
      </x:c>
      <x:c r="M51" s="16" t="str">
        <x:v>Tek köken/ürün</x:v>
      </x:c>
      <x:c r="N51" s="16" t="str">
        <x:v>Shopify ürün akışı</x:v>
      </x:c>
      <x:c r="O51" s="16" t="str">
        <x:v>Yüksek</x:v>
      </x:c>
      <x:c r="P51" s="19" t="n">
        <x:v>46245</x:v>
      </x:c>
      <x:c r="Q51" s="20" t="str">
        <x:v>https://aroastinglab.com/products/ethiopia-guji-250-gram-filtre-kahve</x:v>
      </x:c>
      <x:c r="R51" s="20" t="str">
        <x:v>Öğütüm seçenekleri aynı gramaj ve fiyatta tekilleştirildi.</x:v>
      </x:c>
    </x:row>
    <x:row r="52" ht="40" customHeight="1">
      <x:c r="A52" s="16" t="str">
        <x:v>A Roasting Lab</x:v>
      </x:c>
      <x:c r="B52" s="16" t="str">
        <x:v>Bursa</x:v>
      </x:c>
      <x:c r="C52" s="16" t="str">
        <x:v>Doğrulandı</x:v>
      </x:c>
      <x:c r="D52" s="16" t="str">
        <x:v>Ürün kaydı</x:v>
      </x:c>
      <x:c r="E52" s="16" t="str">
        <x:v>Etiyopya Filtre Kahve 1000g</x:v>
      </x:c>
      <x:c r="F52" s="16" t="str">
        <x:v>Etiyopya</x:v>
      </x:c>
      <x:c r="G52" s="17" t="n">
        <x:v>1000</x:v>
      </x:c>
      <x:c r="H52" s="16" t="str">
        <x:v>Erişildi</x:v>
      </x:c>
      <x:c r="I52" s="18" t="n">
        <x:v>1526.94</x:v>
      </x:c>
      <x:c r="J52" s="18" t="str">
        <x:v>Erişildi</x:v>
      </x:c>
      <x:c r="K52" s="18" t="n">
        <x:f>IF(AND(ISNUMBER(G52),ISNUMBER(I52)),I52/G52*1000,"Erişilemedi")</x:f>
        <x:v>1526.94</x:v>
      </x:c>
      <x:c r="L52" s="16" t="str">
        <x:v>Stokta</x:v>
      </x:c>
      <x:c r="M52" s="16" t="str">
        <x:v>Tek köken/ürün</x:v>
      </x:c>
      <x:c r="N52" s="16" t="str">
        <x:v>Shopify ürün akışı</x:v>
      </x:c>
      <x:c r="O52" s="16" t="str">
        <x:v>Yüksek</x:v>
      </x:c>
      <x:c r="P52" s="19" t="n">
        <x:v>46245</x:v>
      </x:c>
      <x:c r="Q52" s="20" t="str">
        <x:v>https://aroastinglab.com/products/ethiopia-sidamo-1000-gram-filtre-kahve</x:v>
      </x:c>
      <x:c r="R52" s="20" t="str">
        <x:v>Öğütüm seçenekleri aynı gramaj ve fiyatta tekilleştirildi.</x:v>
      </x:c>
    </x:row>
    <x:row r="53" ht="40" customHeight="1">
      <x:c r="A53" s="16" t="str">
        <x:v>A Roasting Lab</x:v>
      </x:c>
      <x:c r="B53" s="16" t="str">
        <x:v>Bursa</x:v>
      </x:c>
      <x:c r="C53" s="16" t="str">
        <x:v>Doğrulandı</x:v>
      </x:c>
      <x:c r="D53" s="16" t="str">
        <x:v>Ürün kaydı</x:v>
      </x:c>
      <x:c r="E53" s="16" t="str">
        <x:v>Etiyopya Filtre Kahve 250g</x:v>
      </x:c>
      <x:c r="F53" s="16" t="str">
        <x:v>Etiyopya</x:v>
      </x:c>
      <x:c r="G53" s="17" t="n">
        <x:v>250</x:v>
      </x:c>
      <x:c r="H53" s="16" t="str">
        <x:v>Erişildi</x:v>
      </x:c>
      <x:c r="I53" s="18" t="n">
        <x:v>424.15</x:v>
      </x:c>
      <x:c r="J53" s="18" t="str">
        <x:v>Erişildi</x:v>
      </x:c>
      <x:c r="K53" s="18" t="n">
        <x:f>IF(AND(ISNUMBER(G53),ISNUMBER(I53)),I53/G53*1000,"Erişilemedi")</x:f>
        <x:v>1696.6</x:v>
      </x:c>
      <x:c r="L53" s="16" t="str">
        <x:v>Stokta</x:v>
      </x:c>
      <x:c r="M53" s="16" t="str">
        <x:v>Tek köken/ürün</x:v>
      </x:c>
      <x:c r="N53" s="16" t="str">
        <x:v>Shopify ürün akışı</x:v>
      </x:c>
      <x:c r="O53" s="16" t="str">
        <x:v>Yüksek</x:v>
      </x:c>
      <x:c r="P53" s="19" t="n">
        <x:v>46245</x:v>
      </x:c>
      <x:c r="Q53" s="20" t="str">
        <x:v>https://aroastinglab.com/products/ethiopia-sidamo-250-gram-filtre-kahve</x:v>
      </x:c>
      <x:c r="R53" s="20" t="str">
        <x:v>Öğütüm seçenekleri aynı gramaj ve fiyatta tekilleştirildi.</x:v>
      </x:c>
    </x:row>
    <x:row r="54" ht="40" customHeight="1">
      <x:c r="A54" s="16" t="str">
        <x:v>A Roasting Lab</x:v>
      </x:c>
      <x:c r="B54" s="16" t="str">
        <x:v>Bursa</x:v>
      </x:c>
      <x:c r="C54" s="16" t="str">
        <x:v>Doğrulandı</x:v>
      </x:c>
      <x:c r="D54" s="16" t="str">
        <x:v>Ürün kaydı</x:v>
      </x:c>
      <x:c r="E54" s="16" t="str">
        <x:v>Etiyopya Filtre Kahve 50g</x:v>
      </x:c>
      <x:c r="F54" s="16" t="str">
        <x:v>Etiyopya</x:v>
      </x:c>
      <x:c r="G54" s="17" t="n">
        <x:v>50</x:v>
      </x:c>
      <x:c r="H54" s="16" t="str">
        <x:v>Erişildi</x:v>
      </x:c>
      <x:c r="I54" s="18" t="n">
        <x:v>97.75</x:v>
      </x:c>
      <x:c r="J54" s="18" t="str">
        <x:v>Erişildi</x:v>
      </x:c>
      <x:c r="K54" s="18" t="n">
        <x:f>IF(AND(ISNUMBER(G54),ISNUMBER(I54)),I54/G54*1000,"Erişilemedi")</x:f>
        <x:v>1955</x:v>
      </x:c>
      <x:c r="L54" s="16" t="str">
        <x:v>Stokta</x:v>
      </x:c>
      <x:c r="M54" s="16" t="str">
        <x:v>Tek köken/ürün</x:v>
      </x:c>
      <x:c r="N54" s="16" t="str">
        <x:v>Shopify ürün akışı</x:v>
      </x:c>
      <x:c r="O54" s="16" t="str">
        <x:v>Yüksek</x:v>
      </x:c>
      <x:c r="P54" s="19" t="n">
        <x:v>46245</x:v>
      </x:c>
      <x:c r="Q54" s="20" t="str">
        <x:v>https://aroastinglab.com/products/ethiopia-sidamo-50-gram-filtre-kahve</x:v>
      </x:c>
      <x:c r="R54" s="20" t="str">
        <x:v>Öğütüm seçenekleri aynı gramaj ve fiyatta tekilleştirildi.</x:v>
      </x:c>
    </x:row>
    <x:row r="55" ht="40" customHeight="1">
      <x:c r="A55" s="16" t="str">
        <x:v>A Roasting Lab</x:v>
      </x:c>
      <x:c r="B55" s="16" t="str">
        <x:v>Bursa</x:v>
      </x:c>
      <x:c r="C55" s="16" t="str">
        <x:v>Doğrulandı</x:v>
      </x:c>
      <x:c r="D55" s="16" t="str">
        <x:v>Ürün kaydı</x:v>
      </x:c>
      <x:c r="E55" s="16" t="str">
        <x:v>Good Fellas Espresso 1000g</x:v>
      </x:c>
      <x:c r="F55" s="16" t="str">
        <x:v>Harman – menşe belirtilmemiş</x:v>
      </x:c>
      <x:c r="G55" s="17" t="n">
        <x:v>1000</x:v>
      </x:c>
      <x:c r="H55" s="16" t="str">
        <x:v>Erişildi</x:v>
      </x:c>
      <x:c r="I55" s="18" t="n">
        <x:v>1526.94</x:v>
      </x:c>
      <x:c r="J55" s="18" t="str">
        <x:v>Erişildi</x:v>
      </x:c>
      <x:c r="K55" s="18" t="n">
        <x:f>IF(AND(ISNUMBER(G55),ISNUMBER(I55)),I55/G55*1000,"Erişilemedi")</x:f>
        <x:v>1526.94</x:v>
      </x:c>
      <x:c r="L55" s="16" t="str">
        <x:v>Stokta</x:v>
      </x:c>
      <x:c r="M55" s="16" t="str">
        <x:v>Tek köken/ürün</x:v>
      </x:c>
      <x:c r="N55" s="16" t="str">
        <x:v>Shopify ürün akışı</x:v>
      </x:c>
      <x:c r="O55" s="16" t="str">
        <x:v>Yüksek</x:v>
      </x:c>
      <x:c r="P55" s="19" t="n">
        <x:v>46245</x:v>
      </x:c>
      <x:c r="Q55" s="20" t="str">
        <x:v>https://aroastinglab.com/products/good-fellas-espresso-blend-1000-gram</x:v>
      </x:c>
      <x:c r="R55" s="20" t="str">
        <x:v>Öğütüm seçenekleri aynı gramaj ve fiyatta tekilleştirildi.</x:v>
      </x:c>
    </x:row>
    <x:row r="56" ht="40" customHeight="1">
      <x:c r="A56" s="16" t="str">
        <x:v>A Roasting Lab</x:v>
      </x:c>
      <x:c r="B56" s="16" t="str">
        <x:v>Bursa</x:v>
      </x:c>
      <x:c r="C56" s="16" t="str">
        <x:v>Doğrulandı</x:v>
      </x:c>
      <x:c r="D56" s="16" t="str">
        <x:v>Ürün kaydı</x:v>
      </x:c>
      <x:c r="E56" s="16" t="str">
        <x:v>Good Fellas Espresso 250g</x:v>
      </x:c>
      <x:c r="F56" s="16" t="str">
        <x:v>Harman – menşe belirtilmemiş</x:v>
      </x:c>
      <x:c r="G56" s="17" t="n">
        <x:v>250</x:v>
      </x:c>
      <x:c r="H56" s="16" t="str">
        <x:v>Erişildi</x:v>
      </x:c>
      <x:c r="I56" s="18" t="n">
        <x:v>424.15</x:v>
      </x:c>
      <x:c r="J56" s="18" t="str">
        <x:v>Erişildi</x:v>
      </x:c>
      <x:c r="K56" s="18" t="n">
        <x:f>IF(AND(ISNUMBER(G56),ISNUMBER(I56)),I56/G56*1000,"Erişilemedi")</x:f>
        <x:v>1696.6</x:v>
      </x:c>
      <x:c r="L56" s="16" t="str">
        <x:v>Stokta</x:v>
      </x:c>
      <x:c r="M56" s="16" t="str">
        <x:v>Tek köken/ürün</x:v>
      </x:c>
      <x:c r="N56" s="16" t="str">
        <x:v>Shopify ürün akışı</x:v>
      </x:c>
      <x:c r="O56" s="16" t="str">
        <x:v>Yüksek</x:v>
      </x:c>
      <x:c r="P56" s="19" t="n">
        <x:v>46245</x:v>
      </x:c>
      <x:c r="Q56" s="20" t="str">
        <x:v>https://aroastinglab.com/products/good-fellas-espresso-blend-250-gram</x:v>
      </x:c>
      <x:c r="R56" s="20" t="str">
        <x:v>Öğütüm seçenekleri aynı gramaj ve fiyatta tekilleştirildi.</x:v>
      </x:c>
    </x:row>
    <x:row r="57" ht="40" customHeight="1">
      <x:c r="A57" s="16" t="str">
        <x:v>A Roasting Lab</x:v>
      </x:c>
      <x:c r="B57" s="16" t="str">
        <x:v>Bursa</x:v>
      </x:c>
      <x:c r="C57" s="16" t="str">
        <x:v>Doğrulandı</x:v>
      </x:c>
      <x:c r="D57" s="16" t="str">
        <x:v>Ürün kaydı</x:v>
      </x:c>
      <x:c r="E57" s="16" t="str">
        <x:v>Good Fellas Espresso 50g</x:v>
      </x:c>
      <x:c r="F57" s="16" t="str">
        <x:v>Harman – menşe belirtilmemiş</x:v>
      </x:c>
      <x:c r="G57" s="17" t="n">
        <x:v>50</x:v>
      </x:c>
      <x:c r="H57" s="16" t="str">
        <x:v>Erişildi</x:v>
      </x:c>
      <x:c r="I57" s="18" t="n">
        <x:v>97.75</x:v>
      </x:c>
      <x:c r="J57" s="18" t="str">
        <x:v>Erişildi</x:v>
      </x:c>
      <x:c r="K57" s="18" t="n">
        <x:f>IF(AND(ISNUMBER(G57),ISNUMBER(I57)),I57/G57*1000,"Erişilemedi")</x:f>
        <x:v>1955</x:v>
      </x:c>
      <x:c r="L57" s="16" t="str">
        <x:v>Stokta</x:v>
      </x:c>
      <x:c r="M57" s="16" t="str">
        <x:v>Tek köken/ürün</x:v>
      </x:c>
      <x:c r="N57" s="16" t="str">
        <x:v>Shopify ürün akışı</x:v>
      </x:c>
      <x:c r="O57" s="16" t="str">
        <x:v>Yüksek</x:v>
      </x:c>
      <x:c r="P57" s="19" t="n">
        <x:v>46245</x:v>
      </x:c>
      <x:c r="Q57" s="20" t="str">
        <x:v>https://aroastinglab.com/products/good-fellas-espresso-blend-50-gram</x:v>
      </x:c>
      <x:c r="R57" s="20" t="str">
        <x:v>Öğütüm seçenekleri aynı gramaj ve fiyatta tekilleştirildi.</x:v>
      </x:c>
    </x:row>
    <x:row r="58" ht="40" customHeight="1">
      <x:c r="A58" s="16" t="str">
        <x:v>A Roasting Lab</x:v>
      </x:c>
      <x:c r="B58" s="16" t="str">
        <x:v>Bursa</x:v>
      </x:c>
      <x:c r="C58" s="16" t="str">
        <x:v>Doğrulandı</x:v>
      </x:c>
      <x:c r="D58" s="16" t="str">
        <x:v>Ürün kaydı</x:v>
      </x:c>
      <x:c r="E58" s="16" t="str">
        <x:v>Guatemala Espresso 1000g</x:v>
      </x:c>
      <x:c r="F58" s="16" t="str">
        <x:v>Guatemala</x:v>
      </x:c>
      <x:c r="G58" s="17" t="n">
        <x:v>1000</x:v>
      </x:c>
      <x:c r="H58" s="16" t="str">
        <x:v>Erişildi</x:v>
      </x:c>
      <x:c r="I58" s="18" t="n">
        <x:v>1526.94</x:v>
      </x:c>
      <x:c r="J58" s="18" t="str">
        <x:v>Erişildi</x:v>
      </x:c>
      <x:c r="K58" s="18" t="n">
        <x:f>IF(AND(ISNUMBER(G58),ISNUMBER(I58)),I58/G58*1000,"Erişilemedi")</x:f>
        <x:v>1526.94</x:v>
      </x:c>
      <x:c r="L58" s="16" t="str">
        <x:v>Stokta</x:v>
      </x:c>
      <x:c r="M58" s="16" t="str">
        <x:v>Tek köken/ürün</x:v>
      </x:c>
      <x:c r="N58" s="16" t="str">
        <x:v>Shopify ürün akışı</x:v>
      </x:c>
      <x:c r="O58" s="16" t="str">
        <x:v>Yüksek</x:v>
      </x:c>
      <x:c r="P58" s="19" t="n">
        <x:v>46245</x:v>
      </x:c>
      <x:c r="Q58" s="20" t="str">
        <x:v>https://aroastinglab.com/products/guatemala-espresso-huehuetenango-1000-gram</x:v>
      </x:c>
      <x:c r="R58" s="20" t="str">
        <x:v>Öğütüm seçenekleri aynı gramaj ve fiyatta tekilleştirildi.</x:v>
      </x:c>
    </x:row>
    <x:row r="59" ht="40" customHeight="1">
      <x:c r="A59" s="16" t="str">
        <x:v>A Roasting Lab</x:v>
      </x:c>
      <x:c r="B59" s="16" t="str">
        <x:v>Bursa</x:v>
      </x:c>
      <x:c r="C59" s="16" t="str">
        <x:v>Doğrulandı</x:v>
      </x:c>
      <x:c r="D59" s="16" t="str">
        <x:v>Ürün kaydı</x:v>
      </x:c>
      <x:c r="E59" s="16" t="str">
        <x:v>Guatemala Espresso 250g</x:v>
      </x:c>
      <x:c r="F59" s="16" t="str">
        <x:v>Guatemala</x:v>
      </x:c>
      <x:c r="G59" s="17" t="n">
        <x:v>250</x:v>
      </x:c>
      <x:c r="H59" s="16" t="str">
        <x:v>Erişildi</x:v>
      </x:c>
      <x:c r="I59" s="18" t="n">
        <x:v>424.15</x:v>
      </x:c>
      <x:c r="J59" s="18" t="str">
        <x:v>Erişildi</x:v>
      </x:c>
      <x:c r="K59" s="18" t="n">
        <x:f>IF(AND(ISNUMBER(G59),ISNUMBER(I59)),I59/G59*1000,"Erişilemedi")</x:f>
        <x:v>1696.6</x:v>
      </x:c>
      <x:c r="L59" s="16" t="str">
        <x:v>Stokta</x:v>
      </x:c>
      <x:c r="M59" s="16" t="str">
        <x:v>Tek köken/ürün</x:v>
      </x:c>
      <x:c r="N59" s="16" t="str">
        <x:v>Shopify ürün akışı</x:v>
      </x:c>
      <x:c r="O59" s="16" t="str">
        <x:v>Yüksek</x:v>
      </x:c>
      <x:c r="P59" s="19" t="n">
        <x:v>46245</x:v>
      </x:c>
      <x:c r="Q59" s="20" t="str">
        <x:v>https://aroastinglab.com/products/guatemala-espresso-huehuetenango-250-gram</x:v>
      </x:c>
      <x:c r="R59" s="20" t="str">
        <x:v>Öğütüm seçenekleri aynı gramaj ve fiyatta tekilleştirildi.</x:v>
      </x:c>
    </x:row>
    <x:row r="60" ht="40" customHeight="1">
      <x:c r="A60" s="16" t="str">
        <x:v>A Roasting Lab</x:v>
      </x:c>
      <x:c r="B60" s="16" t="str">
        <x:v>Bursa</x:v>
      </x:c>
      <x:c r="C60" s="16" t="str">
        <x:v>Doğrulandı</x:v>
      </x:c>
      <x:c r="D60" s="16" t="str">
        <x:v>Ürün kaydı</x:v>
      </x:c>
      <x:c r="E60" s="16" t="str">
        <x:v>Guatemala Espresso 50g</x:v>
      </x:c>
      <x:c r="F60" s="16" t="str">
        <x:v>Guatemala</x:v>
      </x:c>
      <x:c r="G60" s="17" t="n">
        <x:v>50</x:v>
      </x:c>
      <x:c r="H60" s="16" t="str">
        <x:v>Erişildi</x:v>
      </x:c>
      <x:c r="I60" s="18" t="n">
        <x:v>97.75</x:v>
      </x:c>
      <x:c r="J60" s="18" t="str">
        <x:v>Erişildi</x:v>
      </x:c>
      <x:c r="K60" s="18" t="n">
        <x:f>IF(AND(ISNUMBER(G60),ISNUMBER(I60)),I60/G60*1000,"Erişilemedi")</x:f>
        <x:v>1955</x:v>
      </x:c>
      <x:c r="L60" s="16" t="str">
        <x:v>Stokta</x:v>
      </x:c>
      <x:c r="M60" s="16" t="str">
        <x:v>Tek köken/ürün</x:v>
      </x:c>
      <x:c r="N60" s="16" t="str">
        <x:v>Shopify ürün akışı</x:v>
      </x:c>
      <x:c r="O60" s="16" t="str">
        <x:v>Yüksek</x:v>
      </x:c>
      <x:c r="P60" s="19" t="n">
        <x:v>46245</x:v>
      </x:c>
      <x:c r="Q60" s="20" t="str">
        <x:v>https://aroastinglab.com/products/guatemala-espresso-huehuetenango-50-gram</x:v>
      </x:c>
      <x:c r="R60" s="20" t="str">
        <x:v>Öğütüm seçenekleri aynı gramaj ve fiyatta tekilleştirildi.</x:v>
      </x:c>
    </x:row>
    <x:row r="61" ht="40" customHeight="1">
      <x:c r="A61" s="16" t="str">
        <x:v>A Roasting Lab</x:v>
      </x:c>
      <x:c r="B61" s="16" t="str">
        <x:v>Bursa</x:v>
      </x:c>
      <x:c r="C61" s="16" t="str">
        <x:v>Doğrulandı</x:v>
      </x:c>
      <x:c r="D61" s="16" t="str">
        <x:v>Ürün kaydı</x:v>
      </x:c>
      <x:c r="E61" s="16" t="str">
        <x:v>Guatemala Filtre Kahve 1000g</x:v>
      </x:c>
      <x:c r="F61" s="16" t="str">
        <x:v>Guatemala</x:v>
      </x:c>
      <x:c r="G61" s="17" t="n">
        <x:v>1000</x:v>
      </x:c>
      <x:c r="H61" s="16" t="str">
        <x:v>Erişildi</x:v>
      </x:c>
      <x:c r="I61" s="18" t="n">
        <x:v>1526.94</x:v>
      </x:c>
      <x:c r="J61" s="18" t="str">
        <x:v>Erişildi</x:v>
      </x:c>
      <x:c r="K61" s="18" t="n">
        <x:f>IF(AND(ISNUMBER(G61),ISNUMBER(I61)),I61/G61*1000,"Erişilemedi")</x:f>
        <x:v>1526.94</x:v>
      </x:c>
      <x:c r="L61" s="16" t="str">
        <x:v>Stokta</x:v>
      </x:c>
      <x:c r="M61" s="16" t="str">
        <x:v>Tek köken/ürün</x:v>
      </x:c>
      <x:c r="N61" s="16" t="str">
        <x:v>Shopify ürün akışı</x:v>
      </x:c>
      <x:c r="O61" s="16" t="str">
        <x:v>Yüksek</x:v>
      </x:c>
      <x:c r="P61" s="19" t="n">
        <x:v>46245</x:v>
      </x:c>
      <x:c r="Q61" s="20" t="str">
        <x:v>https://aroastinglab.com/products/guatemala-huehuetenango-1000-gram-filtre-kahve</x:v>
      </x:c>
      <x:c r="R61" s="20" t="str">
        <x:v>Öğütüm seçenekleri aynı gramaj ve fiyatta tekilleştirildi.</x:v>
      </x:c>
    </x:row>
    <x:row r="62" ht="40" customHeight="1">
      <x:c r="A62" s="16" t="str">
        <x:v>A Roasting Lab</x:v>
      </x:c>
      <x:c r="B62" s="16" t="str">
        <x:v>Bursa</x:v>
      </x:c>
      <x:c r="C62" s="16" t="str">
        <x:v>Doğrulandı</x:v>
      </x:c>
      <x:c r="D62" s="16" t="str">
        <x:v>Ürün kaydı</x:v>
      </x:c>
      <x:c r="E62" s="16" t="str">
        <x:v>Guatemala Filtre Kahve 250g</x:v>
      </x:c>
      <x:c r="F62" s="16" t="str">
        <x:v>Guatemala</x:v>
      </x:c>
      <x:c r="G62" s="17" t="n">
        <x:v>250</x:v>
      </x:c>
      <x:c r="H62" s="16" t="str">
        <x:v>Erişildi</x:v>
      </x:c>
      <x:c r="I62" s="18" t="n">
        <x:v>424.15</x:v>
      </x:c>
      <x:c r="J62" s="18" t="str">
        <x:v>Erişildi</x:v>
      </x:c>
      <x:c r="K62" s="18" t="n">
        <x:f>IF(AND(ISNUMBER(G62),ISNUMBER(I62)),I62/G62*1000,"Erişilemedi")</x:f>
        <x:v>1696.6</x:v>
      </x:c>
      <x:c r="L62" s="16" t="str">
        <x:v>Stokta</x:v>
      </x:c>
      <x:c r="M62" s="16" t="str">
        <x:v>Tek köken/ürün</x:v>
      </x:c>
      <x:c r="N62" s="16" t="str">
        <x:v>Shopify ürün akışı</x:v>
      </x:c>
      <x:c r="O62" s="16" t="str">
        <x:v>Yüksek</x:v>
      </x:c>
      <x:c r="P62" s="19" t="n">
        <x:v>46245</x:v>
      </x:c>
      <x:c r="Q62" s="20" t="str">
        <x:v>https://aroastinglab.com/products/guatemala-huehuetenango-250-gram-filtre-kahve</x:v>
      </x:c>
      <x:c r="R62" s="20" t="str">
        <x:v>Öğütüm seçenekleri aynı gramaj ve fiyatta tekilleştirildi.</x:v>
      </x:c>
    </x:row>
    <x:row r="63" ht="40" customHeight="1">
      <x:c r="A63" s="16" t="str">
        <x:v>A Roasting Lab</x:v>
      </x:c>
      <x:c r="B63" s="16" t="str">
        <x:v>Bursa</x:v>
      </x:c>
      <x:c r="C63" s="16" t="str">
        <x:v>Doğrulandı</x:v>
      </x:c>
      <x:c r="D63" s="16" t="str">
        <x:v>Ürün kaydı</x:v>
      </x:c>
      <x:c r="E63" s="16" t="str">
        <x:v>Guatemala Filtre Kahve 50g</x:v>
      </x:c>
      <x:c r="F63" s="16" t="str">
        <x:v>Guatemala</x:v>
      </x:c>
      <x:c r="G63" s="17" t="n">
        <x:v>50</x:v>
      </x:c>
      <x:c r="H63" s="16" t="str">
        <x:v>Erişildi</x:v>
      </x:c>
      <x:c r="I63" s="18" t="n">
        <x:v>97.75</x:v>
      </x:c>
      <x:c r="J63" s="18" t="str">
        <x:v>Erişildi</x:v>
      </x:c>
      <x:c r="K63" s="18" t="n">
        <x:f>IF(AND(ISNUMBER(G63),ISNUMBER(I63)),I63/G63*1000,"Erişilemedi")</x:f>
        <x:v>1955</x:v>
      </x:c>
      <x:c r="L63" s="16" t="str">
        <x:v>Stokta</x:v>
      </x:c>
      <x:c r="M63" s="16" t="str">
        <x:v>Tek köken/ürün</x:v>
      </x:c>
      <x:c r="N63" s="16" t="str">
        <x:v>Shopify ürün akışı</x:v>
      </x:c>
      <x:c r="O63" s="16" t="str">
        <x:v>Yüksek</x:v>
      </x:c>
      <x:c r="P63" s="19" t="n">
        <x:v>46245</x:v>
      </x:c>
      <x:c r="Q63" s="20" t="str">
        <x:v>https://aroastinglab.com/products/guatemala-huehuetenango-50-gram-filtre-kahve</x:v>
      </x:c>
      <x:c r="R63" s="20" t="str">
        <x:v>Öğütüm seçenekleri aynı gramaj ve fiyatta tekilleştirildi.</x:v>
      </x:c>
    </x:row>
    <x:row r="64" ht="40" customHeight="1">
      <x:c r="A64" s="16" t="str">
        <x:v>A Roasting Lab</x:v>
      </x:c>
      <x:c r="B64" s="16" t="str">
        <x:v>Bursa</x:v>
      </x:c>
      <x:c r="C64" s="16" t="str">
        <x:v>Doğrulandı</x:v>
      </x:c>
      <x:c r="D64" s="16" t="str">
        <x:v>Ürün kaydı</x:v>
      </x:c>
      <x:c r="E64" s="16" t="str">
        <x:v>Honduras Filtre Kahve 1000g</x:v>
      </x:c>
      <x:c r="F64" s="16" t="str">
        <x:v>Honduras</x:v>
      </x:c>
      <x:c r="G64" s="17" t="n">
        <x:v>1000</x:v>
      </x:c>
      <x:c r="H64" s="16" t="str">
        <x:v>Erişildi</x:v>
      </x:c>
      <x:c r="I64" s="18" t="n">
        <x:v>1526.94</x:v>
      </x:c>
      <x:c r="J64" s="18" t="str">
        <x:v>Erişildi</x:v>
      </x:c>
      <x:c r="K64" s="18" t="n">
        <x:f>IF(AND(ISNUMBER(G64),ISNUMBER(I64)),I64/G64*1000,"Erişilemedi")</x:f>
        <x:v>1526.94</x:v>
      </x:c>
      <x:c r="L64" s="16" t="str">
        <x:v>Stokta</x:v>
      </x:c>
      <x:c r="M64" s="16" t="str">
        <x:v>Tek köken/ürün</x:v>
      </x:c>
      <x:c r="N64" s="16" t="str">
        <x:v>Shopify ürün akışı</x:v>
      </x:c>
      <x:c r="O64" s="16" t="str">
        <x:v>Yüksek</x:v>
      </x:c>
      <x:c r="P64" s="19" t="n">
        <x:v>46245</x:v>
      </x:c>
      <x:c r="Q64" s="20" t="str">
        <x:v>https://aroastinglab.com/products/honduras-el-kalan-1000-gram-filtre-kahve</x:v>
      </x:c>
      <x:c r="R64" s="20" t="str">
        <x:v>Öğütüm seçenekleri aynı gramaj ve fiyatta tekilleştirildi.</x:v>
      </x:c>
    </x:row>
    <x:row r="65" ht="40" customHeight="1">
      <x:c r="A65" s="16" t="str">
        <x:v>A Roasting Lab</x:v>
      </x:c>
      <x:c r="B65" s="16" t="str">
        <x:v>Bursa</x:v>
      </x:c>
      <x:c r="C65" s="16" t="str">
        <x:v>Doğrulandı</x:v>
      </x:c>
      <x:c r="D65" s="16" t="str">
        <x:v>Ürün kaydı</x:v>
      </x:c>
      <x:c r="E65" s="16" t="str">
        <x:v>Honduras Filtre Kahve 250g</x:v>
      </x:c>
      <x:c r="F65" s="16" t="str">
        <x:v>Honduras</x:v>
      </x:c>
      <x:c r="G65" s="17" t="n">
        <x:v>250</x:v>
      </x:c>
      <x:c r="H65" s="16" t="str">
        <x:v>Erişildi</x:v>
      </x:c>
      <x:c r="I65" s="18" t="n">
        <x:v>424.15</x:v>
      </x:c>
      <x:c r="J65" s="18" t="str">
        <x:v>Erişildi</x:v>
      </x:c>
      <x:c r="K65" s="18" t="n">
        <x:f>IF(AND(ISNUMBER(G65),ISNUMBER(I65)),I65/G65*1000,"Erişilemedi")</x:f>
        <x:v>1696.6</x:v>
      </x:c>
      <x:c r="L65" s="16" t="str">
        <x:v>Stokta</x:v>
      </x:c>
      <x:c r="M65" s="16" t="str">
        <x:v>Tek köken/ürün</x:v>
      </x:c>
      <x:c r="N65" s="16" t="str">
        <x:v>Shopify ürün akışı</x:v>
      </x:c>
      <x:c r="O65" s="16" t="str">
        <x:v>Yüksek</x:v>
      </x:c>
      <x:c r="P65" s="19" t="n">
        <x:v>46245</x:v>
      </x:c>
      <x:c r="Q65" s="20" t="str">
        <x:v>https://aroastinglab.com/products/honduras-el-kalan-250-gram-filtre-kahve</x:v>
      </x:c>
      <x:c r="R65" s="20" t="str">
        <x:v>Öğütüm seçenekleri aynı gramaj ve fiyatta tekilleştirildi.</x:v>
      </x:c>
    </x:row>
    <x:row r="66" ht="40" customHeight="1">
      <x:c r="A66" s="16" t="str">
        <x:v>A Roasting Lab</x:v>
      </x:c>
      <x:c r="B66" s="16" t="str">
        <x:v>Bursa</x:v>
      </x:c>
      <x:c r="C66" s="16" t="str">
        <x:v>Doğrulandı</x:v>
      </x:c>
      <x:c r="D66" s="16" t="str">
        <x:v>Ürün kaydı</x:v>
      </x:c>
      <x:c r="E66" s="16" t="str">
        <x:v>Honduras Filtre Kahve 50g</x:v>
      </x:c>
      <x:c r="F66" s="16" t="str">
        <x:v>Honduras</x:v>
      </x:c>
      <x:c r="G66" s="17" t="n">
        <x:v>50</x:v>
      </x:c>
      <x:c r="H66" s="16" t="str">
        <x:v>Erişildi</x:v>
      </x:c>
      <x:c r="I66" s="18" t="n">
        <x:v>97.75</x:v>
      </x:c>
      <x:c r="J66" s="18" t="str">
        <x:v>Erişildi</x:v>
      </x:c>
      <x:c r="K66" s="18" t="n">
        <x:f>IF(AND(ISNUMBER(G66),ISNUMBER(I66)),I66/G66*1000,"Erişilemedi")</x:f>
        <x:v>1955</x:v>
      </x:c>
      <x:c r="L66" s="16" t="str">
        <x:v>Stokta</x:v>
      </x:c>
      <x:c r="M66" s="16" t="str">
        <x:v>Tek köken/ürün</x:v>
      </x:c>
      <x:c r="N66" s="16" t="str">
        <x:v>Shopify ürün akışı</x:v>
      </x:c>
      <x:c r="O66" s="16" t="str">
        <x:v>Yüksek</x:v>
      </x:c>
      <x:c r="P66" s="19" t="n">
        <x:v>46245</x:v>
      </x:c>
      <x:c r="Q66" s="20" t="str">
        <x:v>https://aroastinglab.com/products/honduras-el-kalan-50-gram-filtre-kahve</x:v>
      </x:c>
      <x:c r="R66" s="20" t="str">
        <x:v>Öğütüm seçenekleri aynı gramaj ve fiyatta tekilleştirildi.</x:v>
      </x:c>
    </x:row>
    <x:row r="67" ht="40" customHeight="1">
      <x:c r="A67" s="16" t="str">
        <x:v>A Roasting Lab</x:v>
      </x:c>
      <x:c r="B67" s="16" t="str">
        <x:v>Bursa</x:v>
      </x:c>
      <x:c r="C67" s="16" t="str">
        <x:v>Doğrulandı</x:v>
      </x:c>
      <x:c r="D67" s="16" t="str">
        <x:v>Ürün kaydı</x:v>
      </x:c>
      <x:c r="E67" s="16" t="str">
        <x:v>House Blend Kahve 1000g</x:v>
      </x:c>
      <x:c r="F67" s="16" t="str">
        <x:v>Etiyopya | Guatemala</x:v>
      </x:c>
      <x:c r="G67" s="17" t="n">
        <x:v>1000</x:v>
      </x:c>
      <x:c r="H67" s="16" t="str">
        <x:v>Erişildi</x:v>
      </x:c>
      <x:c r="I67" s="18" t="n">
        <x:v>1526.94</x:v>
      </x:c>
      <x:c r="J67" s="18" t="str">
        <x:v>Erişildi</x:v>
      </x:c>
      <x:c r="K67" s="18" t="n">
        <x:f>IF(AND(ISNUMBER(G67),ISNUMBER(I67)),I67/G67*1000,"Erişilemedi")</x:f>
        <x:v>1526.94</x:v>
      </x:c>
      <x:c r="L67" s="16" t="str">
        <x:v>Stokta</x:v>
      </x:c>
      <x:c r="M67" s="16" t="str">
        <x:v>Harman</x:v>
      </x:c>
      <x:c r="N67" s="16" t="str">
        <x:v>Shopify ürün akışı</x:v>
      </x:c>
      <x:c r="O67" s="16" t="str">
        <x:v>Yüksek</x:v>
      </x:c>
      <x:c r="P67" s="19" t="n">
        <x:v>46245</x:v>
      </x:c>
      <x:c r="Q67" s="20" t="str">
        <x:v>https://aroastinglab.com/products/house-blend-1000-gram-coffee</x:v>
      </x:c>
      <x:c r="R67" s="20" t="str">
        <x:v>Öğütüm seçenekleri aynı gramaj ve fiyatta tekilleştirildi.</x:v>
      </x:c>
    </x:row>
    <x:row r="68" ht="40" customHeight="1">
      <x:c r="A68" s="16" t="str">
        <x:v>A Roasting Lab</x:v>
      </x:c>
      <x:c r="B68" s="16" t="str">
        <x:v>Bursa</x:v>
      </x:c>
      <x:c r="C68" s="16" t="str">
        <x:v>Doğrulandı</x:v>
      </x:c>
      <x:c r="D68" s="16" t="str">
        <x:v>Ürün kaydı</x:v>
      </x:c>
      <x:c r="E68" s="16" t="str">
        <x:v>House Blend Kahve 250g</x:v>
      </x:c>
      <x:c r="F68" s="16" t="str">
        <x:v>Etiyopya | Guatemala</x:v>
      </x:c>
      <x:c r="G68" s="17" t="n">
        <x:v>250</x:v>
      </x:c>
      <x:c r="H68" s="16" t="str">
        <x:v>Erişildi</x:v>
      </x:c>
      <x:c r="I68" s="18" t="n">
        <x:v>424.15</x:v>
      </x:c>
      <x:c r="J68" s="18" t="str">
        <x:v>Erişildi</x:v>
      </x:c>
      <x:c r="K68" s="18" t="n">
        <x:f>IF(AND(ISNUMBER(G68),ISNUMBER(I68)),I68/G68*1000,"Erişilemedi")</x:f>
        <x:v>1696.6</x:v>
      </x:c>
      <x:c r="L68" s="16" t="str">
        <x:v>Stokta</x:v>
      </x:c>
      <x:c r="M68" s="16" t="str">
        <x:v>Harman</x:v>
      </x:c>
      <x:c r="N68" s="16" t="str">
        <x:v>Shopify ürün akışı</x:v>
      </x:c>
      <x:c r="O68" s="16" t="str">
        <x:v>Yüksek</x:v>
      </x:c>
      <x:c r="P68" s="19" t="n">
        <x:v>46245</x:v>
      </x:c>
      <x:c r="Q68" s="20" t="str">
        <x:v>https://aroastinglab.com/products/house-blend-250-gram-coffee</x:v>
      </x:c>
      <x:c r="R68" s="20" t="str">
        <x:v>Öğütüm seçenekleri aynı gramaj ve fiyatta tekilleştirildi.</x:v>
      </x:c>
    </x:row>
    <x:row r="69" ht="40" customHeight="1">
      <x:c r="A69" s="16" t="str">
        <x:v>A Roasting Lab</x:v>
      </x:c>
      <x:c r="B69" s="16" t="str">
        <x:v>Bursa</x:v>
      </x:c>
      <x:c r="C69" s="16" t="str">
        <x:v>Doğrulandı</x:v>
      </x:c>
      <x:c r="D69" s="16" t="str">
        <x:v>Ürün kaydı</x:v>
      </x:c>
      <x:c r="E69" s="16" t="str">
        <x:v>House Blend Kahve 50g</x:v>
      </x:c>
      <x:c r="F69" s="16" t="str">
        <x:v>Etiyopya | Guatemala</x:v>
      </x:c>
      <x:c r="G69" s="17" t="n">
        <x:v>50</x:v>
      </x:c>
      <x:c r="H69" s="16" t="str">
        <x:v>Erişildi</x:v>
      </x:c>
      <x:c r="I69" s="18" t="n">
        <x:v>97.75</x:v>
      </x:c>
      <x:c r="J69" s="18" t="str">
        <x:v>Erişildi</x:v>
      </x:c>
      <x:c r="K69" s="18" t="n">
        <x:f>IF(AND(ISNUMBER(G69),ISNUMBER(I69)),I69/G69*1000,"Erişilemedi")</x:f>
        <x:v>1955</x:v>
      </x:c>
      <x:c r="L69" s="16" t="str">
        <x:v>Stokta</x:v>
      </x:c>
      <x:c r="M69" s="16" t="str">
        <x:v>Harman</x:v>
      </x:c>
      <x:c r="N69" s="16" t="str">
        <x:v>Shopify ürün akışı</x:v>
      </x:c>
      <x:c r="O69" s="16" t="str">
        <x:v>Yüksek</x:v>
      </x:c>
      <x:c r="P69" s="19" t="n">
        <x:v>46245</x:v>
      </x:c>
      <x:c r="Q69" s="20" t="str">
        <x:v>https://aroastinglab.com/products/house-blend-50-gram-coffee</x:v>
      </x:c>
      <x:c r="R69" s="20" t="str">
        <x:v>Öğütüm seçenekleri aynı gramaj ve fiyatta tekilleştirildi.</x:v>
      </x:c>
    </x:row>
    <x:row r="70" ht="40" customHeight="1">
      <x:c r="A70" s="16" t="str">
        <x:v>A Roasting Lab</x:v>
      </x:c>
      <x:c r="B70" s="16" t="str">
        <x:v>Bursa</x:v>
      </x:c>
      <x:c r="C70" s="16" t="str">
        <x:v>Doğrulandı</x:v>
      </x:c>
      <x:c r="D70" s="16" t="str">
        <x:v>Ürün kaydı</x:v>
      </x:c>
      <x:c r="E70" s="16" t="str">
        <x:v>Intense Blend Kahve 1000g</x:v>
      </x:c>
      <x:c r="F70" s="16" t="str">
        <x:v>Etiyopya | Hindistan</x:v>
      </x:c>
      <x:c r="G70" s="17" t="n">
        <x:v>1000</x:v>
      </x:c>
      <x:c r="H70" s="16" t="str">
        <x:v>Erişildi</x:v>
      </x:c>
      <x:c r="I70" s="18" t="n">
        <x:v>1526.94</x:v>
      </x:c>
      <x:c r="J70" s="18" t="str">
        <x:v>Erişildi</x:v>
      </x:c>
      <x:c r="K70" s="18" t="n">
        <x:f>IF(AND(ISNUMBER(G70),ISNUMBER(I70)),I70/G70*1000,"Erişilemedi")</x:f>
        <x:v>1526.94</x:v>
      </x:c>
      <x:c r="L70" s="16" t="str">
        <x:v>Stokta</x:v>
      </x:c>
      <x:c r="M70" s="16" t="str">
        <x:v>Harman</x:v>
      </x:c>
      <x:c r="N70" s="16" t="str">
        <x:v>Shopify ürün akışı</x:v>
      </x:c>
      <x:c r="O70" s="16" t="str">
        <x:v>Yüksek</x:v>
      </x:c>
      <x:c r="P70" s="19" t="n">
        <x:v>46245</x:v>
      </x:c>
      <x:c r="Q70" s="20" t="str">
        <x:v>https://aroastinglab.com/products/intense-blend-1000-gram-coffee</x:v>
      </x:c>
      <x:c r="R70" s="20" t="str">
        <x:v>Öğütüm seçenekleri aynı gramaj ve fiyatta tekilleştirildi.</x:v>
      </x:c>
    </x:row>
    <x:row r="71" ht="40" customHeight="1">
      <x:c r="A71" s="16" t="str">
        <x:v>A Roasting Lab</x:v>
      </x:c>
      <x:c r="B71" s="16" t="str">
        <x:v>Bursa</x:v>
      </x:c>
      <x:c r="C71" s="16" t="str">
        <x:v>Doğrulandı</x:v>
      </x:c>
      <x:c r="D71" s="16" t="str">
        <x:v>Ürün kaydı</x:v>
      </x:c>
      <x:c r="E71" s="16" t="str">
        <x:v>Intense Blend Kahve 250g</x:v>
      </x:c>
      <x:c r="F71" s="16" t="str">
        <x:v>Etiyopya | Hindistan</x:v>
      </x:c>
      <x:c r="G71" s="17" t="n">
        <x:v>250</x:v>
      </x:c>
      <x:c r="H71" s="16" t="str">
        <x:v>Erişildi</x:v>
      </x:c>
      <x:c r="I71" s="18" t="n">
        <x:v>424.15</x:v>
      </x:c>
      <x:c r="J71" s="18" t="str">
        <x:v>Erişildi</x:v>
      </x:c>
      <x:c r="K71" s="18" t="n">
        <x:f>IF(AND(ISNUMBER(G71),ISNUMBER(I71)),I71/G71*1000,"Erişilemedi")</x:f>
        <x:v>1696.6</x:v>
      </x:c>
      <x:c r="L71" s="16" t="str">
        <x:v>Stokta</x:v>
      </x:c>
      <x:c r="M71" s="16" t="str">
        <x:v>Harman</x:v>
      </x:c>
      <x:c r="N71" s="16" t="str">
        <x:v>Shopify ürün akışı</x:v>
      </x:c>
      <x:c r="O71" s="16" t="str">
        <x:v>Yüksek</x:v>
      </x:c>
      <x:c r="P71" s="19" t="n">
        <x:v>46245</x:v>
      </x:c>
      <x:c r="Q71" s="20" t="str">
        <x:v>https://aroastinglab.com/products/intense-blend-250-gram-coffee</x:v>
      </x:c>
      <x:c r="R71" s="20" t="str">
        <x:v>Öğütüm seçenekleri aynı gramaj ve fiyatta tekilleştirildi.</x:v>
      </x:c>
    </x:row>
    <x:row r="72" ht="40" customHeight="1">
      <x:c r="A72" s="16" t="str">
        <x:v>A Roasting Lab</x:v>
      </x:c>
      <x:c r="B72" s="16" t="str">
        <x:v>Bursa</x:v>
      </x:c>
      <x:c r="C72" s="16" t="str">
        <x:v>Doğrulandı</x:v>
      </x:c>
      <x:c r="D72" s="16" t="str">
        <x:v>Ürün kaydı</x:v>
      </x:c>
      <x:c r="E72" s="16" t="str">
        <x:v>Intense Blend Kahve 50g</x:v>
      </x:c>
      <x:c r="F72" s="16" t="str">
        <x:v>Etiyopya | Hindistan</x:v>
      </x:c>
      <x:c r="G72" s="17" t="n">
        <x:v>50</x:v>
      </x:c>
      <x:c r="H72" s="16" t="str">
        <x:v>Erişildi</x:v>
      </x:c>
      <x:c r="I72" s="18" t="n">
        <x:v>97.75</x:v>
      </x:c>
      <x:c r="J72" s="18" t="str">
        <x:v>Erişildi</x:v>
      </x:c>
      <x:c r="K72" s="18" t="n">
        <x:f>IF(AND(ISNUMBER(G72),ISNUMBER(I72)),I72/G72*1000,"Erişilemedi")</x:f>
        <x:v>1955</x:v>
      </x:c>
      <x:c r="L72" s="16" t="str">
        <x:v>Stokta</x:v>
      </x:c>
      <x:c r="M72" s="16" t="str">
        <x:v>Harman</x:v>
      </x:c>
      <x:c r="N72" s="16" t="str">
        <x:v>Shopify ürün akışı</x:v>
      </x:c>
      <x:c r="O72" s="16" t="str">
        <x:v>Yüksek</x:v>
      </x:c>
      <x:c r="P72" s="19" t="n">
        <x:v>46245</x:v>
      </x:c>
      <x:c r="Q72" s="20" t="str">
        <x:v>https://aroastinglab.com/products/intense-blend-50-gram-coffee</x:v>
      </x:c>
      <x:c r="R72" s="20" t="str">
        <x:v>Öğütüm seçenekleri aynı gramaj ve fiyatta tekilleştirildi.</x:v>
      </x:c>
    </x:row>
    <x:row r="73" ht="40" customHeight="1">
      <x:c r="A73" s="16" t="str">
        <x:v>A Roasting Lab</x:v>
      </x:c>
      <x:c r="B73" s="16" t="str">
        <x:v>Bursa</x:v>
      </x:c>
      <x:c r="C73" s="16" t="str">
        <x:v>Doğrulandı</x:v>
      </x:c>
      <x:c r="D73" s="16" t="str">
        <x:v>Ürün kaydı</x:v>
      </x:c>
      <x:c r="E73" s="16" t="str">
        <x:v>Kenya Filtre Kahve 1000g</x:v>
      </x:c>
      <x:c r="F73" s="16" t="str">
        <x:v>Kenya</x:v>
      </x:c>
      <x:c r="G73" s="17" t="n">
        <x:v>1000</x:v>
      </x:c>
      <x:c r="H73" s="16" t="str">
        <x:v>Erişildi</x:v>
      </x:c>
      <x:c r="I73" s="18" t="n">
        <x:v>1526.94</x:v>
      </x:c>
      <x:c r="J73" s="18" t="str">
        <x:v>Erişildi</x:v>
      </x:c>
      <x:c r="K73" s="18" t="n">
        <x:f>IF(AND(ISNUMBER(G73),ISNUMBER(I73)),I73/G73*1000,"Erişilemedi")</x:f>
        <x:v>1526.94</x:v>
      </x:c>
      <x:c r="L73" s="16" t="str">
        <x:v>Stokta</x:v>
      </x:c>
      <x:c r="M73" s="16" t="str">
        <x:v>Tek köken/ürün</x:v>
      </x:c>
      <x:c r="N73" s="16" t="str">
        <x:v>Shopify ürün akışı</x:v>
      </x:c>
      <x:c r="O73" s="16" t="str">
        <x:v>Yüksek</x:v>
      </x:c>
      <x:c r="P73" s="19" t="n">
        <x:v>46245</x:v>
      </x:c>
      <x:c r="Q73" s="20" t="str">
        <x:v>https://aroastinglab.com/products/kenya-nyeri-1000-gram-filtre-kahve</x:v>
      </x:c>
      <x:c r="R73" s="20" t="str">
        <x:v>Öğütüm seçenekleri aynı gramaj ve fiyatta tekilleştirildi.</x:v>
      </x:c>
    </x:row>
    <x:row r="74" ht="40" customHeight="1">
      <x:c r="A74" s="16" t="str">
        <x:v>A Roasting Lab</x:v>
      </x:c>
      <x:c r="B74" s="16" t="str">
        <x:v>Bursa</x:v>
      </x:c>
      <x:c r="C74" s="16" t="str">
        <x:v>Doğrulandı</x:v>
      </x:c>
      <x:c r="D74" s="16" t="str">
        <x:v>Ürün kaydı</x:v>
      </x:c>
      <x:c r="E74" s="16" t="str">
        <x:v>Kenya Filtre Kahve 250g</x:v>
      </x:c>
      <x:c r="F74" s="16" t="str">
        <x:v>Kenya</x:v>
      </x:c>
      <x:c r="G74" s="17" t="n">
        <x:v>250</x:v>
      </x:c>
      <x:c r="H74" s="16" t="str">
        <x:v>Erişildi</x:v>
      </x:c>
      <x:c r="I74" s="18" t="n">
        <x:v>424.15</x:v>
      </x:c>
      <x:c r="J74" s="18" t="str">
        <x:v>Erişildi</x:v>
      </x:c>
      <x:c r="K74" s="18" t="n">
        <x:f>IF(AND(ISNUMBER(G74),ISNUMBER(I74)),I74/G74*1000,"Erişilemedi")</x:f>
        <x:v>1696.6</x:v>
      </x:c>
      <x:c r="L74" s="16" t="str">
        <x:v>Stokta</x:v>
      </x:c>
      <x:c r="M74" s="16" t="str">
        <x:v>Tek köken/ürün</x:v>
      </x:c>
      <x:c r="N74" s="16" t="str">
        <x:v>Shopify ürün akışı</x:v>
      </x:c>
      <x:c r="O74" s="16" t="str">
        <x:v>Yüksek</x:v>
      </x:c>
      <x:c r="P74" s="19" t="n">
        <x:v>46245</x:v>
      </x:c>
      <x:c r="Q74" s="20" t="str">
        <x:v>https://aroastinglab.com/products/kenya-nyeri-250-gram-filtre-kahve</x:v>
      </x:c>
      <x:c r="R74" s="20" t="str">
        <x:v>Öğütüm seçenekleri aynı gramaj ve fiyatta tekilleştirildi.</x:v>
      </x:c>
    </x:row>
    <x:row r="75" ht="40" customHeight="1">
      <x:c r="A75" s="16" t="str">
        <x:v>A Roasting Lab</x:v>
      </x:c>
      <x:c r="B75" s="16" t="str">
        <x:v>Bursa</x:v>
      </x:c>
      <x:c r="C75" s="16" t="str">
        <x:v>Doğrulandı</x:v>
      </x:c>
      <x:c r="D75" s="16" t="str">
        <x:v>Ürün kaydı</x:v>
      </x:c>
      <x:c r="E75" s="16" t="str">
        <x:v>Kenya Filtre Kahve 50g</x:v>
      </x:c>
      <x:c r="F75" s="16" t="str">
        <x:v>Kenya</x:v>
      </x:c>
      <x:c r="G75" s="17" t="n">
        <x:v>50</x:v>
      </x:c>
      <x:c r="H75" s="16" t="str">
        <x:v>Erişildi</x:v>
      </x:c>
      <x:c r="I75" s="18" t="n">
        <x:v>97.75</x:v>
      </x:c>
      <x:c r="J75" s="18" t="str">
        <x:v>Erişildi</x:v>
      </x:c>
      <x:c r="K75" s="18" t="n">
        <x:f>IF(AND(ISNUMBER(G75),ISNUMBER(I75)),I75/G75*1000,"Erişilemedi")</x:f>
        <x:v>1955</x:v>
      </x:c>
      <x:c r="L75" s="16" t="str">
        <x:v>Stokta</x:v>
      </x:c>
      <x:c r="M75" s="16" t="str">
        <x:v>Tek köken/ürün</x:v>
      </x:c>
      <x:c r="N75" s="16" t="str">
        <x:v>Shopify ürün akışı</x:v>
      </x:c>
      <x:c r="O75" s="16" t="str">
        <x:v>Yüksek</x:v>
      </x:c>
      <x:c r="P75" s="19" t="n">
        <x:v>46245</x:v>
      </x:c>
      <x:c r="Q75" s="20" t="str">
        <x:v>https://aroastinglab.com/products/kenya-nyeri-50-gram-filtre-kahve</x:v>
      </x:c>
      <x:c r="R75" s="20" t="str">
        <x:v>Öğütüm seçenekleri aynı gramaj ve fiyatta tekilleştirildi.</x:v>
      </x:c>
    </x:row>
    <x:row r="76" ht="40" customHeight="1">
      <x:c r="A76" s="16" t="str">
        <x:v>A Roasting Lab</x:v>
      </x:c>
      <x:c r="B76" s="16" t="str">
        <x:v>Bursa</x:v>
      </x:c>
      <x:c r="C76" s="16" t="str">
        <x:v>Doğrulandı</x:v>
      </x:c>
      <x:c r="D76" s="16" t="str">
        <x:v>Ürün kaydı</x:v>
      </x:c>
      <x:c r="E76" s="16" t="str">
        <x:v>Kolombiya Espresso 1000g</x:v>
      </x:c>
      <x:c r="F76" s="16" t="str">
        <x:v>Kolombiya</x:v>
      </x:c>
      <x:c r="G76" s="17" t="n">
        <x:v>1000</x:v>
      </x:c>
      <x:c r="H76" s="16" t="str">
        <x:v>Erişildi</x:v>
      </x:c>
      <x:c r="I76" s="18" t="n">
        <x:v>1526.94</x:v>
      </x:c>
      <x:c r="J76" s="18" t="str">
        <x:v>Erişildi</x:v>
      </x:c>
      <x:c r="K76" s="18" t="n">
        <x:f>IF(AND(ISNUMBER(G76),ISNUMBER(I76)),I76/G76*1000,"Erişilemedi")</x:f>
        <x:v>1526.94</x:v>
      </x:c>
      <x:c r="L76" s="16" t="str">
        <x:v>Stokta</x:v>
      </x:c>
      <x:c r="M76" s="16" t="str">
        <x:v>Tek köken/ürün</x:v>
      </x:c>
      <x:c r="N76" s="16" t="str">
        <x:v>Shopify ürün akışı</x:v>
      </x:c>
      <x:c r="O76" s="16" t="str">
        <x:v>Yüksek</x:v>
      </x:c>
      <x:c r="P76" s="19" t="n">
        <x:v>46245</x:v>
      </x:c>
      <x:c r="Q76" s="20" t="str">
        <x:v>https://aroastinglab.com/products/colombia-espresso-supremo-1000-gram</x:v>
      </x:c>
      <x:c r="R76" s="20" t="str">
        <x:v>Öğütüm seçenekleri aynı gramaj ve fiyatta tekilleştirildi.</x:v>
      </x:c>
    </x:row>
    <x:row r="77" ht="40" customHeight="1">
      <x:c r="A77" s="16" t="str">
        <x:v>A Roasting Lab</x:v>
      </x:c>
      <x:c r="B77" s="16" t="str">
        <x:v>Bursa</x:v>
      </x:c>
      <x:c r="C77" s="16" t="str">
        <x:v>Doğrulandı</x:v>
      </x:c>
      <x:c r="D77" s="16" t="str">
        <x:v>Ürün kaydı</x:v>
      </x:c>
      <x:c r="E77" s="16" t="str">
        <x:v>Kolombiya Espresso 250g</x:v>
      </x:c>
      <x:c r="F77" s="16" t="str">
        <x:v>Kolombiya</x:v>
      </x:c>
      <x:c r="G77" s="17" t="n">
        <x:v>250</x:v>
      </x:c>
      <x:c r="H77" s="16" t="str">
        <x:v>Erişildi</x:v>
      </x:c>
      <x:c r="I77" s="18" t="n">
        <x:v>424.15</x:v>
      </x:c>
      <x:c r="J77" s="18" t="str">
        <x:v>Erişildi</x:v>
      </x:c>
      <x:c r="K77" s="18" t="n">
        <x:f>IF(AND(ISNUMBER(G77),ISNUMBER(I77)),I77/G77*1000,"Erişilemedi")</x:f>
        <x:v>1696.6</x:v>
      </x:c>
      <x:c r="L77" s="16" t="str">
        <x:v>Stokta</x:v>
      </x:c>
      <x:c r="M77" s="16" t="str">
        <x:v>Tek köken/ürün</x:v>
      </x:c>
      <x:c r="N77" s="16" t="str">
        <x:v>Shopify ürün akışı</x:v>
      </x:c>
      <x:c r="O77" s="16" t="str">
        <x:v>Yüksek</x:v>
      </x:c>
      <x:c r="P77" s="19" t="n">
        <x:v>46245</x:v>
      </x:c>
      <x:c r="Q77" s="20" t="str">
        <x:v>https://aroastinglab.com/products/colombia-espresso-supremo-250-gram</x:v>
      </x:c>
      <x:c r="R77" s="20" t="str">
        <x:v>Öğütüm seçenekleri aynı gramaj ve fiyatta tekilleştirildi.</x:v>
      </x:c>
    </x:row>
    <x:row r="78" ht="40" customHeight="1">
      <x:c r="A78" s="16" t="str">
        <x:v>A Roasting Lab</x:v>
      </x:c>
      <x:c r="B78" s="16" t="str">
        <x:v>Bursa</x:v>
      </x:c>
      <x:c r="C78" s="16" t="str">
        <x:v>Doğrulandı</x:v>
      </x:c>
      <x:c r="D78" s="16" t="str">
        <x:v>Ürün kaydı</x:v>
      </x:c>
      <x:c r="E78" s="16" t="str">
        <x:v>Kolombiya Espresso 50g</x:v>
      </x:c>
      <x:c r="F78" s="16" t="str">
        <x:v>Kolombiya</x:v>
      </x:c>
      <x:c r="G78" s="17" t="n">
        <x:v>50</x:v>
      </x:c>
      <x:c r="H78" s="16" t="str">
        <x:v>Erişildi</x:v>
      </x:c>
      <x:c r="I78" s="18" t="n">
        <x:v>97.75</x:v>
      </x:c>
      <x:c r="J78" s="18" t="str">
        <x:v>Erişildi</x:v>
      </x:c>
      <x:c r="K78" s="18" t="n">
        <x:f>IF(AND(ISNUMBER(G78),ISNUMBER(I78)),I78/G78*1000,"Erişilemedi")</x:f>
        <x:v>1955</x:v>
      </x:c>
      <x:c r="L78" s="16" t="str">
        <x:v>Stokta</x:v>
      </x:c>
      <x:c r="M78" s="16" t="str">
        <x:v>Tek köken/ürün</x:v>
      </x:c>
      <x:c r="N78" s="16" t="str">
        <x:v>Shopify ürün akışı</x:v>
      </x:c>
      <x:c r="O78" s="16" t="str">
        <x:v>Yüksek</x:v>
      </x:c>
      <x:c r="P78" s="19" t="n">
        <x:v>46245</x:v>
      </x:c>
      <x:c r="Q78" s="20" t="str">
        <x:v>https://aroastinglab.com/products/colombia-espresso-supremo-50-gram</x:v>
      </x:c>
      <x:c r="R78" s="20" t="str">
        <x:v>Öğütüm seçenekleri aynı gramaj ve fiyatta tekilleştirildi.</x:v>
      </x:c>
    </x:row>
    <x:row r="79" ht="40" customHeight="1">
      <x:c r="A79" s="16" t="str">
        <x:v>A Roasting Lab</x:v>
      </x:c>
      <x:c r="B79" s="16" t="str">
        <x:v>Bursa</x:v>
      </x:c>
      <x:c r="C79" s="16" t="str">
        <x:v>Doğrulandı</x:v>
      </x:c>
      <x:c r="D79" s="16" t="str">
        <x:v>Ürün kaydı</x:v>
      </x:c>
      <x:c r="E79" s="16" t="str">
        <x:v>Kolombiya Filtre Kahve 1000g</x:v>
      </x:c>
      <x:c r="F79" s="16" t="str">
        <x:v>Kolombiya</x:v>
      </x:c>
      <x:c r="G79" s="17" t="n">
        <x:v>1000</x:v>
      </x:c>
      <x:c r="H79" s="16" t="str">
        <x:v>Erişildi</x:v>
      </x:c>
      <x:c r="I79" s="18" t="n">
        <x:v>1526.94</x:v>
      </x:c>
      <x:c r="J79" s="18" t="str">
        <x:v>Erişildi</x:v>
      </x:c>
      <x:c r="K79" s="18" t="n">
        <x:f>IF(AND(ISNUMBER(G79),ISNUMBER(I79)),I79/G79*1000,"Erişilemedi")</x:f>
        <x:v>1526.94</x:v>
      </x:c>
      <x:c r="L79" s="16" t="str">
        <x:v>Stokta</x:v>
      </x:c>
      <x:c r="M79" s="16" t="str">
        <x:v>Tek köken/ürün</x:v>
      </x:c>
      <x:c r="N79" s="16" t="str">
        <x:v>Shopify ürün akışı</x:v>
      </x:c>
      <x:c r="O79" s="16" t="str">
        <x:v>Yüksek</x:v>
      </x:c>
      <x:c r="P79" s="19" t="n">
        <x:v>46245</x:v>
      </x:c>
      <x:c r="Q79" s="20" t="str">
        <x:v>https://aroastinglab.com/products/colombia-supremo-1000-gram-filtre-kahve</x:v>
      </x:c>
      <x:c r="R79" s="20" t="str">
        <x:v>Öğütüm seçenekleri aynı gramaj ve fiyatta tekilleştirildi.</x:v>
      </x:c>
    </x:row>
    <x:row r="80" ht="40" customHeight="1">
      <x:c r="A80" s="16" t="str">
        <x:v>A Roasting Lab</x:v>
      </x:c>
      <x:c r="B80" s="16" t="str">
        <x:v>Bursa</x:v>
      </x:c>
      <x:c r="C80" s="16" t="str">
        <x:v>Doğrulandı</x:v>
      </x:c>
      <x:c r="D80" s="16" t="str">
        <x:v>Ürün kaydı</x:v>
      </x:c>
      <x:c r="E80" s="16" t="str">
        <x:v>Kolombiya Filtre Kahve 250g</x:v>
      </x:c>
      <x:c r="F80" s="16" t="str">
        <x:v>Kolombiya</x:v>
      </x:c>
      <x:c r="G80" s="17" t="n">
        <x:v>250</x:v>
      </x:c>
      <x:c r="H80" s="16" t="str">
        <x:v>Erişildi</x:v>
      </x:c>
      <x:c r="I80" s="18" t="n">
        <x:v>424.15</x:v>
      </x:c>
      <x:c r="J80" s="18" t="str">
        <x:v>Erişildi</x:v>
      </x:c>
      <x:c r="K80" s="18" t="n">
        <x:f>IF(AND(ISNUMBER(G80),ISNUMBER(I80)),I80/G80*1000,"Erişilemedi")</x:f>
        <x:v>1696.6</x:v>
      </x:c>
      <x:c r="L80" s="16" t="str">
        <x:v>Stokta</x:v>
      </x:c>
      <x:c r="M80" s="16" t="str">
        <x:v>Tek köken/ürün</x:v>
      </x:c>
      <x:c r="N80" s="16" t="str">
        <x:v>Shopify ürün akışı</x:v>
      </x:c>
      <x:c r="O80" s="16" t="str">
        <x:v>Yüksek</x:v>
      </x:c>
      <x:c r="P80" s="19" t="n">
        <x:v>46245</x:v>
      </x:c>
      <x:c r="Q80" s="20" t="str">
        <x:v>https://aroastinglab.com/products/colombia-supremo-250-gram-filtre-kahve</x:v>
      </x:c>
      <x:c r="R80" s="20" t="str">
        <x:v>Öğütüm seçenekleri aynı gramaj ve fiyatta tekilleştirildi.</x:v>
      </x:c>
    </x:row>
    <x:row r="81" ht="40" customHeight="1">
      <x:c r="A81" s="16" t="str">
        <x:v>A Roasting Lab</x:v>
      </x:c>
      <x:c r="B81" s="16" t="str">
        <x:v>Bursa</x:v>
      </x:c>
      <x:c r="C81" s="16" t="str">
        <x:v>Doğrulandı</x:v>
      </x:c>
      <x:c r="D81" s="16" t="str">
        <x:v>Ürün kaydı</x:v>
      </x:c>
      <x:c r="E81" s="16" t="str">
        <x:v>Kolombiya Filtre Kahve 50g</x:v>
      </x:c>
      <x:c r="F81" s="16" t="str">
        <x:v>Kolombiya</x:v>
      </x:c>
      <x:c r="G81" s="17" t="n">
        <x:v>50</x:v>
      </x:c>
      <x:c r="H81" s="16" t="str">
        <x:v>Erişildi</x:v>
      </x:c>
      <x:c r="I81" s="18" t="n">
        <x:v>97.75</x:v>
      </x:c>
      <x:c r="J81" s="18" t="str">
        <x:v>Erişildi</x:v>
      </x:c>
      <x:c r="K81" s="18" t="n">
        <x:f>IF(AND(ISNUMBER(G81),ISNUMBER(I81)),I81/G81*1000,"Erişilemedi")</x:f>
        <x:v>1955</x:v>
      </x:c>
      <x:c r="L81" s="16" t="str">
        <x:v>Stokta</x:v>
      </x:c>
      <x:c r="M81" s="16" t="str">
        <x:v>Tek köken/ürün</x:v>
      </x:c>
      <x:c r="N81" s="16" t="str">
        <x:v>Shopify ürün akışı</x:v>
      </x:c>
      <x:c r="O81" s="16" t="str">
        <x:v>Yüksek</x:v>
      </x:c>
      <x:c r="P81" s="19" t="n">
        <x:v>46245</x:v>
      </x:c>
      <x:c r="Q81" s="20" t="str">
        <x:v>https://aroastinglab.com/products/colombia-supremo-50-gram-filtre-kahve</x:v>
      </x:c>
      <x:c r="R81" s="20" t="str">
        <x:v>Öğütüm seçenekleri aynı gramaj ve fiyatta tekilleştirildi.</x:v>
      </x:c>
    </x:row>
    <x:row r="82" ht="40" customHeight="1">
      <x:c r="A82" s="16" t="str">
        <x:v>A Roasting Lab</x:v>
      </x:c>
      <x:c r="B82" s="16" t="str">
        <x:v>Bursa</x:v>
      </x:c>
      <x:c r="C82" s="16" t="str">
        <x:v>Doğrulandı</x:v>
      </x:c>
      <x:c r="D82" s="16" t="str">
        <x:v>Ürün kaydı</x:v>
      </x:c>
      <x:c r="E82" s="16" t="str">
        <x:v>Kosta Rika Filtre Kahve 1000g</x:v>
      </x:c>
      <x:c r="F82" s="16" t="str">
        <x:v>Kosta Rika</x:v>
      </x:c>
      <x:c r="G82" s="17" t="n">
        <x:v>1000</x:v>
      </x:c>
      <x:c r="H82" s="16" t="str">
        <x:v>Erişildi</x:v>
      </x:c>
      <x:c r="I82" s="18" t="n">
        <x:v>1526.94</x:v>
      </x:c>
      <x:c r="J82" s="18" t="str">
        <x:v>Erişildi</x:v>
      </x:c>
      <x:c r="K82" s="18" t="n">
        <x:f>IF(AND(ISNUMBER(G82),ISNUMBER(I82)),I82/G82*1000,"Erişilemedi")</x:f>
        <x:v>1526.94</x:v>
      </x:c>
      <x:c r="L82" s="16" t="str">
        <x:v>Stokta</x:v>
      </x:c>
      <x:c r="M82" s="16" t="str">
        <x:v>Tek köken/ürün</x:v>
      </x:c>
      <x:c r="N82" s="16" t="str">
        <x:v>Shopify ürün akışı</x:v>
      </x:c>
      <x:c r="O82" s="16" t="str">
        <x:v>Yüksek</x:v>
      </x:c>
      <x:c r="P82" s="19" t="n">
        <x:v>46245</x:v>
      </x:c>
      <x:c r="Q82" s="20" t="str">
        <x:v>https://aroastinglab.com/products/costa-rica-tarrazu-1000-gram-filtre-kahve</x:v>
      </x:c>
      <x:c r="R82" s="20" t="str">
        <x:v>Öğütüm seçenekleri aynı gramaj ve fiyatta tekilleştirildi.</x:v>
      </x:c>
    </x:row>
    <x:row r="83" ht="40" customHeight="1">
      <x:c r="A83" s="16" t="str">
        <x:v>A Roasting Lab</x:v>
      </x:c>
      <x:c r="B83" s="16" t="str">
        <x:v>Bursa</x:v>
      </x:c>
      <x:c r="C83" s="16" t="str">
        <x:v>Doğrulandı</x:v>
      </x:c>
      <x:c r="D83" s="16" t="str">
        <x:v>Ürün kaydı</x:v>
      </x:c>
      <x:c r="E83" s="16" t="str">
        <x:v>Kosta Rika Filtre Kahve 250g</x:v>
      </x:c>
      <x:c r="F83" s="16" t="str">
        <x:v>Kosta Rika</x:v>
      </x:c>
      <x:c r="G83" s="17" t="n">
        <x:v>250</x:v>
      </x:c>
      <x:c r="H83" s="16" t="str">
        <x:v>Erişildi</x:v>
      </x:c>
      <x:c r="I83" s="18" t="n">
        <x:v>424.15</x:v>
      </x:c>
      <x:c r="J83" s="18" t="str">
        <x:v>Erişildi</x:v>
      </x:c>
      <x:c r="K83" s="18" t="n">
        <x:f>IF(AND(ISNUMBER(G83),ISNUMBER(I83)),I83/G83*1000,"Erişilemedi")</x:f>
        <x:v>1696.6</x:v>
      </x:c>
      <x:c r="L83" s="16" t="str">
        <x:v>Stokta</x:v>
      </x:c>
      <x:c r="M83" s="16" t="str">
        <x:v>Tek köken/ürün</x:v>
      </x:c>
      <x:c r="N83" s="16" t="str">
        <x:v>Shopify ürün akışı</x:v>
      </x:c>
      <x:c r="O83" s="16" t="str">
        <x:v>Yüksek</x:v>
      </x:c>
      <x:c r="P83" s="19" t="n">
        <x:v>46245</x:v>
      </x:c>
      <x:c r="Q83" s="20" t="str">
        <x:v>https://aroastinglab.com/products/costa-rica-tarrazu-250-gram-filtre-kahve</x:v>
      </x:c>
      <x:c r="R83" s="20" t="str">
        <x:v>Öğütüm seçenekleri aynı gramaj ve fiyatta tekilleştirildi.</x:v>
      </x:c>
    </x:row>
    <x:row r="84" ht="40" customHeight="1">
      <x:c r="A84" s="16" t="str">
        <x:v>A Roasting Lab</x:v>
      </x:c>
      <x:c r="B84" s="16" t="str">
        <x:v>Bursa</x:v>
      </x:c>
      <x:c r="C84" s="16" t="str">
        <x:v>Doğrulandı</x:v>
      </x:c>
      <x:c r="D84" s="16" t="str">
        <x:v>Ürün kaydı</x:v>
      </x:c>
      <x:c r="E84" s="16" t="str">
        <x:v>Kosta Rika Filtre Kahve 50g</x:v>
      </x:c>
      <x:c r="F84" s="16" t="str">
        <x:v>Kosta Rika</x:v>
      </x:c>
      <x:c r="G84" s="17" t="n">
        <x:v>50</x:v>
      </x:c>
      <x:c r="H84" s="16" t="str">
        <x:v>Erişildi</x:v>
      </x:c>
      <x:c r="I84" s="18" t="n">
        <x:v>97.75</x:v>
      </x:c>
      <x:c r="J84" s="18" t="str">
        <x:v>Erişildi</x:v>
      </x:c>
      <x:c r="K84" s="18" t="n">
        <x:f>IF(AND(ISNUMBER(G84),ISNUMBER(I84)),I84/G84*1000,"Erişilemedi")</x:f>
        <x:v>1955</x:v>
      </x:c>
      <x:c r="L84" s="16" t="str">
        <x:v>Stokta</x:v>
      </x:c>
      <x:c r="M84" s="16" t="str">
        <x:v>Tek köken/ürün</x:v>
      </x:c>
      <x:c r="N84" s="16" t="str">
        <x:v>Shopify ürün akışı</x:v>
      </x:c>
      <x:c r="O84" s="16" t="str">
        <x:v>Yüksek</x:v>
      </x:c>
      <x:c r="P84" s="19" t="n">
        <x:v>46245</x:v>
      </x:c>
      <x:c r="Q84" s="20" t="str">
        <x:v>https://aroastinglab.com/products/costa-rica-tarrazu-50-gram-filtre-kahve</x:v>
      </x:c>
      <x:c r="R84" s="20" t="str">
        <x:v>Öğütüm seçenekleri aynı gramaj ve fiyatta tekilleştirildi.</x:v>
      </x:c>
    </x:row>
    <x:row r="85" ht="40" customHeight="1">
      <x:c r="A85" s="16" t="str">
        <x:v>A Roasting Lab</x:v>
      </x:c>
      <x:c r="B85" s="16" t="str">
        <x:v>Bursa</x:v>
      </x:c>
      <x:c r="C85" s="16" t="str">
        <x:v>Doğrulandı</x:v>
      </x:c>
      <x:c r="D85" s="16" t="str">
        <x:v>Ürün kaydı</x:v>
      </x:c>
      <x:c r="E85" s="16" t="str">
        <x:v>Seçkin Kahveler Deneme Paketi 5x50 g</x:v>
      </x:c>
      <x:c r="F85" s="16" t="str">
        <x:v>Etiyopya | Kolombiya | Brezilya | Guatemala | El Salvador</x:v>
      </x:c>
      <x:c r="G85" s="17" t="n">
        <x:v>50</x:v>
      </x:c>
      <x:c r="H85" s="16" t="str">
        <x:v>Erişildi</x:v>
      </x:c>
      <x:c r="I85" s="18" t="n">
        <x:v>479.2</x:v>
      </x:c>
      <x:c r="J85" s="18" t="str">
        <x:v>Erişildi</x:v>
      </x:c>
      <x:c r="K85" s="18" t="n">
        <x:f>IF(AND(ISNUMBER(G85),ISNUMBER(I85)),I85/G85*1000,"Erişilemedi")</x:f>
        <x:v>9584</x:v>
      </x:c>
      <x:c r="L85" s="16" t="str">
        <x:v>Stokta</x:v>
      </x:c>
      <x:c r="M85" s="16" t="str">
        <x:v>Tek köken/ürün</x:v>
      </x:c>
      <x:c r="N85" s="16" t="str">
        <x:v>Shopify ürün akışı</x:v>
      </x:c>
      <x:c r="O85" s="16" t="str">
        <x:v>Yüksek</x:v>
      </x:c>
      <x:c r="P85" s="19" t="n">
        <x:v>46245</x:v>
      </x:c>
      <x:c r="Q85" s="20" t="str">
        <x:v>https://aroastinglab.com/products/seckin-kahveler-deneme-paketi</x:v>
      </x:c>
      <x:c r="R85" s="20" t="str">
        <x:v>Öğütüm seçenekleri aynı gramaj ve fiyatta tekilleştirildi.</x:v>
      </x:c>
    </x:row>
    <x:row r="86" ht="40" customHeight="1">
      <x:c r="A86" s="16" t="str">
        <x:v>A Roasting Lab</x:v>
      </x:c>
      <x:c r="B86" s="16" t="str">
        <x:v>Bursa</x:v>
      </x:c>
      <x:c r="C86" s="16" t="str">
        <x:v>Doğrulandı</x:v>
      </x:c>
      <x:c r="D86" s="16" t="str">
        <x:v>Ürün kaydı</x:v>
      </x:c>
      <x:c r="E86" s="16" t="str">
        <x:v>Titan Blend Kahve 1000g</x:v>
      </x:c>
      <x:c r="F86" s="16" t="str">
        <x:v>Harman – menşe belirtilmemiş</x:v>
      </x:c>
      <x:c r="G86" s="17" t="n">
        <x:v>1000</x:v>
      </x:c>
      <x:c r="H86" s="16" t="str">
        <x:v>Erişildi</x:v>
      </x:c>
      <x:c r="I86" s="18" t="n">
        <x:v>1526.94</x:v>
      </x:c>
      <x:c r="J86" s="18" t="str">
        <x:v>Erişildi</x:v>
      </x:c>
      <x:c r="K86" s="18" t="n">
        <x:f>IF(AND(ISNUMBER(G86),ISNUMBER(I86)),I86/G86*1000,"Erişilemedi")</x:f>
        <x:v>1526.94</x:v>
      </x:c>
      <x:c r="L86" s="16" t="str">
        <x:v>Stokta</x:v>
      </x:c>
      <x:c r="M86" s="16" t="str">
        <x:v>Harman</x:v>
      </x:c>
      <x:c r="N86" s="16" t="str">
        <x:v>Shopify ürün akışı</x:v>
      </x:c>
      <x:c r="O86" s="16" t="str">
        <x:v>Yüksek</x:v>
      </x:c>
      <x:c r="P86" s="19" t="n">
        <x:v>46245</x:v>
      </x:c>
      <x:c r="Q86" s="20" t="str">
        <x:v>https://aroastinglab.com/products/titan-filter-blend-1000-gram-filtre-kahve</x:v>
      </x:c>
      <x:c r="R86" s="20" t="str">
        <x:v>Öğütüm seçenekleri aynı gramaj ve fiyatta tekilleştirildi.</x:v>
      </x:c>
    </x:row>
    <x:row r="87" ht="40" customHeight="1">
      <x:c r="A87" s="16" t="str">
        <x:v>A Roasting Lab</x:v>
      </x:c>
      <x:c r="B87" s="16" t="str">
        <x:v>Bursa</x:v>
      </x:c>
      <x:c r="C87" s="16" t="str">
        <x:v>Doğrulandı</x:v>
      </x:c>
      <x:c r="D87" s="16" t="str">
        <x:v>Ürün kaydı</x:v>
      </x:c>
      <x:c r="E87" s="16" t="str">
        <x:v>Titan Blend Kahve 250g</x:v>
      </x:c>
      <x:c r="F87" s="16" t="str">
        <x:v>Harman – menşe belirtilmemiş</x:v>
      </x:c>
      <x:c r="G87" s="17" t="n">
        <x:v>250</x:v>
      </x:c>
      <x:c r="H87" s="16" t="str">
        <x:v>Erişildi</x:v>
      </x:c>
      <x:c r="I87" s="18" t="n">
        <x:v>424.15</x:v>
      </x:c>
      <x:c r="J87" s="18" t="str">
        <x:v>Erişildi</x:v>
      </x:c>
      <x:c r="K87" s="18" t="n">
        <x:f>IF(AND(ISNUMBER(G87),ISNUMBER(I87)),I87/G87*1000,"Erişilemedi")</x:f>
        <x:v>1696.6</x:v>
      </x:c>
      <x:c r="L87" s="16" t="str">
        <x:v>Stokta</x:v>
      </x:c>
      <x:c r="M87" s="16" t="str">
        <x:v>Harman</x:v>
      </x:c>
      <x:c r="N87" s="16" t="str">
        <x:v>Shopify ürün akışı</x:v>
      </x:c>
      <x:c r="O87" s="16" t="str">
        <x:v>Yüksek</x:v>
      </x:c>
      <x:c r="P87" s="19" t="n">
        <x:v>46245</x:v>
      </x:c>
      <x:c r="Q87" s="20" t="str">
        <x:v>https://aroastinglab.com/products/titan-filter-blend-250-gram-filtre-kahve</x:v>
      </x:c>
      <x:c r="R87" s="20" t="str">
        <x:v>Öğütüm seçenekleri aynı gramaj ve fiyatta tekilleştirildi.</x:v>
      </x:c>
    </x:row>
    <x:row r="88" ht="40" customHeight="1">
      <x:c r="A88" s="16" t="str">
        <x:v>A Roasting Lab</x:v>
      </x:c>
      <x:c r="B88" s="16" t="str">
        <x:v>Bursa</x:v>
      </x:c>
      <x:c r="C88" s="16" t="str">
        <x:v>Doğrulandı</x:v>
      </x:c>
      <x:c r="D88" s="16" t="str">
        <x:v>Ürün kaydı</x:v>
      </x:c>
      <x:c r="E88" s="16" t="str">
        <x:v>Titan Blend Kahve 50g</x:v>
      </x:c>
      <x:c r="F88" s="16" t="str">
        <x:v>Harman – menşe belirtilmemiş</x:v>
      </x:c>
      <x:c r="G88" s="17" t="n">
        <x:v>50</x:v>
      </x:c>
      <x:c r="H88" s="16" t="str">
        <x:v>Erişildi</x:v>
      </x:c>
      <x:c r="I88" s="18" t="n">
        <x:v>97.75</x:v>
      </x:c>
      <x:c r="J88" s="18" t="str">
        <x:v>Erişildi</x:v>
      </x:c>
      <x:c r="K88" s="18" t="n">
        <x:f>IF(AND(ISNUMBER(G88),ISNUMBER(I88)),I88/G88*1000,"Erişilemedi")</x:f>
        <x:v>1955</x:v>
      </x:c>
      <x:c r="L88" s="16" t="str">
        <x:v>Stokta</x:v>
      </x:c>
      <x:c r="M88" s="16" t="str">
        <x:v>Harman</x:v>
      </x:c>
      <x:c r="N88" s="16" t="str">
        <x:v>Shopify ürün akışı</x:v>
      </x:c>
      <x:c r="O88" s="16" t="str">
        <x:v>Yüksek</x:v>
      </x:c>
      <x:c r="P88" s="19" t="n">
        <x:v>46245</x:v>
      </x:c>
      <x:c r="Q88" s="20" t="str">
        <x:v>https://aroastinglab.com/products/titan-filter-blend-50-gram-filtre-kahve</x:v>
      </x:c>
      <x:c r="R88" s="20" t="str">
        <x:v>Öğütüm seçenekleri aynı gramaj ve fiyatta tekilleştirildi.</x:v>
      </x:c>
    </x:row>
    <x:row r="89" ht="40" customHeight="1">
      <x:c r="A89" s="16" t="str">
        <x:v>A Roasting Lab</x:v>
      </x:c>
      <x:c r="B89" s="16" t="str">
        <x:v>Bursa</x:v>
      </x:c>
      <x:c r="C89" s="16" t="str">
        <x:v>Doğrulandı</x:v>
      </x:c>
      <x:c r="D89" s="16" t="str">
        <x:v>Ürün kaydı</x:v>
      </x:c>
      <x:c r="E89" s="16" t="str">
        <x:v>Türk Kahvesi 1000g</x:v>
      </x:c>
      <x:c r="F89" s="16" t="str">
        <x:v>Harman – menşe belirtilmemiş</x:v>
      </x:c>
      <x:c r="G89" s="17" t="n">
        <x:v>1000</x:v>
      </x:c>
      <x:c r="H89" s="16" t="str">
        <x:v>Erişildi</x:v>
      </x:c>
      <x:c r="I89" s="18" t="n">
        <x:v>924.8</x:v>
      </x:c>
      <x:c r="J89" s="18" t="str">
        <x:v>Erişildi</x:v>
      </x:c>
      <x:c r="K89" s="18" t="n">
        <x:f>IF(AND(ISNUMBER(G89),ISNUMBER(I89)),I89/G89*1000,"Erişilemedi")</x:f>
        <x:v>924.8</x:v>
      </x:c>
      <x:c r="L89" s="16" t="str">
        <x:v>Stokta</x:v>
      </x:c>
      <x:c r="M89" s="16" t="str">
        <x:v>Türk kahvesi</x:v>
      </x:c>
      <x:c r="N89" s="16" t="str">
        <x:v>Shopify ürün akışı</x:v>
      </x:c>
      <x:c r="O89" s="16" t="str">
        <x:v>Yüksek</x:v>
      </x:c>
      <x:c r="P89" s="19" t="n">
        <x:v>46245</x:v>
      </x:c>
      <x:c r="Q89" s="20" t="str">
        <x:v>https://aroastinglab.com/products/turkish-coffee-blend-1000-gram-turk-kahvesi</x:v>
      </x:c>
      <x:c r="R89" s="20" t="str">
        <x:v>Öğütüm seçenekleri aynı gramaj ve fiyatta tekilleştirildi.</x:v>
      </x:c>
    </x:row>
    <x:row r="90" ht="40" customHeight="1">
      <x:c r="A90" s="16" t="str">
        <x:v>A Roasting Lab</x:v>
      </x:c>
      <x:c r="B90" s="16" t="str">
        <x:v>Bursa</x:v>
      </x:c>
      <x:c r="C90" s="16" t="str">
        <x:v>Doğrulandı</x:v>
      </x:c>
      <x:c r="D90" s="16" t="str">
        <x:v>Ürün kaydı</x:v>
      </x:c>
      <x:c r="E90" s="16" t="str">
        <x:v>Türk Kahvesi 100g</x:v>
      </x:c>
      <x:c r="F90" s="16" t="str">
        <x:v>Harman – menşe belirtilmemiş</x:v>
      </x:c>
      <x:c r="G90" s="17" t="n">
        <x:v>100</x:v>
      </x:c>
      <x:c r="H90" s="16" t="str">
        <x:v>Erişildi</x:v>
      </x:c>
      <x:c r="I90" s="18" t="n">
        <x:v>122.4</x:v>
      </x:c>
      <x:c r="J90" s="18" t="str">
        <x:v>Erişildi</x:v>
      </x:c>
      <x:c r="K90" s="18" t="n">
        <x:f>IF(AND(ISNUMBER(G90),ISNUMBER(I90)),I90/G90*1000,"Erişilemedi")</x:f>
        <x:v>1224</x:v>
      </x:c>
      <x:c r="L90" s="16" t="str">
        <x:v>Stokta</x:v>
      </x:c>
      <x:c r="M90" s="16" t="str">
        <x:v>Türk kahvesi</x:v>
      </x:c>
      <x:c r="N90" s="16" t="str">
        <x:v>Shopify ürün akışı</x:v>
      </x:c>
      <x:c r="O90" s="16" t="str">
        <x:v>Yüksek</x:v>
      </x:c>
      <x:c r="P90" s="19" t="n">
        <x:v>46245</x:v>
      </x:c>
      <x:c r="Q90" s="20" t="str">
        <x:v>https://aroastinglab.com/products/turkish-coffee-blend-100-gram-turk-kahvesi</x:v>
      </x:c>
      <x:c r="R90" s="20" t="str">
        <x:v>Öğütüm seçenekleri aynı gramaj ve fiyatta tekilleştirildi.</x:v>
      </x:c>
    </x:row>
    <x:row r="91" ht="40" customHeight="1">
      <x:c r="A91" s="16" t="str">
        <x:v>A Roasting Lab</x:v>
      </x:c>
      <x:c r="B91" s="16" t="str">
        <x:v>Bursa</x:v>
      </x:c>
      <x:c r="C91" s="16" t="str">
        <x:v>Doğrulandı</x:v>
      </x:c>
      <x:c r="D91" s="16" t="str">
        <x:v>Ürün kaydı</x:v>
      </x:c>
      <x:c r="E91" s="16" t="str">
        <x:v>Türk Kahvesi 250g</x:v>
      </x:c>
      <x:c r="F91" s="16" t="str">
        <x:v>Harman – menşe belirtilmemiş</x:v>
      </x:c>
      <x:c r="G91" s="17" t="n">
        <x:v>250</x:v>
      </x:c>
      <x:c r="H91" s="16" t="str">
        <x:v>Erişildi</x:v>
      </x:c>
      <x:c r="I91" s="18" t="n">
        <x:v>283.05</x:v>
      </x:c>
      <x:c r="J91" s="18" t="str">
        <x:v>Erişildi</x:v>
      </x:c>
      <x:c r="K91" s="18" t="n">
        <x:f>IF(AND(ISNUMBER(G91),ISNUMBER(I91)),I91/G91*1000,"Erişilemedi")</x:f>
        <x:v>1132.2</x:v>
      </x:c>
      <x:c r="L91" s="16" t="str">
        <x:v>Stokta</x:v>
      </x:c>
      <x:c r="M91" s="16" t="str">
        <x:v>Türk kahvesi</x:v>
      </x:c>
      <x:c r="N91" s="16" t="str">
        <x:v>Shopify ürün akışı</x:v>
      </x:c>
      <x:c r="O91" s="16" t="str">
        <x:v>Yüksek</x:v>
      </x:c>
      <x:c r="P91" s="19" t="n">
        <x:v>46245</x:v>
      </x:c>
      <x:c r="Q91" s="20" t="str">
        <x:v>https://aroastinglab.com/products/turkish-coffee-blend-250-gram-turk-kahvesi</x:v>
      </x:c>
      <x:c r="R91" s="20" t="str">
        <x:v>Öğütüm seçenekleri aynı gramaj ve fiyatta tekilleştirildi.</x:v>
      </x:c>
    </x:row>
    <x:row r="92" ht="40" customHeight="1">
      <x:c r="A92" s="16" t="str">
        <x:v>A Roasting Lab</x:v>
      </x:c>
      <x:c r="B92" s="16" t="str">
        <x:v>Bursa</x:v>
      </x:c>
      <x:c r="C92" s="16" t="str">
        <x:v>Doğrulandı</x:v>
      </x:c>
      <x:c r="D92" s="16" t="str">
        <x:v>Ürün kaydı</x:v>
      </x:c>
      <x:c r="E92" s="16" t="str">
        <x:v>Zamansız Kahveler Deneme Paketi 5x50 g</x:v>
      </x:c>
      <x:c r="F92" s="16" t="str">
        <x:v>Etiyopya | Guatemala | Honduras | El Salvador | Hindistan</x:v>
      </x:c>
      <x:c r="G92" s="17" t="n">
        <x:v>50</x:v>
      </x:c>
      <x:c r="H92" s="16" t="str">
        <x:v>Erişildi</x:v>
      </x:c>
      <x:c r="I92" s="18" t="n">
        <x:v>479.2</x:v>
      </x:c>
      <x:c r="J92" s="18" t="str">
        <x:v>Erişildi</x:v>
      </x:c>
      <x:c r="K92" s="18" t="n">
        <x:f>IF(AND(ISNUMBER(G92),ISNUMBER(I92)),I92/G92*1000,"Erişilemedi")</x:f>
        <x:v>9584</x:v>
      </x:c>
      <x:c r="L92" s="16" t="str">
        <x:v>Stokta</x:v>
      </x:c>
      <x:c r="M92" s="16" t="str">
        <x:v>Tek köken/ürün</x:v>
      </x:c>
      <x:c r="N92" s="16" t="str">
        <x:v>Shopify ürün akışı</x:v>
      </x:c>
      <x:c r="O92" s="16" t="str">
        <x:v>Yüksek</x:v>
      </x:c>
      <x:c r="P92" s="19" t="n">
        <x:v>46245</x:v>
      </x:c>
      <x:c r="Q92" s="20" t="str">
        <x:v>https://aroastinglab.com/products/zamansiz-kahveler-deneme-paketi-1</x:v>
      </x:c>
      <x:c r="R92" s="20" t="str">
        <x:v>Öğütüm seçenekleri aynı gramaj ve fiyatta tekilleştirildi.</x:v>
      </x:c>
    </x:row>
    <x:row r="93" ht="40" customHeight="1">
      <x:c r="A93" s="16" t="str">
        <x:v>A4 Kahve</x:v>
      </x:c>
      <x:c r="B93" s="16" t="str"/>
      <x:c r="C93" s="16" t="str">
        <x:v>Kısmi doğrulama</x:v>
      </x:c>
      <x:c r="D93" s="16" t="str">
        <x:v>Katalog takip kaydı</x:v>
      </x:c>
      <x:c r="E93" s="16" t="str">
        <x:v>Ürün kataloğu — ayrıntılı ürün verisine erişilemedi</x:v>
      </x:c>
      <x:c r="F93" s="16" t="str">
        <x:v>Erişilemedi</x:v>
      </x:c>
      <x:c r="G93" s="17" t="str">
        <x:v>Erişilemedi</x:v>
      </x:c>
      <x:c r="H93" s="16" t="str">
        <x:v>Erişilemedi</x:v>
      </x:c>
      <x:c r="I93" s="18" t="str">
        <x:v>Erişilemedi</x:v>
      </x:c>
      <x:c r="J93" s="18" t="str">
        <x:v>Erişilemedi</x:v>
      </x:c>
      <x:c r="K93" s="18" t="str">
        <x:f>IF(AND(ISNUMBER(G93),ISNUMBER(I93)),I93/G93*1000,"Erişilemedi")</x:f>
        <x:v>Erişilemedi</x:v>
      </x:c>
      <x:c r="L93" s="16" t="str">
        <x:v>Erişilemedi</x:v>
      </x:c>
      <x:c r="M93" s="16" t="str">
        <x:v>Katalog/takip kaydı</x:v>
      </x:c>
      <x:c r="N93" s="16" t="str">
        <x:v>Instagram veya mevcut kaynak</x:v>
      </x:c>
      <x:c r="O93" s="16" t="str">
        <x:v>Takip gerekli</x:v>
      </x:c>
      <x:c r="P93" s="19" t="n">
        <x:v>46245</x:v>
      </x:c>
      <x:c r="Q93" s="20" t="str">
        <x:v>Erişilemedi</x:v>
      </x:c>
      <x:c r="R93" s="20" t="str">
        <x:v>Ürün adı, gramaj ve fiyat birlikte çıkarılamadı. Bağlantı manuel inceleme için korundu.</x:v>
      </x:c>
    </x:row>
    <x:row r="94" ht="40" customHeight="1">
      <x:c r="A94" s="16" t="str">
        <x:v>Abdullah Efendi Kahvesi</x:v>
      </x:c>
      <x:c r="B94" s="16" t="str"/>
      <x:c r="C94" s="16" t="str">
        <x:v>Kısmi doğrulama</x:v>
      </x:c>
      <x:c r="D94" s="16" t="str">
        <x:v>Katalog takip kaydı</x:v>
      </x:c>
      <x:c r="E94" s="16" t="str">
        <x:v>Ürün kataloğu — ayrıntılı ürün verisine erişilemedi</x:v>
      </x:c>
      <x:c r="F94" s="16" t="str">
        <x:v>Erişilemedi</x:v>
      </x:c>
      <x:c r="G94" s="17" t="str">
        <x:v>Erişilemedi</x:v>
      </x:c>
      <x:c r="H94" s="16" t="str">
        <x:v>Erişilemedi</x:v>
      </x:c>
      <x:c r="I94" s="18" t="str">
        <x:v>Erişilemedi</x:v>
      </x:c>
      <x:c r="J94" s="18" t="str">
        <x:v>Erişilemedi</x:v>
      </x:c>
      <x:c r="K94" s="18" t="str">
        <x:f>IF(AND(ISNUMBER(G94),ISNUMBER(I94)),I94/G94*1000,"Erişilemedi")</x:f>
        <x:v>Erişilemedi</x:v>
      </x:c>
      <x:c r="L94" s="16" t="str">
        <x:v>Erişilemedi</x:v>
      </x:c>
      <x:c r="M94" s="16" t="str">
        <x:v>Katalog/takip kaydı</x:v>
      </x:c>
      <x:c r="N94" s="16" t="str">
        <x:v>Instagram veya mevcut kaynak</x:v>
      </x:c>
      <x:c r="O94" s="16" t="str">
        <x:v>Takip gerekli</x:v>
      </x:c>
      <x:c r="P94" s="19" t="n">
        <x:v>46245</x:v>
      </x:c>
      <x:c r="Q94" s="20" t="str">
        <x:v>Erişilemedi</x:v>
      </x:c>
      <x:c r="R94" s="20" t="str">
        <x:v>Ürün adı, gramaj ve fiyat birlikte çıkarılamadı. Bağlantı manuel inceleme için korundu.</x:v>
      </x:c>
    </x:row>
    <x:row r="95" ht="40" customHeight="1">
      <x:c r="A95" s="16" t="str">
        <x:v>Akademi Kahve</x:v>
      </x:c>
      <x:c r="B95" s="16" t="str">
        <x:v>İstanbul</x:v>
      </x:c>
      <x:c r="C95" s="16" t="str">
        <x:v>Doğrulandı</x:v>
      </x:c>
      <x:c r="D95" s="16" t="str">
        <x:v>Katalog takip kaydı</x:v>
      </x:c>
      <x:c r="E95" s="16" t="str">
        <x:v>Ürün kataloğu — ayrıntılı ürün verisine erişilemedi</x:v>
      </x:c>
      <x:c r="F95" s="16" t="str">
        <x:v>Erişilemedi</x:v>
      </x:c>
      <x:c r="G95" s="17" t="str">
        <x:v>Erişilemedi</x:v>
      </x:c>
      <x:c r="H95" s="16" t="str">
        <x:v>Erişilemedi</x:v>
      </x:c>
      <x:c r="I95" s="18" t="str">
        <x:v>Erişilemedi</x:v>
      </x:c>
      <x:c r="J95" s="18" t="str">
        <x:v>Erişilemedi</x:v>
      </x:c>
      <x:c r="K95" s="18" t="str">
        <x:f>IF(AND(ISNUMBER(G95),ISNUMBER(I95)),I95/G95*1000,"Erişilemedi")</x:f>
        <x:v>Erişilemedi</x:v>
      </x:c>
      <x:c r="L95" s="16" t="str">
        <x:v>Erişilemedi</x:v>
      </x:c>
      <x:c r="M95" s="16" t="str">
        <x:v>Katalog/takip kaydı</x:v>
      </x:c>
      <x:c r="N95" s="16" t="str">
        <x:v>Mağaza/katalog bağlantısı</x:v>
      </x:c>
      <x:c r="O95" s="16" t="str">
        <x:v>Takip gerekli</x:v>
      </x:c>
      <x:c r="P95" s="19" t="n">
        <x:v>46245</x:v>
      </x:c>
      <x:c r="Q95" s="20" t="str">
        <x:v>https://academyroastery.com/tr</x:v>
      </x:c>
      <x:c r="R95" s="20" t="str">
        <x:v>Ürün adı, gramaj ve fiyat birlikte çıkarılamadı. Bağlantı manuel inceleme için korundu.</x:v>
      </x:c>
    </x:row>
    <x:row r="96" ht="40" customHeight="1">
      <x:c r="A96" s="16" t="str">
        <x:v>Arabica Coffee House</x:v>
      </x:c>
      <x:c r="B96" s="16" t="str">
        <x:v>Ankara</x:v>
      </x:c>
      <x:c r="C96" s="16" t="str">
        <x:v>Doğrulandı</x:v>
      </x:c>
      <x:c r="D96" s="16" t="str">
        <x:v>Katalog takip kaydı</x:v>
      </x:c>
      <x:c r="E96" s="16" t="str">
        <x:v>Ürün kataloğu — ayrıntılı ürün verisine erişilemedi</x:v>
      </x:c>
      <x:c r="F96" s="16" t="str">
        <x:v>Erişilemedi</x:v>
      </x:c>
      <x:c r="G96" s="17" t="str">
        <x:v>Erişilemedi</x:v>
      </x:c>
      <x:c r="H96" s="16" t="str">
        <x:v>Erişilemedi</x:v>
      </x:c>
      <x:c r="I96" s="18" t="str">
        <x:v>Erişilemedi</x:v>
      </x:c>
      <x:c r="J96" s="18" t="str">
        <x:v>Erişilemedi</x:v>
      </x:c>
      <x:c r="K96" s="18" t="str">
        <x:f>IF(AND(ISNUMBER(G96),ISNUMBER(I96)),I96/G96*1000,"Erişilemedi")</x:f>
        <x:v>Erişilemedi</x:v>
      </x:c>
      <x:c r="L96" s="16" t="str">
        <x:v>Erişilemedi</x:v>
      </x:c>
      <x:c r="M96" s="16" t="str">
        <x:v>Katalog/takip kaydı</x:v>
      </x:c>
      <x:c r="N96" s="16" t="str">
        <x:v>Mağaza/katalog bağlantısı</x:v>
      </x:c>
      <x:c r="O96" s="16" t="str">
        <x:v>Takip gerekli</x:v>
      </x:c>
      <x:c r="P96" s="19" t="n">
        <x:v>46245</x:v>
      </x:c>
      <x:c r="Q96" s="20" t="str">
        <x:v>https://arabicacoffee.com.tr/</x:v>
      </x:c>
      <x:c r="R96" s="20" t="str">
        <x:v>Ürün adı, gramaj ve fiyat birlikte çıkarılamadı. Bağlantı manuel inceleme için korundu.</x:v>
      </x:c>
    </x:row>
    <x:row r="97" ht="40" customHeight="1">
      <x:c r="A97" s="16" t="str">
        <x:v>Artukbey Kahve</x:v>
      </x:c>
      <x:c r="B97" s="16" t="str">
        <x:v>Mardin</x:v>
      </x:c>
      <x:c r="C97" s="16" t="str">
        <x:v>Doğrulandı</x:v>
      </x:c>
      <x:c r="D97" s="16" t="str">
        <x:v>Ürün kaydı</x:v>
      </x:c>
      <x:c r="E97" s="16" t="str">
        <x:v>7'si 1 Arada Dibek Kahve 24 gr*10 Adet (ARTDİGSTOK0021)</x:v>
      </x:c>
      <x:c r="F97" s="16" t="str">
        <x:v>Menşe belirtilmemiş</x:v>
      </x:c>
      <x:c r="G97" s="17" t="n">
        <x:v>24</x:v>
      </x:c>
      <x:c r="H97" s="16" t="str">
        <x:v>Erişildi</x:v>
      </x:c>
      <x:c r="I97" s="18" t="n">
        <x:v>0</x:v>
      </x:c>
      <x:c r="J97" s="18" t="str">
        <x:v>Erişilemedi</x:v>
      </x:c>
      <x:c r="K97" s="18" t="n">
        <x:f>IF(AND(ISNUMBER(G97),ISNUMBER(I97)),I97/G97*1000,"Erişilemedi")</x:f>
        <x:v>0</x:v>
      </x:c>
      <x:c r="L97" s="16" t="str">
        <x:v>Belirsiz</x:v>
      </x:c>
      <x:c r="M97" s="16" t="str">
        <x:v>Kahve ürünü</x:v>
      </x:c>
      <x:c r="N97" s="16" t="str">
        <x:v>Site haritası ürün sayfası</x:v>
      </x:c>
      <x:c r="O97" s="16" t="str">
        <x:v>Düşük</x:v>
      </x:c>
      <x:c r="P97" s="19" t="n">
        <x:v>46245</x:v>
      </x:c>
      <x:c r="Q97" s="20" t="str">
        <x:v>https://www.artukbey.com/7si-1-arada-dibek-kahve-24-gr10-adet-34143</x:v>
      </x:c>
      <x:c r="R97" s="20" t="str">
        <x:v>Ürün kimliği korundu; eksik alanlar erişilemedi olarak işaretlenecek.</x:v>
      </x:c>
    </x:row>
    <x:row r="98" ht="40" customHeight="1">
      <x:c r="A98" s="16" t="str">
        <x:v>Artukbey Kahve</x:v>
      </x:c>
      <x:c r="B98" s="16" t="str">
        <x:v>Mardin</x:v>
      </x:c>
      <x:c r="C98" s="16" t="str">
        <x:v>Doğrulandı</x:v>
      </x:c>
      <x:c r="D98" s="16" t="str">
        <x:v>Ürün kaydı</x:v>
      </x:c>
      <x:c r="E98" s="16" t="str">
        <x:v>Artukbey 7 si 1 Arada Dibek Kahve 300gr</x:v>
      </x:c>
      <x:c r="F98" s="16" t="str">
        <x:v>Menşe belirtilmemiş</x:v>
      </x:c>
      <x:c r="G98" s="17" t="n">
        <x:v>300</x:v>
      </x:c>
      <x:c r="H98" s="16" t="str">
        <x:v>Erişildi</x:v>
      </x:c>
      <x:c r="I98" s="18" t="n">
        <x:v>329</x:v>
      </x:c>
      <x:c r="J98" s="18" t="str">
        <x:v>Erişildi</x:v>
      </x:c>
      <x:c r="K98" s="18" t="n">
        <x:f>IF(AND(ISNUMBER(G98),ISNUMBER(I98)),I98/G98*1000,"Erişilemedi")</x:f>
        <x:v>1096.6666666666667</x:v>
      </x:c>
      <x:c r="L98" s="16" t="str">
        <x:v>Stokta</x:v>
      </x:c>
      <x:c r="M98" s="16" t="str">
        <x:v>Tek köken/ürün</x:v>
      </x:c>
      <x:c r="N98" s="16" t="str">
        <x:v>Site haritası + ürün JSON-LD</x:v>
      </x:c>
      <x:c r="O98" s="16" t="str">
        <x:v>Orta</x:v>
      </x:c>
      <x:c r="P98" s="19" t="n">
        <x:v>46245</x:v>
      </x:c>
      <x:c r="Q98" s="20" t="str">
        <x:v>https://www.artukbey.com/artukbey-7-si-1-arada-dibek-kahve-300-gr</x:v>
      </x:c>
      <x:c r="R98" s="20" t="str">
        <x:v>Tekil ürün sayfasındaki yapılandırılmış veriden çıkarıldı.</x:v>
      </x:c>
    </x:row>
    <x:row r="99" ht="40" customHeight="1">
      <x:c r="A99" s="16" t="str">
        <x:v>Artukbey Kahve</x:v>
      </x:c>
      <x:c r="B99" s="16" t="str">
        <x:v>Mardin</x:v>
      </x:c>
      <x:c r="C99" s="16" t="str">
        <x:v>Doğrulandı</x:v>
      </x:c>
      <x:c r="D99" s="16" t="str">
        <x:v>Ürün kaydı</x:v>
      </x:c>
      <x:c r="E99" s="16" t="str">
        <x:v>Artukbey 7 si 1 Arada Dibek Kahve 300gr (ART00102040001)</x:v>
      </x:c>
      <x:c r="F99" s="16" t="str">
        <x:v>Menşe belirtilmemiş</x:v>
      </x:c>
      <x:c r="G99" s="17" t="n">
        <x:v>300</x:v>
      </x:c>
      <x:c r="H99" s="16" t="str">
        <x:v>Erişildi</x:v>
      </x:c>
      <x:c r="I99" s="18" t="n">
        <x:v>0</x:v>
      </x:c>
      <x:c r="J99" s="18" t="str">
        <x:v>Erişilemedi</x:v>
      </x:c>
      <x:c r="K99" s="18" t="n">
        <x:f>IF(AND(ISNUMBER(G99),ISNUMBER(I99)),I99/G99*1000,"Erişilemedi")</x:f>
        <x:v>0</x:v>
      </x:c>
      <x:c r="L99" s="16" t="str">
        <x:v>Belirsiz</x:v>
      </x:c>
      <x:c r="M99" s="16" t="str">
        <x:v>Kahve ürünü</x:v>
      </x:c>
      <x:c r="N99" s="16" t="str">
        <x:v>Site haritası ürün sayfası</x:v>
      </x:c>
      <x:c r="O99" s="16" t="str">
        <x:v>Düşük</x:v>
      </x:c>
      <x:c r="P99" s="19" t="n">
        <x:v>46245</x:v>
      </x:c>
      <x:c r="Q99" s="20" t="str">
        <x:v>https://www.artukbey.com/artukbey-7-si-1-arada-dibek-kahve-300-gr</x:v>
      </x:c>
      <x:c r="R99" s="20" t="str">
        <x:v>Ürün kimliği korundu; eksik alanlar erişilemedi olarak işaretlenecek.</x:v>
      </x:c>
    </x:row>
    <x:row r="100" ht="40" customHeight="1">
      <x:c r="A100" s="16" t="str">
        <x:v>Artukbey Kahve</x:v>
      </x:c>
      <x:c r="B100" s="16" t="str">
        <x:v>Mardin</x:v>
      </x:c>
      <x:c r="C100" s="16" t="str">
        <x:v>Doğrulandı</x:v>
      </x:c>
      <x:c r="D100" s="16" t="str">
        <x:v>Ürün kaydı</x:v>
      </x:c>
      <x:c r="E100" s="16" t="str">
        <x:v>Artukbey 7 si Bir Arada Dibek Kahvesi Kese 100 gr (ART00102020002)</x:v>
      </x:c>
      <x:c r="F100" s="16" t="str">
        <x:v>Menşe belirtilmemiş</x:v>
      </x:c>
      <x:c r="G100" s="17" t="n">
        <x:v>100</x:v>
      </x:c>
      <x:c r="H100" s="16" t="str">
        <x:v>Erişildi</x:v>
      </x:c>
      <x:c r="I100" s="18" t="n">
        <x:v>0</x:v>
      </x:c>
      <x:c r="J100" s="18" t="str">
        <x:v>Erişilemedi</x:v>
      </x:c>
      <x:c r="K100" s="18" t="n">
        <x:f>IF(AND(ISNUMBER(G100),ISNUMBER(I100)),I100/G100*1000,"Erişilemedi")</x:f>
        <x:v>0</x:v>
      </x:c>
      <x:c r="L100" s="16" t="str">
        <x:v>Belirsiz</x:v>
      </x:c>
      <x:c r="M100" s="16" t="str">
        <x:v>Kahve ürünü</x:v>
      </x:c>
      <x:c r="N100" s="16" t="str">
        <x:v>Site haritası ürün sayfası</x:v>
      </x:c>
      <x:c r="O100" s="16" t="str">
        <x:v>Düşük</x:v>
      </x:c>
      <x:c r="P100" s="19" t="n">
        <x:v>46245</x:v>
      </x:c>
      <x:c r="Q100" s="20" t="str">
        <x:v>https://www.artukbey.com/artukbey-7-si-bir-arada-dibek-kahvesi-kese-100-gr</x:v>
      </x:c>
      <x:c r="R100" s="20" t="str">
        <x:v>Ürün kimliği korundu; eksik alanlar erişilemedi olarak işaretlenecek.</x:v>
      </x:c>
    </x:row>
    <x:row r="101" ht="40" customHeight="1">
      <x:c r="A101" s="16" t="str">
        <x:v>Artukbey Kahve</x:v>
      </x:c>
      <x:c r="B101" s="16" t="str">
        <x:v>Mardin</x:v>
      </x:c>
      <x:c r="C101" s="16" t="str">
        <x:v>Doğrulandı</x:v>
      </x:c>
      <x:c r="D101" s="16" t="str">
        <x:v>Ürün kaydı</x:v>
      </x:c>
      <x:c r="E101" s="16" t="str">
        <x:v>Artukbey Antep Fıstıklı Dibek Kahvesi 300gr</x:v>
      </x:c>
      <x:c r="F101" s="16" t="str">
        <x:v>Menşe belirtilmemiş</x:v>
      </x:c>
      <x:c r="G101" s="17" t="n">
        <x:v>300</x:v>
      </x:c>
      <x:c r="H101" s="16" t="str">
        <x:v>Erişildi</x:v>
      </x:c>
      <x:c r="I101" s="18" t="n">
        <x:v>329</x:v>
      </x:c>
      <x:c r="J101" s="18" t="str">
        <x:v>Erişildi</x:v>
      </x:c>
      <x:c r="K101" s="18" t="n">
        <x:f>IF(AND(ISNUMBER(G101),ISNUMBER(I101)),I101/G101*1000,"Erişilemedi")</x:f>
        <x:v>1096.6666666666667</x:v>
      </x:c>
      <x:c r="L101" s="16" t="str">
        <x:v>Stokta</x:v>
      </x:c>
      <x:c r="M101" s="16" t="str">
        <x:v>Tek köken/ürün</x:v>
      </x:c>
      <x:c r="N101" s="16" t="str">
        <x:v>Site haritası + ürün JSON-LD</x:v>
      </x:c>
      <x:c r="O101" s="16" t="str">
        <x:v>Orta</x:v>
      </x:c>
      <x:c r="P101" s="19" t="n">
        <x:v>46245</x:v>
      </x:c>
      <x:c r="Q101" s="20" t="str">
        <x:v>https://www.artukbey.com/artukbey-antep-fistikli-dibek-kahvesi-300-gr</x:v>
      </x:c>
      <x:c r="R101" s="20" t="str">
        <x:v>Tekil ürün sayfasındaki yapılandırılmış veriden çıkarıldı.</x:v>
      </x:c>
    </x:row>
    <x:row r="102" ht="40" customHeight="1">
      <x:c r="A102" s="16" t="str">
        <x:v>Artukbey Kahve</x:v>
      </x:c>
      <x:c r="B102" s="16" t="str">
        <x:v>Mardin</x:v>
      </x:c>
      <x:c r="C102" s="16" t="str">
        <x:v>Doğrulandı</x:v>
      </x:c>
      <x:c r="D102" s="16" t="str">
        <x:v>Ürün kaydı</x:v>
      </x:c>
      <x:c r="E102" s="16" t="str">
        <x:v>Artukbey Antep Fıstıklı Dibek Kahvesi 300gr (ART00102040003)</x:v>
      </x:c>
      <x:c r="F102" s="16" t="str">
        <x:v>Menşe belirtilmemiş</x:v>
      </x:c>
      <x:c r="G102" s="17" t="n">
        <x:v>300</x:v>
      </x:c>
      <x:c r="H102" s="16" t="str">
        <x:v>Erişildi</x:v>
      </x:c>
      <x:c r="I102" s="18" t="n">
        <x:v>0</x:v>
      </x:c>
      <x:c r="J102" s="18" t="str">
        <x:v>Erişilemedi</x:v>
      </x:c>
      <x:c r="K102" s="18" t="n">
        <x:f>IF(AND(ISNUMBER(G102),ISNUMBER(I102)),I102/G102*1000,"Erişilemedi")</x:f>
        <x:v>0</x:v>
      </x:c>
      <x:c r="L102" s="16" t="str">
        <x:v>Belirsiz</x:v>
      </x:c>
      <x:c r="M102" s="16" t="str">
        <x:v>Kahve ürünü</x:v>
      </x:c>
      <x:c r="N102" s="16" t="str">
        <x:v>Site haritası ürün sayfası</x:v>
      </x:c>
      <x:c r="O102" s="16" t="str">
        <x:v>Düşük</x:v>
      </x:c>
      <x:c r="P102" s="19" t="n">
        <x:v>46245</x:v>
      </x:c>
      <x:c r="Q102" s="20" t="str">
        <x:v>https://www.artukbey.com/artukbey-antep-fistikli-dibek-kahvesi-300-gr</x:v>
      </x:c>
      <x:c r="R102" s="20" t="str">
        <x:v>Ürün kimliği korundu; eksik alanlar erişilemedi olarak işaretlenecek.</x:v>
      </x:c>
    </x:row>
    <x:row r="103" ht="40" customHeight="1">
      <x:c r="A103" s="16" t="str">
        <x:v>Artukbey Kahve</x:v>
      </x:c>
      <x:c r="B103" s="16" t="str">
        <x:v>Mardin</x:v>
      </x:c>
      <x:c r="C103" s="16" t="str">
        <x:v>Doğrulandı</x:v>
      </x:c>
      <x:c r="D103" s="16" t="str">
        <x:v>Ürün kaydı</x:v>
      </x:c>
      <x:c r="E103" s="16" t="str">
        <x:v>Artukbey Damla Sakızlı Dibek Kahvesi 250gr (ART00102025007)</x:v>
      </x:c>
      <x:c r="F103" s="16" t="str">
        <x:v>Menşe belirtilmemiş</x:v>
      </x:c>
      <x:c r="G103" s="17" t="n">
        <x:v>250</x:v>
      </x:c>
      <x:c r="H103" s="16" t="str">
        <x:v>Erişildi</x:v>
      </x:c>
      <x:c r="I103" s="18" t="n">
        <x:v>0</x:v>
      </x:c>
      <x:c r="J103" s="18" t="str">
        <x:v>Erişilemedi</x:v>
      </x:c>
      <x:c r="K103" s="18" t="n">
        <x:f>IF(AND(ISNUMBER(G103),ISNUMBER(I103)),I103/G103*1000,"Erişilemedi")</x:f>
        <x:v>0</x:v>
      </x:c>
      <x:c r="L103" s="16" t="str">
        <x:v>Belirsiz</x:v>
      </x:c>
      <x:c r="M103" s="16" t="str">
        <x:v>Kahve ürünü</x:v>
      </x:c>
      <x:c r="N103" s="16" t="str">
        <x:v>Site haritası ürün sayfası</x:v>
      </x:c>
      <x:c r="O103" s="16" t="str">
        <x:v>Düşük</x:v>
      </x:c>
      <x:c r="P103" s="19" t="n">
        <x:v>46245</x:v>
      </x:c>
      <x:c r="Q103" s="20" t="str">
        <x:v>https://www.artukbey.com/artukbey-damla-sakizli-dibek-kahvesi-250gr-1337</x:v>
      </x:c>
      <x:c r="R103" s="20" t="str">
        <x:v>Ürün kimliği korundu; eksik alanlar erişilemedi olarak işaretlenecek.</x:v>
      </x:c>
    </x:row>
    <x:row r="104" ht="40" customHeight="1">
      <x:c r="A104" s="16" t="str">
        <x:v>Artukbey Kahve</x:v>
      </x:c>
      <x:c r="B104" s="16" t="str">
        <x:v>Mardin</x:v>
      </x:c>
      <x:c r="C104" s="16" t="str">
        <x:v>Doğrulandı</x:v>
      </x:c>
      <x:c r="D104" s="16" t="str">
        <x:v>Ürün kaydı</x:v>
      </x:c>
      <x:c r="E104" s="16" t="str">
        <x:v>Artukbey Damla Sakızlı Türk Kahvesi 100 gr (ART00102010008)</x:v>
      </x:c>
      <x:c r="F104" s="16" t="str">
        <x:v>Menşe belirtilmemiş</x:v>
      </x:c>
      <x:c r="G104" s="17" t="n">
        <x:v>100</x:v>
      </x:c>
      <x:c r="H104" s="16" t="str">
        <x:v>Erişildi</x:v>
      </x:c>
      <x:c r="I104" s="18" t="n">
        <x:v>0</x:v>
      </x:c>
      <x:c r="J104" s="18" t="str">
        <x:v>Erişilemedi</x:v>
      </x:c>
      <x:c r="K104" s="18" t="n">
        <x:f>IF(AND(ISNUMBER(G104),ISNUMBER(I104)),I104/G104*1000,"Erişilemedi")</x:f>
        <x:v>0</x:v>
      </x:c>
      <x:c r="L104" s="16" t="str">
        <x:v>Belirsiz</x:v>
      </x:c>
      <x:c r="M104" s="16" t="str">
        <x:v>Kahve ürünü</x:v>
      </x:c>
      <x:c r="N104" s="16" t="str">
        <x:v>Site haritası ürün sayfası</x:v>
      </x:c>
      <x:c r="O104" s="16" t="str">
        <x:v>Düşük</x:v>
      </x:c>
      <x:c r="P104" s="19" t="n">
        <x:v>46245</x:v>
      </x:c>
      <x:c r="Q104" s="20" t="str">
        <x:v>https://www.artukbey.com/artukbey-damla-sakizli-turk-kahvesi-100-gr-</x:v>
      </x:c>
      <x:c r="R104" s="20" t="str">
        <x:v>Ürün kimliği korundu; eksik alanlar erişilemedi olarak işaretlenecek.</x:v>
      </x:c>
    </x:row>
    <x:row r="105" ht="40" customHeight="1">
      <x:c r="A105" s="16" t="str">
        <x:v>Artukbey Kahve</x:v>
      </x:c>
      <x:c r="B105" s="16" t="str">
        <x:v>Mardin</x:v>
      </x:c>
      <x:c r="C105" s="16" t="str">
        <x:v>Doğrulandı</x:v>
      </x:c>
      <x:c r="D105" s="16" t="str">
        <x:v>Ürün kaydı</x:v>
      </x:c>
      <x:c r="E105" s="16" t="str">
        <x:v>Artukbey Damla Sakızlı Türk Kahvesi 300gr</x:v>
      </x:c>
      <x:c r="F105" s="16" t="str">
        <x:v>Menşe belirtilmemiş</x:v>
      </x:c>
      <x:c r="G105" s="17" t="n">
        <x:v>300</x:v>
      </x:c>
      <x:c r="H105" s="16" t="str">
        <x:v>Erişildi</x:v>
      </x:c>
      <x:c r="I105" s="18" t="n">
        <x:v>329</x:v>
      </x:c>
      <x:c r="J105" s="18" t="str">
        <x:v>Erişildi</x:v>
      </x:c>
      <x:c r="K105" s="18" t="n">
        <x:f>IF(AND(ISNUMBER(G105),ISNUMBER(I105)),I105/G105*1000,"Erişilemedi")</x:f>
        <x:v>1096.6666666666667</x:v>
      </x:c>
      <x:c r="L105" s="16" t="str">
        <x:v>Stokta</x:v>
      </x:c>
      <x:c r="M105" s="16" t="str">
        <x:v>Tek köken/ürün</x:v>
      </x:c>
      <x:c r="N105" s="16" t="str">
        <x:v>Site haritası + ürün JSON-LD</x:v>
      </x:c>
      <x:c r="O105" s="16" t="str">
        <x:v>Orta</x:v>
      </x:c>
      <x:c r="P105" s="19" t="n">
        <x:v>46245</x:v>
      </x:c>
      <x:c r="Q105" s="20" t="str">
        <x:v>https://www.artukbey.com/artukbey-damla-sakizli-turk-kahvesi-300gr</x:v>
      </x:c>
      <x:c r="R105" s="20" t="str">
        <x:v>Tekil ürün sayfasındaki yapılandırılmış veriden çıkarıldı.</x:v>
      </x:c>
    </x:row>
    <x:row r="106" ht="40" customHeight="1">
      <x:c r="A106" s="16" t="str">
        <x:v>Artukbey Kahve</x:v>
      </x:c>
      <x:c r="B106" s="16" t="str">
        <x:v>Mardin</x:v>
      </x:c>
      <x:c r="C106" s="16" t="str">
        <x:v>Doğrulandı</x:v>
      </x:c>
      <x:c r="D106" s="16" t="str">
        <x:v>Ürün kaydı</x:v>
      </x:c>
      <x:c r="E106" s="16" t="str">
        <x:v>Artukbey Damla Sakızlı Türk Kahvesi 300gr (ART00102040010)</x:v>
      </x:c>
      <x:c r="F106" s="16" t="str">
        <x:v>Menşe belirtilmemiş</x:v>
      </x:c>
      <x:c r="G106" s="17" t="n">
        <x:v>300</x:v>
      </x:c>
      <x:c r="H106" s="16" t="str">
        <x:v>Erişildi</x:v>
      </x:c>
      <x:c r="I106" s="18" t="n">
        <x:v>0</x:v>
      </x:c>
      <x:c r="J106" s="18" t="str">
        <x:v>Erişilemedi</x:v>
      </x:c>
      <x:c r="K106" s="18" t="n">
        <x:f>IF(AND(ISNUMBER(G106),ISNUMBER(I106)),I106/G106*1000,"Erişilemedi")</x:f>
        <x:v>0</x:v>
      </x:c>
      <x:c r="L106" s="16" t="str">
        <x:v>Belirsiz</x:v>
      </x:c>
      <x:c r="M106" s="16" t="str">
        <x:v>Kahve ürünü</x:v>
      </x:c>
      <x:c r="N106" s="16" t="str">
        <x:v>Site haritası ürün sayfası</x:v>
      </x:c>
      <x:c r="O106" s="16" t="str">
        <x:v>Düşük</x:v>
      </x:c>
      <x:c r="P106" s="19" t="n">
        <x:v>46245</x:v>
      </x:c>
      <x:c r="Q106" s="20" t="str">
        <x:v>https://www.artukbey.com/artukbey-damla-sakizli-turk-kahvesi-300gr</x:v>
      </x:c>
      <x:c r="R106" s="20" t="str">
        <x:v>Ürün kimliği korundu; eksik alanlar erişilemedi olarak işaretlenecek.</x:v>
      </x:c>
    </x:row>
    <x:row r="107" ht="40" customHeight="1">
      <x:c r="A107" s="16" t="str">
        <x:v>Artukbey Kahve</x:v>
      </x:c>
      <x:c r="B107" s="16" t="str">
        <x:v>Mardin</x:v>
      </x:c>
      <x:c r="C107" s="16" t="str">
        <x:v>Doğrulandı</x:v>
      </x:c>
      <x:c r="D107" s="16" t="str">
        <x:v>Ürün kaydı</x:v>
      </x:c>
      <x:c r="E107" s="16" t="str">
        <x:v>Artukbey Damla Sakızlı Türk Kahvesi Kese 100 gr (ART00102020006)</x:v>
      </x:c>
      <x:c r="F107" s="16" t="str">
        <x:v>Menşe belirtilmemiş</x:v>
      </x:c>
      <x:c r="G107" s="17" t="n">
        <x:v>100</x:v>
      </x:c>
      <x:c r="H107" s="16" t="str">
        <x:v>Erişildi</x:v>
      </x:c>
      <x:c r="I107" s="18" t="n">
        <x:v>0</x:v>
      </x:c>
      <x:c r="J107" s="18" t="str">
        <x:v>Erişilemedi</x:v>
      </x:c>
      <x:c r="K107" s="18" t="n">
        <x:f>IF(AND(ISNUMBER(G107),ISNUMBER(I107)),I107/G107*1000,"Erişilemedi")</x:f>
        <x:v>0</x:v>
      </x:c>
      <x:c r="L107" s="16" t="str">
        <x:v>Belirsiz</x:v>
      </x:c>
      <x:c r="M107" s="16" t="str">
        <x:v>Kahve ürünü</x:v>
      </x:c>
      <x:c r="N107" s="16" t="str">
        <x:v>Site haritası ürün sayfası</x:v>
      </x:c>
      <x:c r="O107" s="16" t="str">
        <x:v>Düşük</x:v>
      </x:c>
      <x:c r="P107" s="19" t="n">
        <x:v>46245</x:v>
      </x:c>
      <x:c r="Q107" s="20" t="str">
        <x:v>https://www.artukbey.com/artukbey-damla-sakizli-turk-kahvesi-kese-100-gr</x:v>
      </x:c>
      <x:c r="R107" s="20" t="str">
        <x:v>Ürün kimliği korundu; eksik alanlar erişilemedi olarak işaretlenecek.</x:v>
      </x:c>
    </x:row>
    <x:row r="108" ht="40" customHeight="1">
      <x:c r="A108" s="16" t="str">
        <x:v>Artukbey Kahve</x:v>
      </x:c>
      <x:c r="B108" s="16" t="str">
        <x:v>Mardin</x:v>
      </x:c>
      <x:c r="C108" s="16" t="str">
        <x:v>Doğrulandı</x:v>
      </x:c>
      <x:c r="D108" s="16" t="str">
        <x:v>Ürün kaydı</x:v>
      </x:c>
      <x:c r="E108" s="16" t="str">
        <x:v>Artukbey Dibek 7 Kahve 3 Bitki Special 400gr</x:v>
      </x:c>
      <x:c r="F108" s="16" t="str">
        <x:v>Menşe belirtilmemiş</x:v>
      </x:c>
      <x:c r="G108" s="17" t="n">
        <x:v>400</x:v>
      </x:c>
      <x:c r="H108" s="16" t="str">
        <x:v>Erişildi</x:v>
      </x:c>
      <x:c r="I108" s="18" t="n">
        <x:v>399</x:v>
      </x:c>
      <x:c r="J108" s="18" t="str">
        <x:v>Erişildi</x:v>
      </x:c>
      <x:c r="K108" s="18" t="n">
        <x:f>IF(AND(ISNUMBER(G108),ISNUMBER(I108)),I108/G108*1000,"Erişilemedi")</x:f>
        <x:v>997.5</x:v>
      </x:c>
      <x:c r="L108" s="16" t="str">
        <x:v>Stokta</x:v>
      </x:c>
      <x:c r="M108" s="16" t="str">
        <x:v>Tek köken/ürün</x:v>
      </x:c>
      <x:c r="N108" s="16" t="str">
        <x:v>Site haritası + ürün JSON-LD</x:v>
      </x:c>
      <x:c r="O108" s="16" t="str">
        <x:v>Orta</x:v>
      </x:c>
      <x:c r="P108" s="19" t="n">
        <x:v>46245</x:v>
      </x:c>
      <x:c r="Q108" s="20" t="str">
        <x:v>https://www.artukbey.com/artukbey-dibek-7-kahve-3-bitki-special-400gr-1263</x:v>
      </x:c>
      <x:c r="R108" s="20" t="str">
        <x:v>Tekil ürün sayfasındaki yapılandırılmış veriden çıkarıldı.</x:v>
      </x:c>
    </x:row>
    <x:row r="109" ht="40" customHeight="1">
      <x:c r="A109" s="16" t="str">
        <x:v>Artukbey Kahve</x:v>
      </x:c>
      <x:c r="B109" s="16" t="str">
        <x:v>Mardin</x:v>
      </x:c>
      <x:c r="C109" s="16" t="str">
        <x:v>Doğrulandı</x:v>
      </x:c>
      <x:c r="D109" s="16" t="str">
        <x:v>Ürün kaydı</x:v>
      </x:c>
      <x:c r="E109" s="16" t="str">
        <x:v>Artukbey Dibek 7 Kahve 3 Bitki Special 400gr (ART00102040012)</x:v>
      </x:c>
      <x:c r="F109" s="16" t="str">
        <x:v>Menşe belirtilmemiş</x:v>
      </x:c>
      <x:c r="G109" s="17" t="n">
        <x:v>400</x:v>
      </x:c>
      <x:c r="H109" s="16" t="str">
        <x:v>Erişildi</x:v>
      </x:c>
      <x:c r="I109" s="18" t="n">
        <x:v>0</x:v>
      </x:c>
      <x:c r="J109" s="18" t="str">
        <x:v>Erişilemedi</x:v>
      </x:c>
      <x:c r="K109" s="18" t="n">
        <x:f>IF(AND(ISNUMBER(G109),ISNUMBER(I109)),I109/G109*1000,"Erişilemedi")</x:f>
        <x:v>0</x:v>
      </x:c>
      <x:c r="L109" s="16" t="str">
        <x:v>Belirsiz</x:v>
      </x:c>
      <x:c r="M109" s="16" t="str">
        <x:v>Kahve ürünü</x:v>
      </x:c>
      <x:c r="N109" s="16" t="str">
        <x:v>Site haritası ürün sayfası</x:v>
      </x:c>
      <x:c r="O109" s="16" t="str">
        <x:v>Düşük</x:v>
      </x:c>
      <x:c r="P109" s="19" t="n">
        <x:v>46245</x:v>
      </x:c>
      <x:c r="Q109" s="20" t="str">
        <x:v>https://www.artukbey.com/artukbey-dibek-7-kahve-3-bitki-special-400gr-1263</x:v>
      </x:c>
      <x:c r="R109" s="20" t="str">
        <x:v>Ürün kimliği korundu; eksik alanlar erişilemedi olarak işaretlenecek.</x:v>
      </x:c>
    </x:row>
    <x:row r="110" ht="40" customHeight="1">
      <x:c r="A110" s="16" t="str">
        <x:v>Artukbey Kahve</x:v>
      </x:c>
      <x:c r="B110" s="16" t="str">
        <x:v>Mardin</x:v>
      </x:c>
      <x:c r="C110" s="16" t="str">
        <x:v>Doğrulandı</x:v>
      </x:c>
      <x:c r="D110" s="16" t="str">
        <x:v>Ürün kaydı</x:v>
      </x:c>
      <x:c r="E110" s="16" t="str">
        <x:v>Artukbey Dibek 7 Kahve 3 Bitki Special 800gr</x:v>
      </x:c>
      <x:c r="F110" s="16" t="str">
        <x:v>Menşe belirtilmemiş</x:v>
      </x:c>
      <x:c r="G110" s="17" t="n">
        <x:v>800</x:v>
      </x:c>
      <x:c r="H110" s="16" t="str">
        <x:v>Erişildi</x:v>
      </x:c>
      <x:c r="I110" s="18" t="n">
        <x:v>749</x:v>
      </x:c>
      <x:c r="J110" s="18" t="str">
        <x:v>Erişildi</x:v>
      </x:c>
      <x:c r="K110" s="18" t="n">
        <x:f>IF(AND(ISNUMBER(G110),ISNUMBER(I110)),I110/G110*1000,"Erişilemedi")</x:f>
        <x:v>936.25</x:v>
      </x:c>
      <x:c r="L110" s="16" t="str">
        <x:v>Stokta</x:v>
      </x:c>
      <x:c r="M110" s="16" t="str">
        <x:v>Tek köken/ürün</x:v>
      </x:c>
      <x:c r="N110" s="16" t="str">
        <x:v>Site haritası + ürün JSON-LD</x:v>
      </x:c>
      <x:c r="O110" s="16" t="str">
        <x:v>Orta</x:v>
      </x:c>
      <x:c r="P110" s="19" t="n">
        <x:v>46245</x:v>
      </x:c>
      <x:c r="Q110" s="20" t="str">
        <x:v>https://www.artukbey.com/artukbey-dibek-7-kahve-3-bitki-special-800gr-1246</x:v>
      </x:c>
      <x:c r="R110" s="20" t="str">
        <x:v>Tekil ürün sayfasındaki yapılandırılmış veriden çıkarıldı.</x:v>
      </x:c>
    </x:row>
    <x:row r="111" ht="40" customHeight="1">
      <x:c r="A111" s="16" t="str">
        <x:v>Artukbey Kahve</x:v>
      </x:c>
      <x:c r="B111" s="16" t="str">
        <x:v>Mardin</x:v>
      </x:c>
      <x:c r="C111" s="16" t="str">
        <x:v>Doğrulandı</x:v>
      </x:c>
      <x:c r="D111" s="16" t="str">
        <x:v>Ürün kaydı</x:v>
      </x:c>
      <x:c r="E111" s="16" t="str">
        <x:v>Artukbey Dibek 7 Kahve 3 Bitki Special 800gr (ART00102080013)</x:v>
      </x:c>
      <x:c r="F111" s="16" t="str">
        <x:v>Menşe belirtilmemiş</x:v>
      </x:c>
      <x:c r="G111" s="17" t="n">
        <x:v>800</x:v>
      </x:c>
      <x:c r="H111" s="16" t="str">
        <x:v>Erişildi</x:v>
      </x:c>
      <x:c r="I111" s="18" t="n">
        <x:v>0</x:v>
      </x:c>
      <x:c r="J111" s="18" t="str">
        <x:v>Erişilemedi</x:v>
      </x:c>
      <x:c r="K111" s="18" t="n">
        <x:f>IF(AND(ISNUMBER(G111),ISNUMBER(I111)),I111/G111*1000,"Erişilemedi")</x:f>
        <x:v>0</x:v>
      </x:c>
      <x:c r="L111" s="16" t="str">
        <x:v>Belirsiz</x:v>
      </x:c>
      <x:c r="M111" s="16" t="str">
        <x:v>Kahve ürünü</x:v>
      </x:c>
      <x:c r="N111" s="16" t="str">
        <x:v>Site haritası ürün sayfası</x:v>
      </x:c>
      <x:c r="O111" s="16" t="str">
        <x:v>Düşük</x:v>
      </x:c>
      <x:c r="P111" s="19" t="n">
        <x:v>46245</x:v>
      </x:c>
      <x:c r="Q111" s="20" t="str">
        <x:v>https://www.artukbey.com/artukbey-dibek-7-kahve-3-bitki-special-800gr-1246</x:v>
      </x:c>
      <x:c r="R111" s="20" t="str">
        <x:v>Ürün kimliği korundu; eksik alanlar erişilemedi olarak işaretlenecek.</x:v>
      </x:c>
    </x:row>
    <x:row r="112" ht="40" customHeight="1">
      <x:c r="A112" s="16" t="str">
        <x:v>Artukbey Kahve</x:v>
      </x:c>
      <x:c r="B112" s="16" t="str">
        <x:v>Mardin</x:v>
      </x:c>
      <x:c r="C112" s="16" t="str">
        <x:v>Doğrulandı</x:v>
      </x:c>
      <x:c r="D112" s="16" t="str">
        <x:v>Ürün kaydı</x:v>
      </x:c>
      <x:c r="E112" s="16" t="str">
        <x:v>Artukbey Fındıklı Dibek Kahvesi 300gr</x:v>
      </x:c>
      <x:c r="F112" s="16" t="str">
        <x:v>Menşe belirtilmemiş</x:v>
      </x:c>
      <x:c r="G112" s="17" t="n">
        <x:v>300</x:v>
      </x:c>
      <x:c r="H112" s="16" t="str">
        <x:v>Erişildi</x:v>
      </x:c>
      <x:c r="I112" s="18" t="n">
        <x:v>329</x:v>
      </x:c>
      <x:c r="J112" s="18" t="str">
        <x:v>Erişildi</x:v>
      </x:c>
      <x:c r="K112" s="18" t="n">
        <x:f>IF(AND(ISNUMBER(G112),ISNUMBER(I112)),I112/G112*1000,"Erişilemedi")</x:f>
        <x:v>1096.6666666666667</x:v>
      </x:c>
      <x:c r="L112" s="16" t="str">
        <x:v>Stokta</x:v>
      </x:c>
      <x:c r="M112" s="16" t="str">
        <x:v>Tek köken/ürün</x:v>
      </x:c>
      <x:c r="N112" s="16" t="str">
        <x:v>Site haritası + ürün JSON-LD</x:v>
      </x:c>
      <x:c r="O112" s="16" t="str">
        <x:v>Orta</x:v>
      </x:c>
      <x:c r="P112" s="19" t="n">
        <x:v>46245</x:v>
      </x:c>
      <x:c r="Q112" s="20" t="str">
        <x:v>https://www.artukbey.com/artukbey-findikli-dibek-kahvesi-300gr</x:v>
      </x:c>
      <x:c r="R112" s="20" t="str">
        <x:v>Tekil ürün sayfasındaki yapılandırılmış veriden çıkarıldı.</x:v>
      </x:c>
    </x:row>
    <x:row r="113" ht="40" customHeight="1">
      <x:c r="A113" s="16" t="str">
        <x:v>Artukbey Kahve</x:v>
      </x:c>
      <x:c r="B113" s="16" t="str">
        <x:v>Mardin</x:v>
      </x:c>
      <x:c r="C113" s="16" t="str">
        <x:v>Doğrulandı</x:v>
      </x:c>
      <x:c r="D113" s="16" t="str">
        <x:v>Ürün kaydı</x:v>
      </x:c>
      <x:c r="E113" s="16" t="str">
        <x:v>Artukbey Fındıklı Dibek Kahvesi 300gr (ART00102040014)</x:v>
      </x:c>
      <x:c r="F113" s="16" t="str">
        <x:v>Menşe belirtilmemiş</x:v>
      </x:c>
      <x:c r="G113" s="17" t="n">
        <x:v>300</x:v>
      </x:c>
      <x:c r="H113" s="16" t="str">
        <x:v>Erişildi</x:v>
      </x:c>
      <x:c r="I113" s="18" t="n">
        <x:v>0</x:v>
      </x:c>
      <x:c r="J113" s="18" t="str">
        <x:v>Erişilemedi</x:v>
      </x:c>
      <x:c r="K113" s="18" t="n">
        <x:f>IF(AND(ISNUMBER(G113),ISNUMBER(I113)),I113/G113*1000,"Erişilemedi")</x:f>
        <x:v>0</x:v>
      </x:c>
      <x:c r="L113" s="16" t="str">
        <x:v>Belirsiz</x:v>
      </x:c>
      <x:c r="M113" s="16" t="str">
        <x:v>Kahve ürünü</x:v>
      </x:c>
      <x:c r="N113" s="16" t="str">
        <x:v>Site haritası ürün sayfası</x:v>
      </x:c>
      <x:c r="O113" s="16" t="str">
        <x:v>Düşük</x:v>
      </x:c>
      <x:c r="P113" s="19" t="n">
        <x:v>46245</x:v>
      </x:c>
      <x:c r="Q113" s="20" t="str">
        <x:v>https://www.artukbey.com/artukbey-findikli-dibek-kahvesi-300gr</x:v>
      </x:c>
      <x:c r="R113" s="20" t="str">
        <x:v>Ürün kimliği korundu; eksik alanlar erişilemedi olarak işaretlenecek.</x:v>
      </x:c>
    </x:row>
    <x:row r="114" ht="40" customHeight="1">
      <x:c r="A114" s="16" t="str">
        <x:v>Artukbey Kahve</x:v>
      </x:c>
      <x:c r="B114" s="16" t="str">
        <x:v>Mardin</x:v>
      </x:c>
      <x:c r="C114" s="16" t="str">
        <x:v>Doğrulandı</x:v>
      </x:c>
      <x:c r="D114" s="16" t="str">
        <x:v>Ürün kaydı</x:v>
      </x:c>
      <x:c r="E114" s="16" t="str">
        <x:v>Artukbey Filtre Kahve 1 kg (ARTDİGSTOK0008)</x:v>
      </x:c>
      <x:c r="F114" s="16" t="str">
        <x:v>Menşe belirtilmemiş</x:v>
      </x:c>
      <x:c r="G114" s="17" t="n">
        <x:v>1000</x:v>
      </x:c>
      <x:c r="H114" s="16" t="str">
        <x:v>Erişildi</x:v>
      </x:c>
      <x:c r="I114" s="18" t="n">
        <x:v>0</x:v>
      </x:c>
      <x:c r="J114" s="18" t="str">
        <x:v>Erişilemedi</x:v>
      </x:c>
      <x:c r="K114" s="18" t="n">
        <x:f>IF(AND(ISNUMBER(G114),ISNUMBER(I114)),I114/G114*1000,"Erişilemedi")</x:f>
        <x:v>0</x:v>
      </x:c>
      <x:c r="L114" s="16" t="str">
        <x:v>Belirsiz</x:v>
      </x:c>
      <x:c r="M114" s="16" t="str">
        <x:v>Kahve ürünü</x:v>
      </x:c>
      <x:c r="N114" s="16" t="str">
        <x:v>Site haritası ürün sayfası</x:v>
      </x:c>
      <x:c r="O114" s="16" t="str">
        <x:v>Düşük</x:v>
      </x:c>
      <x:c r="P114" s="19" t="n">
        <x:v>46245</x:v>
      </x:c>
      <x:c r="Q114" s="20" t="str">
        <x:v>https://www.artukbey.com/artukbey-filtre-kahve-1-kg-1359</x:v>
      </x:c>
      <x:c r="R114" s="20" t="str">
        <x:v>Ürün kimliği korundu; eksik alanlar erişilemedi olarak işaretlenecek.</x:v>
      </x:c>
    </x:row>
    <x:row r="115" ht="40" customHeight="1">
      <x:c r="A115" s="16" t="str">
        <x:v>Artukbey Kahve</x:v>
      </x:c>
      <x:c r="B115" s="16" t="str">
        <x:v>Mardin</x:v>
      </x:c>
      <x:c r="C115" s="16" t="str">
        <x:v>Doğrulandı</x:v>
      </x:c>
      <x:c r="D115" s="16" t="str">
        <x:v>Ürün kaydı</x:v>
      </x:c>
      <x:c r="E115" s="16" t="str">
        <x:v>Artukbey Hazır Kahve Classic 1 Kg (ART00104100011)</x:v>
      </x:c>
      <x:c r="F115" s="16" t="str">
        <x:v>Menşe belirtilmemiş</x:v>
      </x:c>
      <x:c r="G115" s="17" t="n">
        <x:v>1000</x:v>
      </x:c>
      <x:c r="H115" s="16" t="str">
        <x:v>Erişildi</x:v>
      </x:c>
      <x:c r="I115" s="18" t="n">
        <x:v>0</x:v>
      </x:c>
      <x:c r="J115" s="18" t="str">
        <x:v>Erişilemedi</x:v>
      </x:c>
      <x:c r="K115" s="18" t="n">
        <x:f>IF(AND(ISNUMBER(G115),ISNUMBER(I115)),I115/G115*1000,"Erişilemedi")</x:f>
        <x:v>0</x:v>
      </x:c>
      <x:c r="L115" s="16" t="str">
        <x:v>Belirsiz</x:v>
      </x:c>
      <x:c r="M115" s="16" t="str">
        <x:v>Kahve ürünü</x:v>
      </x:c>
      <x:c r="N115" s="16" t="str">
        <x:v>Site haritası ürün sayfası</x:v>
      </x:c>
      <x:c r="O115" s="16" t="str">
        <x:v>Düşük</x:v>
      </x:c>
      <x:c r="P115" s="19" t="n">
        <x:v>46245</x:v>
      </x:c>
      <x:c r="Q115" s="20" t="str">
        <x:v>https://www.artukbey.com/artukbey-hazir-kahve-classic-1-kg-1330</x:v>
      </x:c>
      <x:c r="R115" s="20" t="str">
        <x:v>Ürün kimliği korundu; eksik alanlar erişilemedi olarak işaretlenecek.</x:v>
      </x:c>
    </x:row>
    <x:row r="116" ht="40" customHeight="1">
      <x:c r="A116" s="16" t="str">
        <x:v>Artukbey Kahve</x:v>
      </x:c>
      <x:c r="B116" s="16" t="str">
        <x:v>Mardin</x:v>
      </x:c>
      <x:c r="C116" s="16" t="str">
        <x:v>Doğrulandı</x:v>
      </x:c>
      <x:c r="D116" s="16" t="str">
        <x:v>Ürün kaydı</x:v>
      </x:c>
      <x:c r="E116" s="16" t="str">
        <x:v>Artukbey Hazır Kahve Classic 250 Gr (ART00104025009)</x:v>
      </x:c>
      <x:c r="F116" s="16" t="str">
        <x:v>Menşe belirtilmemiş</x:v>
      </x:c>
      <x:c r="G116" s="17" t="n">
        <x:v>250</x:v>
      </x:c>
      <x:c r="H116" s="16" t="str">
        <x:v>Erişildi</x:v>
      </x:c>
      <x:c r="I116" s="18" t="n">
        <x:v>0</x:v>
      </x:c>
      <x:c r="J116" s="18" t="str">
        <x:v>Erişilemedi</x:v>
      </x:c>
      <x:c r="K116" s="18" t="n">
        <x:f>IF(AND(ISNUMBER(G116),ISNUMBER(I116)),I116/G116*1000,"Erişilemedi")</x:f>
        <x:v>0</x:v>
      </x:c>
      <x:c r="L116" s="16" t="str">
        <x:v>Belirsiz</x:v>
      </x:c>
      <x:c r="M116" s="16" t="str">
        <x:v>Kahve ürünü</x:v>
      </x:c>
      <x:c r="N116" s="16" t="str">
        <x:v>Site haritası ürün sayfası</x:v>
      </x:c>
      <x:c r="O116" s="16" t="str">
        <x:v>Düşük</x:v>
      </x:c>
      <x:c r="P116" s="19" t="n">
        <x:v>46245</x:v>
      </x:c>
      <x:c r="Q116" s="20" t="str">
        <x:v>https://www.artukbey.com/artukbey-hazir-kahve-classic-250-gr-1332</x:v>
      </x:c>
      <x:c r="R116" s="20" t="str">
        <x:v>Ürün kimliği korundu; eksik alanlar erişilemedi olarak işaretlenecek.</x:v>
      </x:c>
    </x:row>
    <x:row r="117" ht="40" customHeight="1">
      <x:c r="A117" s="16" t="str">
        <x:v>Artukbey Kahve</x:v>
      </x:c>
      <x:c r="B117" s="16" t="str">
        <x:v>Mardin</x:v>
      </x:c>
      <x:c r="C117" s="16" t="str">
        <x:v>Doğrulandı</x:v>
      </x:c>
      <x:c r="D117" s="16" t="str">
        <x:v>Ürün kaydı</x:v>
      </x:c>
      <x:c r="E117" s="16" t="str">
        <x:v>Artukbey Hazır Kahve Classic 500 Gr (ART00104040010)</x:v>
      </x:c>
      <x:c r="F117" s="16" t="str">
        <x:v>Menşe belirtilmemiş</x:v>
      </x:c>
      <x:c r="G117" s="17" t="n">
        <x:v>500</x:v>
      </x:c>
      <x:c r="H117" s="16" t="str">
        <x:v>Erişildi</x:v>
      </x:c>
      <x:c r="I117" s="18" t="n">
        <x:v>0</x:v>
      </x:c>
      <x:c r="J117" s="18" t="str">
        <x:v>Erişilemedi</x:v>
      </x:c>
      <x:c r="K117" s="18" t="n">
        <x:f>IF(AND(ISNUMBER(G117),ISNUMBER(I117)),I117/G117*1000,"Erişilemedi")</x:f>
        <x:v>0</x:v>
      </x:c>
      <x:c r="L117" s="16" t="str">
        <x:v>Belirsiz</x:v>
      </x:c>
      <x:c r="M117" s="16" t="str">
        <x:v>Kahve ürünü</x:v>
      </x:c>
      <x:c r="N117" s="16" t="str">
        <x:v>Site haritası ürün sayfası</x:v>
      </x:c>
      <x:c r="O117" s="16" t="str">
        <x:v>Düşük</x:v>
      </x:c>
      <x:c r="P117" s="19" t="n">
        <x:v>46245</x:v>
      </x:c>
      <x:c r="Q117" s="20" t="str">
        <x:v>https://www.artukbey.com/artukbey-hazir-kahve-classic-500-gr-1331</x:v>
      </x:c>
      <x:c r="R117" s="20" t="str">
        <x:v>Ürün kimliği korundu; eksik alanlar erişilemedi olarak işaretlenecek.</x:v>
      </x:c>
    </x:row>
    <x:row r="118" ht="40" customHeight="1">
      <x:c r="A118" s="16" t="str">
        <x:v>Artukbey Kahve</x:v>
      </x:c>
      <x:c r="B118" s="16" t="str">
        <x:v>Mardin</x:v>
      </x:c>
      <x:c r="C118" s="16" t="str">
        <x:v>Doğrulandı</x:v>
      </x:c>
      <x:c r="D118" s="16" t="str">
        <x:v>Ürün kaydı</x:v>
      </x:c>
      <x:c r="E118" s="16" t="str">
        <x:v>Artukbey Hazır Kahve Gold 1 Kg</x:v>
      </x:c>
      <x:c r="F118" s="16" t="str">
        <x:v>Menşe belirtilmemiş</x:v>
      </x:c>
      <x:c r="G118" s="17" t="n">
        <x:v>1000</x:v>
      </x:c>
      <x:c r="H118" s="16" t="str">
        <x:v>Erişildi</x:v>
      </x:c>
      <x:c r="I118" s="18" t="n">
        <x:v>1099</x:v>
      </x:c>
      <x:c r="J118" s="18" t="str">
        <x:v>Erişildi</x:v>
      </x:c>
      <x:c r="K118" s="18" t="n">
        <x:f>IF(AND(ISNUMBER(G118),ISNUMBER(I118)),I118/G118*1000,"Erişilemedi")</x:f>
        <x:v>1099</x:v>
      </x:c>
      <x:c r="L118" s="16" t="str">
        <x:v>Stokta</x:v>
      </x:c>
      <x:c r="M118" s="16" t="str">
        <x:v>Tek köken/ürün</x:v>
      </x:c>
      <x:c r="N118" s="16" t="str">
        <x:v>Site haritası + ürün JSON-LD</x:v>
      </x:c>
      <x:c r="O118" s="16" t="str">
        <x:v>Orta</x:v>
      </x:c>
      <x:c r="P118" s="19" t="n">
        <x:v>46245</x:v>
      </x:c>
      <x:c r="Q118" s="20" t="str">
        <x:v>https://www.artukbey.com/artukbey-hazir-kahve-gold-1-kg-net845-gr</x:v>
      </x:c>
      <x:c r="R118" s="20" t="str">
        <x:v>Tekil ürün sayfasındaki yapılandırılmış veriden çıkarıldı.</x:v>
      </x:c>
    </x:row>
    <x:row r="119" ht="40" customHeight="1">
      <x:c r="A119" s="16" t="str">
        <x:v>Artukbey Kahve</x:v>
      </x:c>
      <x:c r="B119" s="16" t="str">
        <x:v>Mardin</x:v>
      </x:c>
      <x:c r="C119" s="16" t="str">
        <x:v>Doğrulandı</x:v>
      </x:c>
      <x:c r="D119" s="16" t="str">
        <x:v>Ürün kaydı</x:v>
      </x:c>
      <x:c r="E119" s="16" t="str">
        <x:v>Artukbey Hazır Kahve Gold 1 Kg (ART00104100014)</x:v>
      </x:c>
      <x:c r="F119" s="16" t="str">
        <x:v>Menşe belirtilmemiş</x:v>
      </x:c>
      <x:c r="G119" s="17" t="n">
        <x:v>1000</x:v>
      </x:c>
      <x:c r="H119" s="16" t="str">
        <x:v>Erişildi</x:v>
      </x:c>
      <x:c r="I119" s="18" t="n">
        <x:v>0</x:v>
      </x:c>
      <x:c r="J119" s="18" t="str">
        <x:v>Erişilemedi</x:v>
      </x:c>
      <x:c r="K119" s="18" t="n">
        <x:f>IF(AND(ISNUMBER(G119),ISNUMBER(I119)),I119/G119*1000,"Erişilemedi")</x:f>
        <x:v>0</x:v>
      </x:c>
      <x:c r="L119" s="16" t="str">
        <x:v>Belirsiz</x:v>
      </x:c>
      <x:c r="M119" s="16" t="str">
        <x:v>Kahve ürünü</x:v>
      </x:c>
      <x:c r="N119" s="16" t="str">
        <x:v>Site haritası ürün sayfası</x:v>
      </x:c>
      <x:c r="O119" s="16" t="str">
        <x:v>Düşük</x:v>
      </x:c>
      <x:c r="P119" s="19" t="n">
        <x:v>46245</x:v>
      </x:c>
      <x:c r="Q119" s="20" t="str">
        <x:v>https://www.artukbey.com/artukbey-hazir-kahve-gold-1-kg-net845-gr</x:v>
      </x:c>
      <x:c r="R119" s="20" t="str">
        <x:v>Ürün kimliği korundu; eksik alanlar erişilemedi olarak işaretlenecek.</x:v>
      </x:c>
    </x:row>
    <x:row r="120" ht="40" customHeight="1">
      <x:c r="A120" s="16" t="str">
        <x:v>Artukbey Kahve</x:v>
      </x:c>
      <x:c r="B120" s="16" t="str">
        <x:v>Mardin</x:v>
      </x:c>
      <x:c r="C120" s="16" t="str">
        <x:v>Doğrulandı</x:v>
      </x:c>
      <x:c r="D120" s="16" t="str">
        <x:v>Ürün kaydı</x:v>
      </x:c>
      <x:c r="E120" s="16" t="str">
        <x:v>Artukbey Hazır Kahve Gold 250 Gr</x:v>
      </x:c>
      <x:c r="F120" s="16" t="str">
        <x:v>Menşe belirtilmemiş</x:v>
      </x:c>
      <x:c r="G120" s="17" t="n">
        <x:v>250</x:v>
      </x:c>
      <x:c r="H120" s="16" t="str">
        <x:v>Erişildi</x:v>
      </x:c>
      <x:c r="I120" s="18" t="n">
        <x:v>299</x:v>
      </x:c>
      <x:c r="J120" s="18" t="str">
        <x:v>Erişildi</x:v>
      </x:c>
      <x:c r="K120" s="18" t="n">
        <x:f>IF(AND(ISNUMBER(G120),ISNUMBER(I120)),I120/G120*1000,"Erişilemedi")</x:f>
        <x:v>1196</x:v>
      </x:c>
      <x:c r="L120" s="16" t="str">
        <x:v>Stokta</x:v>
      </x:c>
      <x:c r="M120" s="16" t="str">
        <x:v>Tek köken/ürün</x:v>
      </x:c>
      <x:c r="N120" s="16" t="str">
        <x:v>Site haritası + ürün JSON-LD</x:v>
      </x:c>
      <x:c r="O120" s="16" t="str">
        <x:v>Orta</x:v>
      </x:c>
      <x:c r="P120" s="19" t="n">
        <x:v>46245</x:v>
      </x:c>
      <x:c r="Q120" s="20" t="str">
        <x:v>https://www.artukbey.com/artukbey-hazir-kahve-gold-250-gr-1223</x:v>
      </x:c>
      <x:c r="R120" s="20" t="str">
        <x:v>Tekil ürün sayfasındaki yapılandırılmış veriden çıkarıldı.</x:v>
      </x:c>
    </x:row>
    <x:row r="121" ht="40" customHeight="1">
      <x:c r="A121" s="16" t="str">
        <x:v>Artukbey Kahve</x:v>
      </x:c>
      <x:c r="B121" s="16" t="str">
        <x:v>Mardin</x:v>
      </x:c>
      <x:c r="C121" s="16" t="str">
        <x:v>Doğrulandı</x:v>
      </x:c>
      <x:c r="D121" s="16" t="str">
        <x:v>Ürün kaydı</x:v>
      </x:c>
      <x:c r="E121" s="16" t="str">
        <x:v>Artukbey Hazır Kahve Gold 250 Gr (ART00104025012)</x:v>
      </x:c>
      <x:c r="F121" s="16" t="str">
        <x:v>Menşe belirtilmemiş</x:v>
      </x:c>
      <x:c r="G121" s="17" t="n">
        <x:v>250</x:v>
      </x:c>
      <x:c r="H121" s="16" t="str">
        <x:v>Erişildi</x:v>
      </x:c>
      <x:c r="I121" s="18" t="n">
        <x:v>0</x:v>
      </x:c>
      <x:c r="J121" s="18" t="str">
        <x:v>Erişilemedi</x:v>
      </x:c>
      <x:c r="K121" s="18" t="n">
        <x:f>IF(AND(ISNUMBER(G121),ISNUMBER(I121)),I121/G121*1000,"Erişilemedi")</x:f>
        <x:v>0</x:v>
      </x:c>
      <x:c r="L121" s="16" t="str">
        <x:v>Belirsiz</x:v>
      </x:c>
      <x:c r="M121" s="16" t="str">
        <x:v>Kahve ürünü</x:v>
      </x:c>
      <x:c r="N121" s="16" t="str">
        <x:v>Site haritası ürün sayfası</x:v>
      </x:c>
      <x:c r="O121" s="16" t="str">
        <x:v>Düşük</x:v>
      </x:c>
      <x:c r="P121" s="19" t="n">
        <x:v>46245</x:v>
      </x:c>
      <x:c r="Q121" s="20" t="str">
        <x:v>https://www.artukbey.com/artukbey-hazir-kahve-gold-250-gr-1223</x:v>
      </x:c>
      <x:c r="R121" s="20" t="str">
        <x:v>Ürün kimliği korundu; eksik alanlar erişilemedi olarak işaretlenecek.</x:v>
      </x:c>
    </x:row>
    <x:row r="122" ht="40" customHeight="1">
      <x:c r="A122" s="16" t="str">
        <x:v>Artukbey Kahve</x:v>
      </x:c>
      <x:c r="B122" s="16" t="str">
        <x:v>Mardin</x:v>
      </x:c>
      <x:c r="C122" s="16" t="str">
        <x:v>Doğrulandı</x:v>
      </x:c>
      <x:c r="D122" s="16" t="str">
        <x:v>Ürün kaydı</x:v>
      </x:c>
      <x:c r="E122" s="16" t="str">
        <x:v>Artukbey Hazır Kahve Gold 500 Gr</x:v>
      </x:c>
      <x:c r="F122" s="16" t="str">
        <x:v>Menşe belirtilmemiş</x:v>
      </x:c>
      <x:c r="G122" s="17" t="n">
        <x:v>500</x:v>
      </x:c>
      <x:c r="H122" s="16" t="str">
        <x:v>Erişildi</x:v>
      </x:c>
      <x:c r="I122" s="18" t="n">
        <x:v>549</x:v>
      </x:c>
      <x:c r="J122" s="18" t="str">
        <x:v>Erişildi</x:v>
      </x:c>
      <x:c r="K122" s="18" t="n">
        <x:f>IF(AND(ISNUMBER(G122),ISNUMBER(I122)),I122/G122*1000,"Erişilemedi")</x:f>
        <x:v>1098</x:v>
      </x:c>
      <x:c r="L122" s="16" t="str">
        <x:v>Stokta</x:v>
      </x:c>
      <x:c r="M122" s="16" t="str">
        <x:v>Tek köken/ürün</x:v>
      </x:c>
      <x:c r="N122" s="16" t="str">
        <x:v>Site haritası + ürün JSON-LD</x:v>
      </x:c>
      <x:c r="O122" s="16" t="str">
        <x:v>Orta</x:v>
      </x:c>
      <x:c r="P122" s="19" t="n">
        <x:v>46245</x:v>
      </x:c>
      <x:c r="Q122" s="20" t="str">
        <x:v>https://www.artukbey.com/artukbey-hazir-kahve-gold-500-gr-net405-gr</x:v>
      </x:c>
      <x:c r="R122" s="20" t="str">
        <x:v>Tekil ürün sayfasındaki yapılandırılmış veriden çıkarıldı.</x:v>
      </x:c>
    </x:row>
    <x:row r="123" ht="40" customHeight="1">
      <x:c r="A123" s="16" t="str">
        <x:v>Artukbey Kahve</x:v>
      </x:c>
      <x:c r="B123" s="16" t="str">
        <x:v>Mardin</x:v>
      </x:c>
      <x:c r="C123" s="16" t="str">
        <x:v>Doğrulandı</x:v>
      </x:c>
      <x:c r="D123" s="16" t="str">
        <x:v>Ürün kaydı</x:v>
      </x:c>
      <x:c r="E123" s="16" t="str">
        <x:v>Artukbey Hazır Kahve Gold 500 Gr (ART00104040013)</x:v>
      </x:c>
      <x:c r="F123" s="16" t="str">
        <x:v>Menşe belirtilmemiş</x:v>
      </x:c>
      <x:c r="G123" s="17" t="n">
        <x:v>500</x:v>
      </x:c>
      <x:c r="H123" s="16" t="str">
        <x:v>Erişildi</x:v>
      </x:c>
      <x:c r="I123" s="18" t="n">
        <x:v>0</x:v>
      </x:c>
      <x:c r="J123" s="18" t="str">
        <x:v>Erişilemedi</x:v>
      </x:c>
      <x:c r="K123" s="18" t="n">
        <x:f>IF(AND(ISNUMBER(G123),ISNUMBER(I123)),I123/G123*1000,"Erişilemedi")</x:f>
        <x:v>0</x:v>
      </x:c>
      <x:c r="L123" s="16" t="str">
        <x:v>Belirsiz</x:v>
      </x:c>
      <x:c r="M123" s="16" t="str">
        <x:v>Kahve ürünü</x:v>
      </x:c>
      <x:c r="N123" s="16" t="str">
        <x:v>Site haritası ürün sayfası</x:v>
      </x:c>
      <x:c r="O123" s="16" t="str">
        <x:v>Düşük</x:v>
      </x:c>
      <x:c r="P123" s="19" t="n">
        <x:v>46245</x:v>
      </x:c>
      <x:c r="Q123" s="20" t="str">
        <x:v>https://www.artukbey.com/artukbey-hazir-kahve-gold-500-gr-net405-gr</x:v>
      </x:c>
      <x:c r="R123" s="20" t="str">
        <x:v>Ürün kimliği korundu; eksik alanlar erişilemedi olarak işaretlenecek.</x:v>
      </x:c>
    </x:row>
    <x:row r="124" ht="40" customHeight="1">
      <x:c r="A124" s="16" t="str">
        <x:v>Artukbey Kahve</x:v>
      </x:c>
      <x:c r="B124" s="16" t="str">
        <x:v>Mardin</x:v>
      </x:c>
      <x:c r="C124" s="16" t="str">
        <x:v>Doğrulandı</x:v>
      </x:c>
      <x:c r="D124" s="16" t="str">
        <x:v>Ürün kaydı</x:v>
      </x:c>
      <x:c r="E124" s="16" t="str">
        <x:v>Artukbey Kakuleli Dibek Kahve Kese 100 gr</x:v>
      </x:c>
      <x:c r="F124" s="16" t="str">
        <x:v>Menşe belirtilmemiş</x:v>
      </x:c>
      <x:c r="G124" s="17" t="n">
        <x:v>100</x:v>
      </x:c>
      <x:c r="H124" s="16" t="str">
        <x:v>Erişildi</x:v>
      </x:c>
      <x:c r="I124" s="18" t="n">
        <x:v>149</x:v>
      </x:c>
      <x:c r="J124" s="18" t="str">
        <x:v>Erişildi</x:v>
      </x:c>
      <x:c r="K124" s="18" t="n">
        <x:f>IF(AND(ISNUMBER(G124),ISNUMBER(I124)),I124/G124*1000,"Erişilemedi")</x:f>
        <x:v>1490</x:v>
      </x:c>
      <x:c r="L124" s="16" t="str">
        <x:v>Stokta</x:v>
      </x:c>
      <x:c r="M124" s="16" t="str">
        <x:v>Tek köken/ürün</x:v>
      </x:c>
      <x:c r="N124" s="16" t="str">
        <x:v>Site haritası + ürün JSON-LD</x:v>
      </x:c>
      <x:c r="O124" s="16" t="str">
        <x:v>Orta</x:v>
      </x:c>
      <x:c r="P124" s="19" t="n">
        <x:v>46245</x:v>
      </x:c>
      <x:c r="Q124" s="20" t="str">
        <x:v>https://www.artukbey.com/artukbey-kakuleli-dibek-kahve-kese-100-gr</x:v>
      </x:c>
      <x:c r="R124" s="20" t="str">
        <x:v>Tekil ürün sayfasındaki yapılandırılmış veriden çıkarıldı.</x:v>
      </x:c>
    </x:row>
    <x:row r="125" ht="40" customHeight="1">
      <x:c r="A125" s="16" t="str">
        <x:v>Artukbey Kahve</x:v>
      </x:c>
      <x:c r="B125" s="16" t="str">
        <x:v>Mardin</x:v>
      </x:c>
      <x:c r="C125" s="16" t="str">
        <x:v>Doğrulandı</x:v>
      </x:c>
      <x:c r="D125" s="16" t="str">
        <x:v>Ürün kaydı</x:v>
      </x:c>
      <x:c r="E125" s="16" t="str">
        <x:v>Artukbey Kakuleli Dibek Kahve Kese 100 gr (ART00102020015)</x:v>
      </x:c>
      <x:c r="F125" s="16" t="str">
        <x:v>Menşe belirtilmemiş</x:v>
      </x:c>
      <x:c r="G125" s="17" t="n">
        <x:v>100</x:v>
      </x:c>
      <x:c r="H125" s="16" t="str">
        <x:v>Erişildi</x:v>
      </x:c>
      <x:c r="I125" s="18" t="n">
        <x:v>0</x:v>
      </x:c>
      <x:c r="J125" s="18" t="str">
        <x:v>Erişilemedi</x:v>
      </x:c>
      <x:c r="K125" s="18" t="n">
        <x:f>IF(AND(ISNUMBER(G125),ISNUMBER(I125)),I125/G125*1000,"Erişilemedi")</x:f>
        <x:v>0</x:v>
      </x:c>
      <x:c r="L125" s="16" t="str">
        <x:v>Belirsiz</x:v>
      </x:c>
      <x:c r="M125" s="16" t="str">
        <x:v>Kahve ürünü</x:v>
      </x:c>
      <x:c r="N125" s="16" t="str">
        <x:v>Site haritası ürün sayfası</x:v>
      </x:c>
      <x:c r="O125" s="16" t="str">
        <x:v>Düşük</x:v>
      </x:c>
      <x:c r="P125" s="19" t="n">
        <x:v>46245</x:v>
      </x:c>
      <x:c r="Q125" s="20" t="str">
        <x:v>https://www.artukbey.com/artukbey-kakuleli-dibek-kahve-kese-100-gr</x:v>
      </x:c>
      <x:c r="R125" s="20" t="str">
        <x:v>Ürün kimliği korundu; eksik alanlar erişilemedi olarak işaretlenecek.</x:v>
      </x:c>
    </x:row>
    <x:row r="126" ht="40" customHeight="1">
      <x:c r="A126" s="16" t="str">
        <x:v>Artukbey Kahve</x:v>
      </x:c>
      <x:c r="B126" s="16" t="str">
        <x:v>Mardin</x:v>
      </x:c>
      <x:c r="C126" s="16" t="str">
        <x:v>Doğrulandı</x:v>
      </x:c>
      <x:c r="D126" s="16" t="str">
        <x:v>Ürün kaydı</x:v>
      </x:c>
      <x:c r="E126" s="16" t="str">
        <x:v>Artukbey Kakuleli Dibek Kahvesi 300gr</x:v>
      </x:c>
      <x:c r="F126" s="16" t="str">
        <x:v>Menşe belirtilmemiş</x:v>
      </x:c>
      <x:c r="G126" s="17" t="n">
        <x:v>300</x:v>
      </x:c>
      <x:c r="H126" s="16" t="str">
        <x:v>Erişildi</x:v>
      </x:c>
      <x:c r="I126" s="18" t="n">
        <x:v>329</x:v>
      </x:c>
      <x:c r="J126" s="18" t="str">
        <x:v>Erişildi</x:v>
      </x:c>
      <x:c r="K126" s="18" t="n">
        <x:f>IF(AND(ISNUMBER(G126),ISNUMBER(I126)),I126/G126*1000,"Erişilemedi")</x:f>
        <x:v>1096.6666666666667</x:v>
      </x:c>
      <x:c r="L126" s="16" t="str">
        <x:v>Stokta</x:v>
      </x:c>
      <x:c r="M126" s="16" t="str">
        <x:v>Tek köken/ürün</x:v>
      </x:c>
      <x:c r="N126" s="16" t="str">
        <x:v>Site haritası + ürün JSON-LD</x:v>
      </x:c>
      <x:c r="O126" s="16" t="str">
        <x:v>Orta</x:v>
      </x:c>
      <x:c r="P126" s="19" t="n">
        <x:v>46245</x:v>
      </x:c>
      <x:c r="Q126" s="20" t="str">
        <x:v>https://www.artukbey.com/artukbey-kakuleli-dibek-kahvesi-300gr1</x:v>
      </x:c>
      <x:c r="R126" s="20" t="str">
        <x:v>Tekil ürün sayfasındaki yapılandırılmış veriden çıkarıldı.</x:v>
      </x:c>
    </x:row>
    <x:row r="127" ht="40" customHeight="1">
      <x:c r="A127" s="16" t="str">
        <x:v>Artukbey Kahve</x:v>
      </x:c>
      <x:c r="B127" s="16" t="str">
        <x:v>Mardin</x:v>
      </x:c>
      <x:c r="C127" s="16" t="str">
        <x:v>Doğrulandı</x:v>
      </x:c>
      <x:c r="D127" s="16" t="str">
        <x:v>Ürün kaydı</x:v>
      </x:c>
      <x:c r="E127" s="16" t="str">
        <x:v>Artukbey Kakuleli Dibek Kahvesi 300gr (ART00102040017)</x:v>
      </x:c>
      <x:c r="F127" s="16" t="str">
        <x:v>Menşe belirtilmemiş</x:v>
      </x:c>
      <x:c r="G127" s="17" t="n">
        <x:v>300</x:v>
      </x:c>
      <x:c r="H127" s="16" t="str">
        <x:v>Erişildi</x:v>
      </x:c>
      <x:c r="I127" s="18" t="n">
        <x:v>0</x:v>
      </x:c>
      <x:c r="J127" s="18" t="str">
        <x:v>Erişilemedi</x:v>
      </x:c>
      <x:c r="K127" s="18" t="n">
        <x:f>IF(AND(ISNUMBER(G127),ISNUMBER(I127)),I127/G127*1000,"Erişilemedi")</x:f>
        <x:v>0</x:v>
      </x:c>
      <x:c r="L127" s="16" t="str">
        <x:v>Belirsiz</x:v>
      </x:c>
      <x:c r="M127" s="16" t="str">
        <x:v>Kahve ürünü</x:v>
      </x:c>
      <x:c r="N127" s="16" t="str">
        <x:v>Site haritası ürün sayfası</x:v>
      </x:c>
      <x:c r="O127" s="16" t="str">
        <x:v>Düşük</x:v>
      </x:c>
      <x:c r="P127" s="19" t="n">
        <x:v>46245</x:v>
      </x:c>
      <x:c r="Q127" s="20" t="str">
        <x:v>https://www.artukbey.com/artukbey-kakuleli-dibek-kahvesi-300gr1</x:v>
      </x:c>
      <x:c r="R127" s="20" t="str">
        <x:v>Ürün kimliği korundu; eksik alanlar erişilemedi olarak işaretlenecek.</x:v>
      </x:c>
    </x:row>
    <x:row r="128" ht="40" customHeight="1">
      <x:c r="A128" s="16" t="str">
        <x:v>Artukbey Kahve</x:v>
      </x:c>
      <x:c r="B128" s="16" t="str">
        <x:v>Mardin</x:v>
      </x:c>
      <x:c r="C128" s="16" t="str">
        <x:v>Doğrulandı</x:v>
      </x:c>
      <x:c r="D128" s="16" t="str">
        <x:v>Ürün kaydı</x:v>
      </x:c>
      <x:c r="E128" s="16" t="str">
        <x:v>Artukbey Menengiç Kahvesi 200gr (ART00102020021)</x:v>
      </x:c>
      <x:c r="F128" s="16" t="str">
        <x:v>Menşe belirtilmemiş</x:v>
      </x:c>
      <x:c r="G128" s="17" t="n">
        <x:v>200</x:v>
      </x:c>
      <x:c r="H128" s="16" t="str">
        <x:v>Erişildi</x:v>
      </x:c>
      <x:c r="I128" s="18" t="n">
        <x:v>0</x:v>
      </x:c>
      <x:c r="J128" s="18" t="str">
        <x:v>Erişilemedi</x:v>
      </x:c>
      <x:c r="K128" s="18" t="n">
        <x:f>IF(AND(ISNUMBER(G128),ISNUMBER(I128)),I128/G128*1000,"Erişilemedi")</x:f>
        <x:v>0</x:v>
      </x:c>
      <x:c r="L128" s="16" t="str">
        <x:v>Belirsiz</x:v>
      </x:c>
      <x:c r="M128" s="16" t="str">
        <x:v>Kahve ürünü</x:v>
      </x:c>
      <x:c r="N128" s="16" t="str">
        <x:v>Site haritası ürün sayfası</x:v>
      </x:c>
      <x:c r="O128" s="16" t="str">
        <x:v>Düşük</x:v>
      </x:c>
      <x:c r="P128" s="19" t="n">
        <x:v>46245</x:v>
      </x:c>
      <x:c r="Q128" s="20" t="str">
        <x:v>https://www.artukbey.com/artukbey-menengic-kahvesi-200gr-1338</x:v>
      </x:c>
      <x:c r="R128" s="20" t="str">
        <x:v>Ürün kimliği korundu; eksik alanlar erişilemedi olarak işaretlenecek.</x:v>
      </x:c>
    </x:row>
    <x:row r="129" ht="40" customHeight="1">
      <x:c r="A129" s="16" t="str">
        <x:v>Artukbey Kahve</x:v>
      </x:c>
      <x:c r="B129" s="16" t="str">
        <x:v>Mardin</x:v>
      </x:c>
      <x:c r="C129" s="16" t="str">
        <x:v>Doğrulandı</x:v>
      </x:c>
      <x:c r="D129" s="16" t="str">
        <x:v>Ürün kaydı</x:v>
      </x:c>
      <x:c r="E129" s="16" t="str">
        <x:v>Artukbey Menengiç Kahvesi 300gr</x:v>
      </x:c>
      <x:c r="F129" s="16" t="str">
        <x:v>Menşe belirtilmemiş</x:v>
      </x:c>
      <x:c r="G129" s="17" t="n">
        <x:v>300</x:v>
      </x:c>
      <x:c r="H129" s="16" t="str">
        <x:v>Erişildi</x:v>
      </x:c>
      <x:c r="I129" s="18" t="n">
        <x:v>329</x:v>
      </x:c>
      <x:c r="J129" s="18" t="str">
        <x:v>Erişildi</x:v>
      </x:c>
      <x:c r="K129" s="18" t="n">
        <x:f>IF(AND(ISNUMBER(G129),ISNUMBER(I129)),I129/G129*1000,"Erişilemedi")</x:f>
        <x:v>1096.6666666666667</x:v>
      </x:c>
      <x:c r="L129" s="16" t="str">
        <x:v>Stokta</x:v>
      </x:c>
      <x:c r="M129" s="16" t="str">
        <x:v>Tek köken/ürün</x:v>
      </x:c>
      <x:c r="N129" s="16" t="str">
        <x:v>Site haritası + ürün JSON-LD</x:v>
      </x:c>
      <x:c r="O129" s="16" t="str">
        <x:v>Orta</x:v>
      </x:c>
      <x:c r="P129" s="19" t="n">
        <x:v>46245</x:v>
      </x:c>
      <x:c r="Q129" s="20" t="str">
        <x:v>https://www.artukbey.com/artukbey-menengic-kahvesi-300gr</x:v>
      </x:c>
      <x:c r="R129" s="20" t="str">
        <x:v>Tekil ürün sayfasındaki yapılandırılmış veriden çıkarıldı.</x:v>
      </x:c>
    </x:row>
    <x:row r="130" ht="40" customHeight="1">
      <x:c r="A130" s="16" t="str">
        <x:v>Artukbey Kahve</x:v>
      </x:c>
      <x:c r="B130" s="16" t="str">
        <x:v>Mardin</x:v>
      </x:c>
      <x:c r="C130" s="16" t="str">
        <x:v>Doğrulandı</x:v>
      </x:c>
      <x:c r="D130" s="16" t="str">
        <x:v>Ürün kaydı</x:v>
      </x:c>
      <x:c r="E130" s="16" t="str">
        <x:v>Artukbey Menengiç Kahvesi 300gr (ART00102040022)</x:v>
      </x:c>
      <x:c r="F130" s="16" t="str">
        <x:v>Menşe belirtilmemiş</x:v>
      </x:c>
      <x:c r="G130" s="17" t="n">
        <x:v>300</x:v>
      </x:c>
      <x:c r="H130" s="16" t="str">
        <x:v>Erişildi</x:v>
      </x:c>
      <x:c r="I130" s="18" t="n">
        <x:v>0</x:v>
      </x:c>
      <x:c r="J130" s="18" t="str">
        <x:v>Erişilemedi</x:v>
      </x:c>
      <x:c r="K130" s="18" t="n">
        <x:f>IF(AND(ISNUMBER(G130),ISNUMBER(I130)),I130/G130*1000,"Erişilemedi")</x:f>
        <x:v>0</x:v>
      </x:c>
      <x:c r="L130" s="16" t="str">
        <x:v>Belirsiz</x:v>
      </x:c>
      <x:c r="M130" s="16" t="str">
        <x:v>Kahve ürünü</x:v>
      </x:c>
      <x:c r="N130" s="16" t="str">
        <x:v>Site haritası ürün sayfası</x:v>
      </x:c>
      <x:c r="O130" s="16" t="str">
        <x:v>Düşük</x:v>
      </x:c>
      <x:c r="P130" s="19" t="n">
        <x:v>46245</x:v>
      </x:c>
      <x:c r="Q130" s="20" t="str">
        <x:v>https://www.artukbey.com/artukbey-menengic-kahvesi-300gr</x:v>
      </x:c>
      <x:c r="R130" s="20" t="str">
        <x:v>Ürün kimliği korundu; eksik alanlar erişilemedi olarak işaretlenecek.</x:v>
      </x:c>
    </x:row>
    <x:row r="131" ht="40" customHeight="1">
      <x:c r="A131" s="16" t="str">
        <x:v>Artukbey Kahve</x:v>
      </x:c>
      <x:c r="B131" s="16" t="str">
        <x:v>Mardin</x:v>
      </x:c>
      <x:c r="C131" s="16" t="str">
        <x:v>Doğrulandı</x:v>
      </x:c>
      <x:c r="D131" s="16" t="str">
        <x:v>Ürün kaydı</x:v>
      </x:c>
      <x:c r="E131" s="16" t="str">
        <x:v>Artukbey Menengiç Kahvesi Kese 100 gr (ART00102020039)</x:v>
      </x:c>
      <x:c r="F131" s="16" t="str">
        <x:v>Menşe belirtilmemiş</x:v>
      </x:c>
      <x:c r="G131" s="17" t="n">
        <x:v>100</x:v>
      </x:c>
      <x:c r="H131" s="16" t="str">
        <x:v>Erişildi</x:v>
      </x:c>
      <x:c r="I131" s="18" t="n">
        <x:v>0</x:v>
      </x:c>
      <x:c r="J131" s="18" t="str">
        <x:v>Erişilemedi</x:v>
      </x:c>
      <x:c r="K131" s="18" t="n">
        <x:f>IF(AND(ISNUMBER(G131),ISNUMBER(I131)),I131/G131*1000,"Erişilemedi")</x:f>
        <x:v>0</x:v>
      </x:c>
      <x:c r="L131" s="16" t="str">
        <x:v>Belirsiz</x:v>
      </x:c>
      <x:c r="M131" s="16" t="str">
        <x:v>Kahve ürünü</x:v>
      </x:c>
      <x:c r="N131" s="16" t="str">
        <x:v>Site haritası ürün sayfası</x:v>
      </x:c>
      <x:c r="O131" s="16" t="str">
        <x:v>Düşük</x:v>
      </x:c>
      <x:c r="P131" s="19" t="n">
        <x:v>46245</x:v>
      </x:c>
      <x:c r="Q131" s="20" t="str">
        <x:v>https://www.artukbey.com/artukbey-menengic-kahvesi-kese-100gr</x:v>
      </x:c>
      <x:c r="R131" s="20" t="str">
        <x:v>Ürün kimliği korundu; eksik alanlar erişilemedi olarak işaretlenecek.</x:v>
      </x:c>
    </x:row>
    <x:row r="132" ht="40" customHeight="1">
      <x:c r="A132" s="16" t="str">
        <x:v>Artukbey Kahve</x:v>
      </x:c>
      <x:c r="B132" s="16" t="str">
        <x:v>Mardin</x:v>
      </x:c>
      <x:c r="C132" s="16" t="str">
        <x:v>Doğrulandı</x:v>
      </x:c>
      <x:c r="D132" s="16" t="str">
        <x:v>Ürün kaydı</x:v>
      </x:c>
      <x:c r="E132" s="16" t="str">
        <x:v>Artukbey Sade Dibek Türk Kahvesi 300gr</x:v>
      </x:c>
      <x:c r="F132" s="16" t="str">
        <x:v>Menşe belirtilmemiş</x:v>
      </x:c>
      <x:c r="G132" s="17" t="n">
        <x:v>300</x:v>
      </x:c>
      <x:c r="H132" s="16" t="str">
        <x:v>Erişildi</x:v>
      </x:c>
      <x:c r="I132" s="18" t="n">
        <x:v>329</x:v>
      </x:c>
      <x:c r="J132" s="18" t="str">
        <x:v>Erişildi</x:v>
      </x:c>
      <x:c r="K132" s="18" t="n">
        <x:f>IF(AND(ISNUMBER(G132),ISNUMBER(I132)),I132/G132*1000,"Erişilemedi")</x:f>
        <x:v>1096.6666666666667</x:v>
      </x:c>
      <x:c r="L132" s="16" t="str">
        <x:v>Stokta</x:v>
      </x:c>
      <x:c r="M132" s="16" t="str">
        <x:v>Tek köken/ürün</x:v>
      </x:c>
      <x:c r="N132" s="16" t="str">
        <x:v>Site haritası + ürün JSON-LD</x:v>
      </x:c>
      <x:c r="O132" s="16" t="str">
        <x:v>Orta</x:v>
      </x:c>
      <x:c r="P132" s="19" t="n">
        <x:v>46245</x:v>
      </x:c>
      <x:c r="Q132" s="20" t="str">
        <x:v>https://www.artukbey.com/artukbey-sade-dibek-turk-kahvesi-300-gr</x:v>
      </x:c>
      <x:c r="R132" s="20" t="str">
        <x:v>Tekil ürün sayfasındaki yapılandırılmış veriden çıkarıldı.</x:v>
      </x:c>
    </x:row>
    <x:row r="133" ht="40" customHeight="1">
      <x:c r="A133" s="16" t="str">
        <x:v>Artukbey Kahve</x:v>
      </x:c>
      <x:c r="B133" s="16" t="str">
        <x:v>Mardin</x:v>
      </x:c>
      <x:c r="C133" s="16" t="str">
        <x:v>Doğrulandı</x:v>
      </x:c>
      <x:c r="D133" s="16" t="str">
        <x:v>Ürün kaydı</x:v>
      </x:c>
      <x:c r="E133" s="16" t="str">
        <x:v>Artukbey Sade Dibek Türk Kahvesi 300gr (ART00102040027)</x:v>
      </x:c>
      <x:c r="F133" s="16" t="str">
        <x:v>Menşe belirtilmemiş</x:v>
      </x:c>
      <x:c r="G133" s="17" t="n">
        <x:v>300</x:v>
      </x:c>
      <x:c r="H133" s="16" t="str">
        <x:v>Erişildi</x:v>
      </x:c>
      <x:c r="I133" s="18" t="n">
        <x:v>0</x:v>
      </x:c>
      <x:c r="J133" s="18" t="str">
        <x:v>Erişilemedi</x:v>
      </x:c>
      <x:c r="K133" s="18" t="n">
        <x:f>IF(AND(ISNUMBER(G133),ISNUMBER(I133)),I133/G133*1000,"Erişilemedi")</x:f>
        <x:v>0</x:v>
      </x:c>
      <x:c r="L133" s="16" t="str">
        <x:v>Belirsiz</x:v>
      </x:c>
      <x:c r="M133" s="16" t="str">
        <x:v>Kahve ürünü</x:v>
      </x:c>
      <x:c r="N133" s="16" t="str">
        <x:v>Site haritası ürün sayfası</x:v>
      </x:c>
      <x:c r="O133" s="16" t="str">
        <x:v>Düşük</x:v>
      </x:c>
      <x:c r="P133" s="19" t="n">
        <x:v>46245</x:v>
      </x:c>
      <x:c r="Q133" s="20" t="str">
        <x:v>https://www.artukbey.com/artukbey-sade-dibek-turk-kahvesi-300-gr</x:v>
      </x:c>
      <x:c r="R133" s="20" t="str">
        <x:v>Ürün kimliği korundu; eksik alanlar erişilemedi olarak işaretlenecek.</x:v>
      </x:c>
    </x:row>
    <x:row r="134" ht="40" customHeight="1">
      <x:c r="A134" s="16" t="str">
        <x:v>Artukbey Kahve</x:v>
      </x:c>
      <x:c r="B134" s="16" t="str">
        <x:v>Mardin</x:v>
      </x:c>
      <x:c r="C134" s="16" t="str">
        <x:v>Doğrulandı</x:v>
      </x:c>
      <x:c r="D134" s="16" t="str">
        <x:v>Ürün kaydı</x:v>
      </x:c>
      <x:c r="E134" s="16" t="str">
        <x:v>Artukbey Sade Dibek Türk Kahvesi Kese 100 gr (ART00102020025)</x:v>
      </x:c>
      <x:c r="F134" s="16" t="str">
        <x:v>Menşe belirtilmemiş</x:v>
      </x:c>
      <x:c r="G134" s="17" t="n">
        <x:v>100</x:v>
      </x:c>
      <x:c r="H134" s="16" t="str">
        <x:v>Erişildi</x:v>
      </x:c>
      <x:c r="I134" s="18" t="n">
        <x:v>0</x:v>
      </x:c>
      <x:c r="J134" s="18" t="str">
        <x:v>Erişilemedi</x:v>
      </x:c>
      <x:c r="K134" s="18" t="n">
        <x:f>IF(AND(ISNUMBER(G134),ISNUMBER(I134)),I134/G134*1000,"Erişilemedi")</x:f>
        <x:v>0</x:v>
      </x:c>
      <x:c r="L134" s="16" t="str">
        <x:v>Belirsiz</x:v>
      </x:c>
      <x:c r="M134" s="16" t="str">
        <x:v>Kahve ürünü</x:v>
      </x:c>
      <x:c r="N134" s="16" t="str">
        <x:v>Site haritası ürün sayfası</x:v>
      </x:c>
      <x:c r="O134" s="16" t="str">
        <x:v>Düşük</x:v>
      </x:c>
      <x:c r="P134" s="19" t="n">
        <x:v>46245</x:v>
      </x:c>
      <x:c r="Q134" s="20" t="str">
        <x:v>https://www.artukbey.com/sade-dibek-turk-kahvesi-kese-100-gr</x:v>
      </x:c>
      <x:c r="R134" s="20" t="str">
        <x:v>Ürün kimliği korundu; eksik alanlar erişilemedi olarak işaretlenecek.</x:v>
      </x:c>
    </x:row>
    <x:row r="135" ht="40" customHeight="1">
      <x:c r="A135" s="16" t="str">
        <x:v>Artukbey Kahve</x:v>
      </x:c>
      <x:c r="B135" s="16" t="str">
        <x:v>Mardin</x:v>
      </x:c>
      <x:c r="C135" s="16" t="str">
        <x:v>Doğrulandı</x:v>
      </x:c>
      <x:c r="D135" s="16" t="str">
        <x:v>Ürün kaydı</x:v>
      </x:c>
      <x:c r="E135" s="16" t="str">
        <x:v>Artukbey Special Damla Sakızlı Dibek Kahvesi 250gr (ART00102025029)</x:v>
      </x:c>
      <x:c r="F135" s="16" t="str">
        <x:v>Menşe belirtilmemiş</x:v>
      </x:c>
      <x:c r="G135" s="17" t="n">
        <x:v>250</x:v>
      </x:c>
      <x:c r="H135" s="16" t="str">
        <x:v>Erişildi</x:v>
      </x:c>
      <x:c r="I135" s="18" t="n">
        <x:v>0</x:v>
      </x:c>
      <x:c r="J135" s="18" t="str">
        <x:v>Erişilemedi</x:v>
      </x:c>
      <x:c r="K135" s="18" t="n">
        <x:f>IF(AND(ISNUMBER(G135),ISNUMBER(I135)),I135/G135*1000,"Erişilemedi")</x:f>
        <x:v>0</x:v>
      </x:c>
      <x:c r="L135" s="16" t="str">
        <x:v>Belirsiz</x:v>
      </x:c>
      <x:c r="M135" s="16" t="str">
        <x:v>Kahve ürünü</x:v>
      </x:c>
      <x:c r="N135" s="16" t="str">
        <x:v>Site haritası ürün sayfası</x:v>
      </x:c>
      <x:c r="O135" s="16" t="str">
        <x:v>Düşük</x:v>
      </x:c>
      <x:c r="P135" s="19" t="n">
        <x:v>46245</x:v>
      </x:c>
      <x:c r="Q135" s="20" t="str">
        <x:v>https://www.artukbey.com/artukbey-special-damla-sakizli-dibek-kahvesi-250gr-1273</x:v>
      </x:c>
      <x:c r="R135" s="20" t="str">
        <x:v>Ürün kimliği korundu; eksik alanlar erişilemedi olarak işaretlenecek.</x:v>
      </x:c>
    </x:row>
    <x:row r="136" ht="40" customHeight="1">
      <x:c r="A136" s="16" t="str">
        <x:v>Artukbey Kahve</x:v>
      </x:c>
      <x:c r="B136" s="16" t="str">
        <x:v>Mardin</x:v>
      </x:c>
      <x:c r="C136" s="16" t="str">
        <x:v>Doğrulandı</x:v>
      </x:c>
      <x:c r="D136" s="16" t="str">
        <x:v>Ürün kaydı</x:v>
      </x:c>
      <x:c r="E136" s="16" t="str">
        <x:v>Artukbey Special Dibek Kahvesi 250gr (ART00102025030)</x:v>
      </x:c>
      <x:c r="F136" s="16" t="str">
        <x:v>Menşe belirtilmemiş</x:v>
      </x:c>
      <x:c r="G136" s="17" t="n">
        <x:v>250</x:v>
      </x:c>
      <x:c r="H136" s="16" t="str">
        <x:v>Erişildi</x:v>
      </x:c>
      <x:c r="I136" s="18" t="n">
        <x:v>0</x:v>
      </x:c>
      <x:c r="J136" s="18" t="str">
        <x:v>Erişilemedi</x:v>
      </x:c>
      <x:c r="K136" s="18" t="n">
        <x:f>IF(AND(ISNUMBER(G136),ISNUMBER(I136)),I136/G136*1000,"Erişilemedi")</x:f>
        <x:v>0</x:v>
      </x:c>
      <x:c r="L136" s="16" t="str">
        <x:v>Belirsiz</x:v>
      </x:c>
      <x:c r="M136" s="16" t="str">
        <x:v>Kahve ürünü</x:v>
      </x:c>
      <x:c r="N136" s="16" t="str">
        <x:v>Site haritası ürün sayfası</x:v>
      </x:c>
      <x:c r="O136" s="16" t="str">
        <x:v>Düşük</x:v>
      </x:c>
      <x:c r="P136" s="19" t="n">
        <x:v>46245</x:v>
      </x:c>
      <x:c r="Q136" s="20" t="str">
        <x:v>https://www.artukbey.com/artukbey-special-dibek-kahvesi-250gr-1272</x:v>
      </x:c>
      <x:c r="R136" s="20" t="str">
        <x:v>Ürün kimliği korundu; eksik alanlar erişilemedi olarak işaretlenecek.</x:v>
      </x:c>
    </x:row>
    <x:row r="137" ht="40" customHeight="1">
      <x:c r="A137" s="16" t="str">
        <x:v>Artukbey Kahve</x:v>
      </x:c>
      <x:c r="B137" s="16" t="str">
        <x:v>Mardin</x:v>
      </x:c>
      <x:c r="C137" s="16" t="str">
        <x:v>Doğrulandı</x:v>
      </x:c>
      <x:c r="D137" s="16" t="str">
        <x:v>Ürün kaydı</x:v>
      </x:c>
      <x:c r="E137" s="16" t="str">
        <x:v>Artukbey Süryani Dibek Kahvesi Kese 100 gr (ART00102020031)</x:v>
      </x:c>
      <x:c r="F137" s="16" t="str">
        <x:v>Menşe belirtilmemiş</x:v>
      </x:c>
      <x:c r="G137" s="17" t="n">
        <x:v>100</x:v>
      </x:c>
      <x:c r="H137" s="16" t="str">
        <x:v>Erişildi</x:v>
      </x:c>
      <x:c r="I137" s="18" t="n">
        <x:v>0</x:v>
      </x:c>
      <x:c r="J137" s="18" t="str">
        <x:v>Erişilemedi</x:v>
      </x:c>
      <x:c r="K137" s="18" t="n">
        <x:f>IF(AND(ISNUMBER(G137),ISNUMBER(I137)),I137/G137*1000,"Erişilemedi")</x:f>
        <x:v>0</x:v>
      </x:c>
      <x:c r="L137" s="16" t="str">
        <x:v>Belirsiz</x:v>
      </x:c>
      <x:c r="M137" s="16" t="str">
        <x:v>Kahve ürünü</x:v>
      </x:c>
      <x:c r="N137" s="16" t="str">
        <x:v>Site haritası ürün sayfası</x:v>
      </x:c>
      <x:c r="O137" s="16" t="str">
        <x:v>Düşük</x:v>
      </x:c>
      <x:c r="P137" s="19" t="n">
        <x:v>46245</x:v>
      </x:c>
      <x:c r="Q137" s="20" t="str">
        <x:v>https://www.artukbey.com/artukbey-suryani-dibek-kahvesi-kese-100gr</x:v>
      </x:c>
      <x:c r="R137" s="20" t="str">
        <x:v>Ürün kimliği korundu; eksik alanlar erişilemedi olarak işaretlenecek.</x:v>
      </x:c>
    </x:row>
    <x:row r="138" ht="40" customHeight="1">
      <x:c r="A138" s="16" t="str">
        <x:v>Artukbey Kahve</x:v>
      </x:c>
      <x:c r="B138" s="16" t="str">
        <x:v>Mardin</x:v>
      </x:c>
      <x:c r="C138" s="16" t="str">
        <x:v>Doğrulandı</x:v>
      </x:c>
      <x:c r="D138" s="16" t="str">
        <x:v>Ürün kaydı</x:v>
      </x:c>
      <x:c r="E138" s="16" t="str">
        <x:v>Artukbey Türk Kahvesi 100gr</x:v>
      </x:c>
      <x:c r="F138" s="16" t="str">
        <x:v>Menşe belirtilmemiş</x:v>
      </x:c>
      <x:c r="G138" s="17" t="n">
        <x:v>100</x:v>
      </x:c>
      <x:c r="H138" s="16" t="str">
        <x:v>Erişildi</x:v>
      </x:c>
      <x:c r="I138" s="18" t="n">
        <x:v>109</x:v>
      </x:c>
      <x:c r="J138" s="18" t="str">
        <x:v>Erişildi</x:v>
      </x:c>
      <x:c r="K138" s="18" t="n">
        <x:f>IF(AND(ISNUMBER(G138),ISNUMBER(I138)),I138/G138*1000,"Erişilemedi")</x:f>
        <x:v>1090</x:v>
      </x:c>
      <x:c r="L138" s="16" t="str">
        <x:v>Stokta</x:v>
      </x:c>
      <x:c r="M138" s="16" t="str">
        <x:v>Tek köken/ürün</x:v>
      </x:c>
      <x:c r="N138" s="16" t="str">
        <x:v>Site haritası + ürün JSON-LD</x:v>
      </x:c>
      <x:c r="O138" s="16" t="str">
        <x:v>Orta</x:v>
      </x:c>
      <x:c r="P138" s="19" t="n">
        <x:v>46245</x:v>
      </x:c>
      <x:c r="Q138" s="20" t="str">
        <x:v>https://www.artukbey.com/artukbey-turk-kahvesi-100gr-1216</x:v>
      </x:c>
      <x:c r="R138" s="20" t="str">
        <x:v>Tekil ürün sayfasındaki yapılandırılmış veriden çıkarıldı.</x:v>
      </x:c>
    </x:row>
    <x:row r="139" ht="40" customHeight="1">
      <x:c r="A139" s="16" t="str">
        <x:v>Artukbey Kahve</x:v>
      </x:c>
      <x:c r="B139" s="16" t="str">
        <x:v>Mardin</x:v>
      </x:c>
      <x:c r="C139" s="16" t="str">
        <x:v>Doğrulandı</x:v>
      </x:c>
      <x:c r="D139" s="16" t="str">
        <x:v>Ürün kaydı</x:v>
      </x:c>
      <x:c r="E139" s="16" t="str">
        <x:v>Artukbey Türk Kahvesi 100gr (ART00105010001)</x:v>
      </x:c>
      <x:c r="F139" s="16" t="str">
        <x:v>Menşe belirtilmemiş</x:v>
      </x:c>
      <x:c r="G139" s="17" t="n">
        <x:v>100</x:v>
      </x:c>
      <x:c r="H139" s="16" t="str">
        <x:v>Erişildi</x:v>
      </x:c>
      <x:c r="I139" s="18" t="n">
        <x:v>0</x:v>
      </x:c>
      <x:c r="J139" s="18" t="str">
        <x:v>Erişilemedi</x:v>
      </x:c>
      <x:c r="K139" s="18" t="n">
        <x:f>IF(AND(ISNUMBER(G139),ISNUMBER(I139)),I139/G139*1000,"Erişilemedi")</x:f>
        <x:v>0</x:v>
      </x:c>
      <x:c r="L139" s="16" t="str">
        <x:v>Belirsiz</x:v>
      </x:c>
      <x:c r="M139" s="16" t="str">
        <x:v>Kahve ürünü</x:v>
      </x:c>
      <x:c r="N139" s="16" t="str">
        <x:v>Site haritası ürün sayfası</x:v>
      </x:c>
      <x:c r="O139" s="16" t="str">
        <x:v>Düşük</x:v>
      </x:c>
      <x:c r="P139" s="19" t="n">
        <x:v>46245</x:v>
      </x:c>
      <x:c r="Q139" s="20" t="str">
        <x:v>https://www.artukbey.com/artukbey-turk-kahvesi-100gr-1216</x:v>
      </x:c>
      <x:c r="R139" s="20" t="str">
        <x:v>Ürün kimliği korundu; eksik alanlar erişilemedi olarak işaretlenecek.</x:v>
      </x:c>
    </x:row>
    <x:row r="140" ht="40" customHeight="1">
      <x:c r="A140" s="16" t="str">
        <x:v>Artukbey Kahve</x:v>
      </x:c>
      <x:c r="B140" s="16" t="str">
        <x:v>Mardin</x:v>
      </x:c>
      <x:c r="C140" s="16" t="str">
        <x:v>Doğrulandı</x:v>
      </x:c>
      <x:c r="D140" s="16" t="str">
        <x:v>Ürün kaydı</x:v>
      </x:c>
      <x:c r="E140" s="16" t="str">
        <x:v>Bitter Çikolatalı Dibek Kahvesi 300 gr</x:v>
      </x:c>
      <x:c r="F140" s="16" t="str">
        <x:v>Menşe belirtilmemiş</x:v>
      </x:c>
      <x:c r="G140" s="17" t="n">
        <x:v>300</x:v>
      </x:c>
      <x:c r="H140" s="16" t="str">
        <x:v>Erişildi</x:v>
      </x:c>
      <x:c r="I140" s="18" t="n">
        <x:v>329</x:v>
      </x:c>
      <x:c r="J140" s="18" t="str">
        <x:v>Erişildi</x:v>
      </x:c>
      <x:c r="K140" s="18" t="n">
        <x:f>IF(AND(ISNUMBER(G140),ISNUMBER(I140)),I140/G140*1000,"Erişilemedi")</x:f>
        <x:v>1096.6666666666667</x:v>
      </x:c>
      <x:c r="L140" s="16" t="str">
        <x:v>Stokta</x:v>
      </x:c>
      <x:c r="M140" s="16" t="str">
        <x:v>Tek köken/ürün</x:v>
      </x:c>
      <x:c r="N140" s="16" t="str">
        <x:v>Site haritası + ürün JSON-LD</x:v>
      </x:c>
      <x:c r="O140" s="16" t="str">
        <x:v>Orta</x:v>
      </x:c>
      <x:c r="P140" s="19" t="n">
        <x:v>46245</x:v>
      </x:c>
      <x:c r="Q140" s="20" t="str">
        <x:v>https://www.artukbey.com/bitter-cikolatali-dibek-kahvesi-300-gr</x:v>
      </x:c>
      <x:c r="R140" s="20" t="str">
        <x:v>Tekil ürün sayfasındaki yapılandırılmış veriden çıkarıldı.</x:v>
      </x:c>
    </x:row>
    <x:row r="141" ht="40" customHeight="1">
      <x:c r="A141" s="16" t="str">
        <x:v>Artukbey Kahve</x:v>
      </x:c>
      <x:c r="B141" s="16" t="str">
        <x:v>Mardin</x:v>
      </x:c>
      <x:c r="C141" s="16" t="str">
        <x:v>Doğrulandı</x:v>
      </x:c>
      <x:c r="D141" s="16" t="str">
        <x:v>Ürün kaydı</x:v>
      </x:c>
      <x:c r="E141" s="16" t="str">
        <x:v>Bitter Çikolatalı Dibek Kahvesi 300 gr (ART00102040034)</x:v>
      </x:c>
      <x:c r="F141" s="16" t="str">
        <x:v>Menşe belirtilmemiş</x:v>
      </x:c>
      <x:c r="G141" s="17" t="n">
        <x:v>300</x:v>
      </x:c>
      <x:c r="H141" s="16" t="str">
        <x:v>Erişildi</x:v>
      </x:c>
      <x:c r="I141" s="18" t="n">
        <x:v>0</x:v>
      </x:c>
      <x:c r="J141" s="18" t="str">
        <x:v>Erişilemedi</x:v>
      </x:c>
      <x:c r="K141" s="18" t="n">
        <x:f>IF(AND(ISNUMBER(G141),ISNUMBER(I141)),I141/G141*1000,"Erişilemedi")</x:f>
        <x:v>0</x:v>
      </x:c>
      <x:c r="L141" s="16" t="str">
        <x:v>Belirsiz</x:v>
      </x:c>
      <x:c r="M141" s="16" t="str">
        <x:v>Kahve ürünü</x:v>
      </x:c>
      <x:c r="N141" s="16" t="str">
        <x:v>Site haritası ürün sayfası</x:v>
      </x:c>
      <x:c r="O141" s="16" t="str">
        <x:v>Düşük</x:v>
      </x:c>
      <x:c r="P141" s="19" t="n">
        <x:v>46245</x:v>
      </x:c>
      <x:c r="Q141" s="20" t="str">
        <x:v>https://www.artukbey.com/bitter-cikolatali-dibek-kahvesi-300-gr</x:v>
      </x:c>
      <x:c r="R141" s="20" t="str">
        <x:v>Ürün kimliği korundu; eksik alanlar erişilemedi olarak işaretlenecek.</x:v>
      </x:c>
    </x:row>
    <x:row r="142" ht="40" customHeight="1">
      <x:c r="A142" s="16" t="str">
        <x:v>Artukbey Kahve</x:v>
      </x:c>
      <x:c r="B142" s="16" t="str">
        <x:v>Mardin</x:v>
      </x:c>
      <x:c r="C142" s="16" t="str">
        <x:v>Doğrulandı</x:v>
      </x:c>
      <x:c r="D142" s="16" t="str">
        <x:v>Ürün kaydı</x:v>
      </x:c>
      <x:c r="E142" s="16" t="str">
        <x:v>Blend (Filtre Kahve ) 250 Gr</x:v>
      </x:c>
      <x:c r="F142" s="16" t="str">
        <x:v>Harman – menşe belirtilmemiş</x:v>
      </x:c>
      <x:c r="G142" s="17" t="n">
        <x:v>250</x:v>
      </x:c>
      <x:c r="H142" s="16" t="str">
        <x:v>Erişildi</x:v>
      </x:c>
      <x:c r="I142" s="18" t="n">
        <x:v>469</x:v>
      </x:c>
      <x:c r="J142" s="18" t="str">
        <x:v>Erişildi</x:v>
      </x:c>
      <x:c r="K142" s="18" t="n">
        <x:f>IF(AND(ISNUMBER(G142),ISNUMBER(I142)),I142/G142*1000,"Erişilemedi")</x:f>
        <x:v>1876</x:v>
      </x:c>
      <x:c r="L142" s="16" t="str">
        <x:v>Stokta</x:v>
      </x:c>
      <x:c r="M142" s="16" t="str">
        <x:v>Harman</x:v>
      </x:c>
      <x:c r="N142" s="16" t="str">
        <x:v>Site haritası + ürün JSON-LD</x:v>
      </x:c>
      <x:c r="O142" s="16" t="str">
        <x:v>Orta</x:v>
      </x:c>
      <x:c r="P142" s="19" t="n">
        <x:v>46245</x:v>
      </x:c>
      <x:c r="Q142" s="20" t="str">
        <x:v>https://www.artukbey.com/blend-filtre-kahve-cekirdegi-250-gr</x:v>
      </x:c>
      <x:c r="R142" s="20" t="str">
        <x:v>Tekil ürün sayfasındaki yapılandırılmış veriden çıkarıldı.</x:v>
      </x:c>
    </x:row>
    <x:row r="143" ht="40" customHeight="1">
      <x:c r="A143" s="16" t="str">
        <x:v>Artukbey Kahve</x:v>
      </x:c>
      <x:c r="B143" s="16" t="str">
        <x:v>Mardin</x:v>
      </x:c>
      <x:c r="C143" s="16" t="str">
        <x:v>Doğrulandı</x:v>
      </x:c>
      <x:c r="D143" s="16" t="str">
        <x:v>Ürün kaydı</x:v>
      </x:c>
      <x:c r="E143" s="16" t="str">
        <x:v>Blend (Filtre Kahve ) 250 Gr (ART00103025001)</x:v>
      </x:c>
      <x:c r="F143" s="16" t="str">
        <x:v>Harman – menşe belirtilmemiş</x:v>
      </x:c>
      <x:c r="G143" s="17" t="n">
        <x:v>250</x:v>
      </x:c>
      <x:c r="H143" s="16" t="str">
        <x:v>Erişildi</x:v>
      </x:c>
      <x:c r="I143" s="18" t="n">
        <x:v>0</x:v>
      </x:c>
      <x:c r="J143" s="18" t="str">
        <x:v>Erişilemedi</x:v>
      </x:c>
      <x:c r="K143" s="18" t="n">
        <x:f>IF(AND(ISNUMBER(G143),ISNUMBER(I143)),I143/G143*1000,"Erişilemedi")</x:f>
        <x:v>0</x:v>
      </x:c>
      <x:c r="L143" s="16" t="str">
        <x:v>Belirsiz</x:v>
      </x:c>
      <x:c r="M143" s="16" t="str">
        <x:v>Harman</x:v>
      </x:c>
      <x:c r="N143" s="16" t="str">
        <x:v>Site haritası ürün sayfası</x:v>
      </x:c>
      <x:c r="O143" s="16" t="str">
        <x:v>Düşük</x:v>
      </x:c>
      <x:c r="P143" s="19" t="n">
        <x:v>46245</x:v>
      </x:c>
      <x:c r="Q143" s="20" t="str">
        <x:v>https://www.artukbey.com/blend-filtre-kahve-cekirdegi-250-gr</x:v>
      </x:c>
      <x:c r="R143" s="20" t="str">
        <x:v>Ürün kimliği korundu; eksik alanlar erişilemedi olarak işaretlenecek.</x:v>
      </x:c>
    </x:row>
    <x:row r="144" ht="40" customHeight="1">
      <x:c r="A144" s="16" t="str">
        <x:v>Artukbey Kahve</x:v>
      </x:c>
      <x:c r="B144" s="16" t="str">
        <x:v>Mardin</x:v>
      </x:c>
      <x:c r="C144" s="16" t="str">
        <x:v>Doğrulandı</x:v>
      </x:c>
      <x:c r="D144" s="16" t="str">
        <x:v>Ürün kaydı</x:v>
      </x:c>
      <x:c r="E144" s="16" t="str">
        <x:v>Classic (Filtre Kahve) 250 Gr</x:v>
      </x:c>
      <x:c r="F144" s="16" t="str">
        <x:v>Menşe belirtilmemiş</x:v>
      </x:c>
      <x:c r="G144" s="17" t="n">
        <x:v>250</x:v>
      </x:c>
      <x:c r="H144" s="16" t="str">
        <x:v>Erişildi</x:v>
      </x:c>
      <x:c r="I144" s="18" t="n">
        <x:v>369</x:v>
      </x:c>
      <x:c r="J144" s="18" t="str">
        <x:v>Erişildi</x:v>
      </x:c>
      <x:c r="K144" s="18" t="n">
        <x:f>IF(AND(ISNUMBER(G144),ISNUMBER(I144)),I144/G144*1000,"Erişilemedi")</x:f>
        <x:v>1476</x:v>
      </x:c>
      <x:c r="L144" s="16" t="str">
        <x:v>Stokta</x:v>
      </x:c>
      <x:c r="M144" s="16" t="str">
        <x:v>Tek köken/ürün</x:v>
      </x:c>
      <x:c r="N144" s="16" t="str">
        <x:v>Site haritası + ürün JSON-LD</x:v>
      </x:c>
      <x:c r="O144" s="16" t="str">
        <x:v>Orta</x:v>
      </x:c>
      <x:c r="P144" s="19" t="n">
        <x:v>46245</x:v>
      </x:c>
      <x:c r="Q144" s="20" t="str">
        <x:v>https://www.artukbey.com/classic-filtre-kahve-cekirdegi-250-gr</x:v>
      </x:c>
      <x:c r="R144" s="20" t="str">
        <x:v>Tekil ürün sayfasındaki yapılandırılmış veriden çıkarıldı.</x:v>
      </x:c>
    </x:row>
    <x:row r="145" ht="40" customHeight="1">
      <x:c r="A145" s="16" t="str">
        <x:v>Artukbey Kahve</x:v>
      </x:c>
      <x:c r="B145" s="16" t="str">
        <x:v>Mardin</x:v>
      </x:c>
      <x:c r="C145" s="16" t="str">
        <x:v>Doğrulandı</x:v>
      </x:c>
      <x:c r="D145" s="16" t="str">
        <x:v>Ürün kaydı</x:v>
      </x:c>
      <x:c r="E145" s="16" t="str">
        <x:v>Classic (Filtre Kahve) 250 Gr (ART00103025002)</x:v>
      </x:c>
      <x:c r="F145" s="16" t="str">
        <x:v>Menşe belirtilmemiş</x:v>
      </x:c>
      <x:c r="G145" s="17" t="n">
        <x:v>250</x:v>
      </x:c>
      <x:c r="H145" s="16" t="str">
        <x:v>Erişildi</x:v>
      </x:c>
      <x:c r="I145" s="18" t="n">
        <x:v>0</x:v>
      </x:c>
      <x:c r="J145" s="18" t="str">
        <x:v>Erişilemedi</x:v>
      </x:c>
      <x:c r="K145" s="18" t="n">
        <x:f>IF(AND(ISNUMBER(G145),ISNUMBER(I145)),I145/G145*1000,"Erişilemedi")</x:f>
        <x:v>0</x:v>
      </x:c>
      <x:c r="L145" s="16" t="str">
        <x:v>Belirsiz</x:v>
      </x:c>
      <x:c r="M145" s="16" t="str">
        <x:v>Kahve ürünü</x:v>
      </x:c>
      <x:c r="N145" s="16" t="str">
        <x:v>Site haritası ürün sayfası</x:v>
      </x:c>
      <x:c r="O145" s="16" t="str">
        <x:v>Düşük</x:v>
      </x:c>
      <x:c r="P145" s="19" t="n">
        <x:v>46245</x:v>
      </x:c>
      <x:c r="Q145" s="20" t="str">
        <x:v>https://www.artukbey.com/classic-filtre-kahve-cekirdegi-250-gr</x:v>
      </x:c>
      <x:c r="R145" s="20" t="str">
        <x:v>Ürün kimliği korundu; eksik alanlar erişilemedi olarak işaretlenecek.</x:v>
      </x:c>
    </x:row>
    <x:row r="146" ht="40" customHeight="1">
      <x:c r="A146" s="16" t="str">
        <x:v>Artukbey Kahve</x:v>
      </x:c>
      <x:c r="B146" s="16" t="str">
        <x:v>Mardin</x:v>
      </x:c>
      <x:c r="C146" s="16" t="str">
        <x:v>Doğrulandı</x:v>
      </x:c>
      <x:c r="D146" s="16" t="str">
        <x:v>Ürün kaydı</x:v>
      </x:c>
      <x:c r="E146" s="16" t="str">
        <x:v>Costa Rica (Filtre Kahve) 250 Gr</x:v>
      </x:c>
      <x:c r="F146" s="16" t="str">
        <x:v>Kosta Rika</x:v>
      </x:c>
      <x:c r="G146" s="17" t="n">
        <x:v>250</x:v>
      </x:c>
      <x:c r="H146" s="16" t="str">
        <x:v>Erişildi</x:v>
      </x:c>
      <x:c r="I146" s="18" t="n">
        <x:v>469</x:v>
      </x:c>
      <x:c r="J146" s="18" t="str">
        <x:v>Erişildi</x:v>
      </x:c>
      <x:c r="K146" s="18" t="n">
        <x:f>IF(AND(ISNUMBER(G146),ISNUMBER(I146)),I146/G146*1000,"Erişilemedi")</x:f>
        <x:v>1876</x:v>
      </x:c>
      <x:c r="L146" s="16" t="str">
        <x:v>Stokta</x:v>
      </x:c>
      <x:c r="M146" s="16" t="str">
        <x:v>Tek köken/ürün</x:v>
      </x:c>
      <x:c r="N146" s="16" t="str">
        <x:v>Site haritası + ürün JSON-LD</x:v>
      </x:c>
      <x:c r="O146" s="16" t="str">
        <x:v>Orta</x:v>
      </x:c>
      <x:c r="P146" s="19" t="n">
        <x:v>46245</x:v>
      </x:c>
      <x:c r="Q146" s="20" t="str">
        <x:v>https://www.artukbey.com/costa-ricafiltre-kahve-cekirdegi-250-gr</x:v>
      </x:c>
      <x:c r="R146" s="20" t="str">
        <x:v>Tekil ürün sayfasındaki yapılandırılmış veriden çıkarıldı.</x:v>
      </x:c>
    </x:row>
    <x:row r="147" ht="40" customHeight="1">
      <x:c r="A147" s="16" t="str">
        <x:v>Artukbey Kahve</x:v>
      </x:c>
      <x:c r="B147" s="16" t="str">
        <x:v>Mardin</x:v>
      </x:c>
      <x:c r="C147" s="16" t="str">
        <x:v>Doğrulandı</x:v>
      </x:c>
      <x:c r="D147" s="16" t="str">
        <x:v>Ürün kaydı</x:v>
      </x:c>
      <x:c r="E147" s="16" t="str">
        <x:v>Costa Rica (Filtre Kahve) 250 Gr (ART00103025006)</x:v>
      </x:c>
      <x:c r="F147" s="16" t="str">
        <x:v>Kosta Rika</x:v>
      </x:c>
      <x:c r="G147" s="17" t="n">
        <x:v>250</x:v>
      </x:c>
      <x:c r="H147" s="16" t="str">
        <x:v>Erişildi</x:v>
      </x:c>
      <x:c r="I147" s="18" t="n">
        <x:v>0</x:v>
      </x:c>
      <x:c r="J147" s="18" t="str">
        <x:v>Erişilemedi</x:v>
      </x:c>
      <x:c r="K147" s="18" t="n">
        <x:f>IF(AND(ISNUMBER(G147),ISNUMBER(I147)),I147/G147*1000,"Erişilemedi")</x:f>
        <x:v>0</x:v>
      </x:c>
      <x:c r="L147" s="16" t="str">
        <x:v>Belirsiz</x:v>
      </x:c>
      <x:c r="M147" s="16" t="str">
        <x:v>Kahve ürünü</x:v>
      </x:c>
      <x:c r="N147" s="16" t="str">
        <x:v>Site haritası ürün sayfası</x:v>
      </x:c>
      <x:c r="O147" s="16" t="str">
        <x:v>Düşük</x:v>
      </x:c>
      <x:c r="P147" s="19" t="n">
        <x:v>46245</x:v>
      </x:c>
      <x:c r="Q147" s="20" t="str">
        <x:v>https://www.artukbey.com/costa-ricafiltre-kahve-cekirdegi-250-gr</x:v>
      </x:c>
      <x:c r="R147" s="20" t="str">
        <x:v>Ürün kimliği korundu; eksik alanlar erişilemedi olarak işaretlenecek.</x:v>
      </x:c>
    </x:row>
    <x:row r="148" ht="40" customHeight="1">
      <x:c r="A148" s="16" t="str">
        <x:v>Artukbey Kahve</x:v>
      </x:c>
      <x:c r="B148" s="16" t="str">
        <x:v>Mardin</x:v>
      </x:c>
      <x:c r="C148" s="16" t="str">
        <x:v>Doğrulandı</x:v>
      </x:c>
      <x:c r="D148" s="16" t="str">
        <x:v>Ürün kaydı</x:v>
      </x:c>
      <x:c r="E148" s="16" t="str">
        <x:v>Damla Sakızlı Türk Kahvesi 1 Kg (ART00102040040)</x:v>
      </x:c>
      <x:c r="F148" s="16" t="str">
        <x:v>Menşe belirtilmemiş</x:v>
      </x:c>
      <x:c r="G148" s="17" t="n">
        <x:v>1000</x:v>
      </x:c>
      <x:c r="H148" s="16" t="str">
        <x:v>Erişildi</x:v>
      </x:c>
      <x:c r="I148" s="18" t="n">
        <x:v>0</x:v>
      </x:c>
      <x:c r="J148" s="18" t="str">
        <x:v>Erişilemedi</x:v>
      </x:c>
      <x:c r="K148" s="18" t="n">
        <x:f>IF(AND(ISNUMBER(G148),ISNUMBER(I148)),I148/G148*1000,"Erişilemedi")</x:f>
        <x:v>0</x:v>
      </x:c>
      <x:c r="L148" s="16" t="str">
        <x:v>Belirsiz</x:v>
      </x:c>
      <x:c r="M148" s="16" t="str">
        <x:v>Kahve ürünü</x:v>
      </x:c>
      <x:c r="N148" s="16" t="str">
        <x:v>Site haritası ürün sayfası</x:v>
      </x:c>
      <x:c r="O148" s="16" t="str">
        <x:v>Düşük</x:v>
      </x:c>
      <x:c r="P148" s="19" t="n">
        <x:v>46245</x:v>
      </x:c>
      <x:c r="Q148" s="20" t="str">
        <x:v>https://www.artukbey.com/damla-sakizli-turk-kahvesi-1-kg-1334</x:v>
      </x:c>
      <x:c r="R148" s="20" t="str">
        <x:v>Ürün kimliği korundu; eksik alanlar erişilemedi olarak işaretlenecek.</x:v>
      </x:c>
    </x:row>
    <x:row r="149" ht="40" customHeight="1">
      <x:c r="A149" s="16" t="str">
        <x:v>Artukbey Kahve</x:v>
      </x:c>
      <x:c r="B149" s="16" t="str">
        <x:v>Mardin</x:v>
      </x:c>
      <x:c r="C149" s="16" t="str">
        <x:v>Doğrulandı</x:v>
      </x:c>
      <x:c r="D149" s="16" t="str">
        <x:v>Ürün kaydı</x:v>
      </x:c>
      <x:c r="E149" s="16" t="str">
        <x:v>Damlasakızlı Türk Kahvesi Teneke Kutu 250 gr (ART00102025044)</x:v>
      </x:c>
      <x:c r="F149" s="16" t="str">
        <x:v>Menşe belirtilmemiş</x:v>
      </x:c>
      <x:c r="G149" s="17" t="n">
        <x:v>250</x:v>
      </x:c>
      <x:c r="H149" s="16" t="str">
        <x:v>Erişildi</x:v>
      </x:c>
      <x:c r="I149" s="18" t="n">
        <x:v>0</x:v>
      </x:c>
      <x:c r="J149" s="18" t="str">
        <x:v>Erişilemedi</x:v>
      </x:c>
      <x:c r="K149" s="18" t="n">
        <x:f>IF(AND(ISNUMBER(G149),ISNUMBER(I149)),I149/G149*1000,"Erişilemedi")</x:f>
        <x:v>0</x:v>
      </x:c>
      <x:c r="L149" s="16" t="str">
        <x:v>Belirsiz</x:v>
      </x:c>
      <x:c r="M149" s="16" t="str">
        <x:v>Kahve ürünü</x:v>
      </x:c>
      <x:c r="N149" s="16" t="str">
        <x:v>Site haritası ürün sayfası</x:v>
      </x:c>
      <x:c r="O149" s="16" t="str">
        <x:v>Düşük</x:v>
      </x:c>
      <x:c r="P149" s="19" t="n">
        <x:v>46245</x:v>
      </x:c>
      <x:c r="Q149" s="20" t="str">
        <x:v>https://www.artukbey.com/damlasakizli-turk-kahvesi-teneke-kutu-250-gr-1340</x:v>
      </x:c>
      <x:c r="R149" s="20" t="str">
        <x:v>Ürün kimliği korundu; eksik alanlar erişilemedi olarak işaretlenecek.</x:v>
      </x:c>
    </x:row>
    <x:row r="150" ht="40" customHeight="1">
      <x:c r="A150" s="16" t="str">
        <x:v>Artukbey Kahve</x:v>
      </x:c>
      <x:c r="B150" s="16" t="str">
        <x:v>Mardin</x:v>
      </x:c>
      <x:c r="C150" s="16" t="str">
        <x:v>Doğrulandı</x:v>
      </x:c>
      <x:c r="D150" s="16" t="str">
        <x:v>Ürün kaydı</x:v>
      </x:c>
      <x:c r="E150" s="16" t="str">
        <x:v>Espresso Kahve Çekirdeği 1 Kg</x:v>
      </x:c>
      <x:c r="F150" s="16" t="str">
        <x:v>Menşe belirtilmemiş</x:v>
      </x:c>
      <x:c r="G150" s="17" t="n">
        <x:v>1000</x:v>
      </x:c>
      <x:c r="H150" s="16" t="str">
        <x:v>Erişildi</x:v>
      </x:c>
      <x:c r="I150" s="18" t="n">
        <x:v>999</x:v>
      </x:c>
      <x:c r="J150" s="18" t="str">
        <x:v>Erişildi</x:v>
      </x:c>
      <x:c r="K150" s="18" t="n">
        <x:f>IF(AND(ISNUMBER(G150),ISNUMBER(I150)),I150/G150*1000,"Erişilemedi")</x:f>
        <x:v>999</x:v>
      </x:c>
      <x:c r="L150" s="16" t="str">
        <x:v>Stokta</x:v>
      </x:c>
      <x:c r="M150" s="16" t="str">
        <x:v>Tek köken/ürün</x:v>
      </x:c>
      <x:c r="N150" s="16" t="str">
        <x:v>Site haritası + ürün JSON-LD</x:v>
      </x:c>
      <x:c r="O150" s="16" t="str">
        <x:v>Orta</x:v>
      </x:c>
      <x:c r="P150" s="19" t="n">
        <x:v>46245</x:v>
      </x:c>
      <x:c r="Q150" s="20" t="str">
        <x:v>https://www.artukbey.com/espresso-kahve-cekirdegi-1-kg-1217</x:v>
      </x:c>
      <x:c r="R150" s="20" t="str">
        <x:v>Tekil ürün sayfasındaki yapılandırılmış veriden çıkarıldı.</x:v>
      </x:c>
    </x:row>
    <x:row r="151" ht="40" customHeight="1">
      <x:c r="A151" s="16" t="str">
        <x:v>Artukbey Kahve</x:v>
      </x:c>
      <x:c r="B151" s="16" t="str">
        <x:v>Mardin</x:v>
      </x:c>
      <x:c r="C151" s="16" t="str">
        <x:v>Doğrulandı</x:v>
      </x:c>
      <x:c r="D151" s="16" t="str">
        <x:v>Ürün kaydı</x:v>
      </x:c>
      <x:c r="E151" s="16" t="str">
        <x:v>Espresso Kahve Çekirdeği 1 Kg (ART00104100015)</x:v>
      </x:c>
      <x:c r="F151" s="16" t="str">
        <x:v>Menşe belirtilmemiş</x:v>
      </x:c>
      <x:c r="G151" s="17" t="n">
        <x:v>1000</x:v>
      </x:c>
      <x:c r="H151" s="16" t="str">
        <x:v>Erişildi</x:v>
      </x:c>
      <x:c r="I151" s="18" t="n">
        <x:v>0</x:v>
      </x:c>
      <x:c r="J151" s="18" t="str">
        <x:v>Erişilemedi</x:v>
      </x:c>
      <x:c r="K151" s="18" t="n">
        <x:f>IF(AND(ISNUMBER(G151),ISNUMBER(I151)),I151/G151*1000,"Erişilemedi")</x:f>
        <x:v>0</x:v>
      </x:c>
      <x:c r="L151" s="16" t="str">
        <x:v>Belirsiz</x:v>
      </x:c>
      <x:c r="M151" s="16" t="str">
        <x:v>Kahve ürünü</x:v>
      </x:c>
      <x:c r="N151" s="16" t="str">
        <x:v>Site haritası ürün sayfası</x:v>
      </x:c>
      <x:c r="O151" s="16" t="str">
        <x:v>Düşük</x:v>
      </x:c>
      <x:c r="P151" s="19" t="n">
        <x:v>46245</x:v>
      </x:c>
      <x:c r="Q151" s="20" t="str">
        <x:v>https://www.artukbey.com/espresso-kahve-cekirdegi-1-kg-1217</x:v>
      </x:c>
      <x:c r="R151" s="20" t="str">
        <x:v>Ürün kimliği korundu; eksik alanlar erişilemedi olarak işaretlenecek.</x:v>
      </x:c>
    </x:row>
    <x:row r="152" ht="40" customHeight="1">
      <x:c r="A152" s="16" t="str">
        <x:v>Artukbey Kahve</x:v>
      </x:c>
      <x:c r="B152" s="16" t="str">
        <x:v>Mardin</x:v>
      </x:c>
      <x:c r="C152" s="16" t="str">
        <x:v>Doğrulandı</x:v>
      </x:c>
      <x:c r="D152" s="16" t="str">
        <x:v>Ürün kaydı</x:v>
      </x:c>
      <x:c r="E152" s="16" t="str">
        <x:v>Ethiopia (Filtre Kahve Çekirdeği) 250 Gr</x:v>
      </x:c>
      <x:c r="F152" s="16" t="str">
        <x:v>Etiyopya</x:v>
      </x:c>
      <x:c r="G152" s="17" t="n">
        <x:v>250</x:v>
      </x:c>
      <x:c r="H152" s="16" t="str">
        <x:v>Erişildi</x:v>
      </x:c>
      <x:c r="I152" s="18" t="n">
        <x:v>469</x:v>
      </x:c>
      <x:c r="J152" s="18" t="str">
        <x:v>Erişildi</x:v>
      </x:c>
      <x:c r="K152" s="18" t="n">
        <x:f>IF(AND(ISNUMBER(G152),ISNUMBER(I152)),I152/G152*1000,"Erişilemedi")</x:f>
        <x:v>1876</x:v>
      </x:c>
      <x:c r="L152" s="16" t="str">
        <x:v>Stokta</x:v>
      </x:c>
      <x:c r="M152" s="16" t="str">
        <x:v>Tek köken/ürün</x:v>
      </x:c>
      <x:c r="N152" s="16" t="str">
        <x:v>Site haritası + ürün JSON-LD</x:v>
      </x:c>
      <x:c r="O152" s="16" t="str">
        <x:v>Orta</x:v>
      </x:c>
      <x:c r="P152" s="19" t="n">
        <x:v>46245</x:v>
      </x:c>
      <x:c r="Q152" s="20" t="str">
        <x:v>https://www.artukbey.com/ethiopia-filtre-kahve-cekirdegi-250-gr-1241</x:v>
      </x:c>
      <x:c r="R152" s="20" t="str">
        <x:v>Tekil ürün sayfasındaki yapılandırılmış veriden çıkarıldı.</x:v>
      </x:c>
    </x:row>
    <x:row r="153" ht="40" customHeight="1">
      <x:c r="A153" s="16" t="str">
        <x:v>Artukbey Kahve</x:v>
      </x:c>
      <x:c r="B153" s="16" t="str">
        <x:v>Mardin</x:v>
      </x:c>
      <x:c r="C153" s="16" t="str">
        <x:v>Doğrulandı</x:v>
      </x:c>
      <x:c r="D153" s="16" t="str">
        <x:v>Ürün kaydı</x:v>
      </x:c>
      <x:c r="E153" s="16" t="str">
        <x:v>Ethiopia (Filtre Kahve Çekirdeği) 250 Gr (ART00103025007)</x:v>
      </x:c>
      <x:c r="F153" s="16" t="str">
        <x:v>Etiyopya</x:v>
      </x:c>
      <x:c r="G153" s="17" t="n">
        <x:v>250</x:v>
      </x:c>
      <x:c r="H153" s="16" t="str">
        <x:v>Erişildi</x:v>
      </x:c>
      <x:c r="I153" s="18" t="n">
        <x:v>0</x:v>
      </x:c>
      <x:c r="J153" s="18" t="str">
        <x:v>Erişilemedi</x:v>
      </x:c>
      <x:c r="K153" s="18" t="n">
        <x:f>IF(AND(ISNUMBER(G153),ISNUMBER(I153)),I153/G153*1000,"Erişilemedi")</x:f>
        <x:v>0</x:v>
      </x:c>
      <x:c r="L153" s="16" t="str">
        <x:v>Belirsiz</x:v>
      </x:c>
      <x:c r="M153" s="16" t="str">
        <x:v>Kahve ürünü</x:v>
      </x:c>
      <x:c r="N153" s="16" t="str">
        <x:v>Site haritası ürün sayfası</x:v>
      </x:c>
      <x:c r="O153" s="16" t="str">
        <x:v>Düşük</x:v>
      </x:c>
      <x:c r="P153" s="19" t="n">
        <x:v>46245</x:v>
      </x:c>
      <x:c r="Q153" s="20" t="str">
        <x:v>https://www.artukbey.com/ethiopia-filtre-kahve-cekirdegi-250-gr-1241</x:v>
      </x:c>
      <x:c r="R153" s="20" t="str">
        <x:v>Ürün kimliği korundu; eksik alanlar erişilemedi olarak işaretlenecek.</x:v>
      </x:c>
    </x:row>
    <x:row r="154" ht="40" customHeight="1">
      <x:c r="A154" s="16" t="str">
        <x:v>Artukbey Kahve</x:v>
      </x:c>
      <x:c r="B154" s="16" t="str">
        <x:v>Mardin</x:v>
      </x:c>
      <x:c r="C154" s="16" t="str">
        <x:v>Doğrulandı</x:v>
      </x:c>
      <x:c r="D154" s="16" t="str">
        <x:v>Ürün kaydı</x:v>
      </x:c>
      <x:c r="E154" s="16" t="str">
        <x:v>Gold Kahve (40 adet*2 gr) (ART00104000024)</x:v>
      </x:c>
      <x:c r="F154" s="16" t="str">
        <x:v>Menşe belirtilmemiş</x:v>
      </x:c>
      <x:c r="G154" s="17" t="str">
        <x:v>Erişilemedi</x:v>
      </x:c>
      <x:c r="H154" s="16" t="str">
        <x:v>Erişilemedi</x:v>
      </x:c>
      <x:c r="I154" s="18" t="n">
        <x:v>0</x:v>
      </x:c>
      <x:c r="J154" s="18" t="str">
        <x:v>Erişilemedi</x:v>
      </x:c>
      <x:c r="K154" s="18" t="str">
        <x:f>IF(AND(ISNUMBER(G154),ISNUMBER(I154)),I154/G154*1000,"Erişilemedi")</x:f>
        <x:v>Erişilemedi</x:v>
      </x:c>
      <x:c r="L154" s="16" t="str">
        <x:v>Belirsiz</x:v>
      </x:c>
      <x:c r="M154" s="16" t="str">
        <x:v>Kahve ürünü</x:v>
      </x:c>
      <x:c r="N154" s="16" t="str">
        <x:v>Site haritası ürün sayfası</x:v>
      </x:c>
      <x:c r="O154" s="16" t="str">
        <x:v>Düşük</x:v>
      </x:c>
      <x:c r="P154" s="19" t="n">
        <x:v>46245</x:v>
      </x:c>
      <x:c r="Q154" s="20" t="str">
        <x:v>https://www.artukbey.com/gold-kahve-40-adet2-gr1</x:v>
      </x:c>
      <x:c r="R154" s="20" t="str">
        <x:v>Ürün kimliği korundu; eksik alanlar erişilemedi olarak işaretlenecek.</x:v>
      </x:c>
    </x:row>
    <x:row r="155" ht="40" customHeight="1">
      <x:c r="A155" s="16" t="str">
        <x:v>Artukbey Kahve</x:v>
      </x:c>
      <x:c r="B155" s="16" t="str">
        <x:v>Mardin</x:v>
      </x:c>
      <x:c r="C155" s="16" t="str">
        <x:v>Doğrulandı</x:v>
      </x:c>
      <x:c r="D155" s="16" t="str">
        <x:v>Ürün kaydı</x:v>
      </x:c>
      <x:c r="E155" s="16" t="str">
        <x:v>Kahve Kreması (Süt tozu) 1 Kg</x:v>
      </x:c>
      <x:c r="F155" s="16" t="str">
        <x:v>Menşe belirtilmemiş</x:v>
      </x:c>
      <x:c r="G155" s="17" t="n">
        <x:v>1000</x:v>
      </x:c>
      <x:c r="H155" s="16" t="str">
        <x:v>Erişildi</x:v>
      </x:c>
      <x:c r="I155" s="18" t="n">
        <x:v>269</x:v>
      </x:c>
      <x:c r="J155" s="18" t="str">
        <x:v>Erişildi</x:v>
      </x:c>
      <x:c r="K155" s="18" t="n">
        <x:f>IF(AND(ISNUMBER(G155),ISNUMBER(I155)),I155/G155*1000,"Erişilemedi")</x:f>
        <x:v>269</x:v>
      </x:c>
      <x:c r="L155" s="16" t="str">
        <x:v>Stokta</x:v>
      </x:c>
      <x:c r="M155" s="16" t="str">
        <x:v>Tek köken/ürün</x:v>
      </x:c>
      <x:c r="N155" s="16" t="str">
        <x:v>Site haritası + ürün JSON-LD</x:v>
      </x:c>
      <x:c r="O155" s="16" t="str">
        <x:v>Orta</x:v>
      </x:c>
      <x:c r="P155" s="19" t="n">
        <x:v>46245</x:v>
      </x:c>
      <x:c r="Q155" s="20" t="str">
        <x:v>https://www.artukbey.com/kahve-kremasi-sut-tozu-1-kg-net845-gr</x:v>
      </x:c>
      <x:c r="R155" s="20" t="str">
        <x:v>Tekil ürün sayfasındaki yapılandırılmış veriden çıkarıldı.</x:v>
      </x:c>
    </x:row>
    <x:row r="156" ht="40" customHeight="1">
      <x:c r="A156" s="16" t="str">
        <x:v>Artukbey Kahve</x:v>
      </x:c>
      <x:c r="B156" s="16" t="str">
        <x:v>Mardin</x:v>
      </x:c>
      <x:c r="C156" s="16" t="str">
        <x:v>Doğrulandı</x:v>
      </x:c>
      <x:c r="D156" s="16" t="str">
        <x:v>Ürün kaydı</x:v>
      </x:c>
      <x:c r="E156" s="16" t="str">
        <x:v>Kahve Kreması (Süt tozu) 1 Kg (ART01403100001)</x:v>
      </x:c>
      <x:c r="F156" s="16" t="str">
        <x:v>Menşe belirtilmemiş</x:v>
      </x:c>
      <x:c r="G156" s="17" t="n">
        <x:v>1000</x:v>
      </x:c>
      <x:c r="H156" s="16" t="str">
        <x:v>Erişildi</x:v>
      </x:c>
      <x:c r="I156" s="18" t="n">
        <x:v>0</x:v>
      </x:c>
      <x:c r="J156" s="18" t="str">
        <x:v>Erişilemedi</x:v>
      </x:c>
      <x:c r="K156" s="18" t="n">
        <x:f>IF(AND(ISNUMBER(G156),ISNUMBER(I156)),I156/G156*1000,"Erişilemedi")</x:f>
        <x:v>0</x:v>
      </x:c>
      <x:c r="L156" s="16" t="str">
        <x:v>Belirsiz</x:v>
      </x:c>
      <x:c r="M156" s="16" t="str">
        <x:v>Kahve ürünü</x:v>
      </x:c>
      <x:c r="N156" s="16" t="str">
        <x:v>Site haritası ürün sayfası</x:v>
      </x:c>
      <x:c r="O156" s="16" t="str">
        <x:v>Düşük</x:v>
      </x:c>
      <x:c r="P156" s="19" t="n">
        <x:v>46245</x:v>
      </x:c>
      <x:c r="Q156" s="20" t="str">
        <x:v>https://www.artukbey.com/kahve-kremasi-sut-tozu-1-kg-net845-gr</x:v>
      </x:c>
      <x:c r="R156" s="20" t="str">
        <x:v>Ürün kimliği korundu; eksik alanlar erişilemedi olarak işaretlenecek.</x:v>
      </x:c>
    </x:row>
    <x:row r="157" ht="40" customHeight="1">
      <x:c r="A157" s="16" t="str">
        <x:v>Artukbey Kahve</x:v>
      </x:c>
      <x:c r="B157" s="16" t="str">
        <x:v>Mardin</x:v>
      </x:c>
      <x:c r="C157" s="16" t="str">
        <x:v>Doğrulandı</x:v>
      </x:c>
      <x:c r="D157" s="16" t="str">
        <x:v>Ürün kaydı</x:v>
      </x:c>
      <x:c r="E157" s="16" t="str">
        <x:v>Kahve Kreması (Süt tozu) 250 Gr</x:v>
      </x:c>
      <x:c r="F157" s="16" t="str">
        <x:v>Menşe belirtilmemiş</x:v>
      </x:c>
      <x:c r="G157" s="17" t="n">
        <x:v>250</x:v>
      </x:c>
      <x:c r="H157" s="16" t="str">
        <x:v>Erişildi</x:v>
      </x:c>
      <x:c r="I157" s="18" t="n">
        <x:v>119</x:v>
      </x:c>
      <x:c r="J157" s="18" t="str">
        <x:v>Erişildi</x:v>
      </x:c>
      <x:c r="K157" s="18" t="n">
        <x:f>IF(AND(ISNUMBER(G157),ISNUMBER(I157)),I157/G157*1000,"Erişilemedi")</x:f>
        <x:v>476</x:v>
      </x:c>
      <x:c r="L157" s="16" t="str">
        <x:v>Stokta</x:v>
      </x:c>
      <x:c r="M157" s="16" t="str">
        <x:v>Tek köken/ürün</x:v>
      </x:c>
      <x:c r="N157" s="16" t="str">
        <x:v>Site haritası + ürün JSON-LD</x:v>
      </x:c>
      <x:c r="O157" s="16" t="str">
        <x:v>Orta</x:v>
      </x:c>
      <x:c r="P157" s="19" t="n">
        <x:v>46245</x:v>
      </x:c>
      <x:c r="Q157" s="20" t="str">
        <x:v>https://www.artukbey.com/kahve-kremasi-sut-tozu-250-gr-934</x:v>
      </x:c>
      <x:c r="R157" s="20" t="str">
        <x:v>Tekil ürün sayfasındaki yapılandırılmış veriden çıkarıldı.</x:v>
      </x:c>
    </x:row>
    <x:row r="158" ht="40" customHeight="1">
      <x:c r="A158" s="16" t="str">
        <x:v>Artukbey Kahve</x:v>
      </x:c>
      <x:c r="B158" s="16" t="str">
        <x:v>Mardin</x:v>
      </x:c>
      <x:c r="C158" s="16" t="str">
        <x:v>Doğrulandı</x:v>
      </x:c>
      <x:c r="D158" s="16" t="str">
        <x:v>Ürün kaydı</x:v>
      </x:c>
      <x:c r="E158" s="16" t="str">
        <x:v>Kahve Kreması (Süt tozu) 250 Gr (ART01403025002)</x:v>
      </x:c>
      <x:c r="F158" s="16" t="str">
        <x:v>Menşe belirtilmemiş</x:v>
      </x:c>
      <x:c r="G158" s="17" t="n">
        <x:v>250</x:v>
      </x:c>
      <x:c r="H158" s="16" t="str">
        <x:v>Erişildi</x:v>
      </x:c>
      <x:c r="I158" s="18" t="n">
        <x:v>0</x:v>
      </x:c>
      <x:c r="J158" s="18" t="str">
        <x:v>Erişilemedi</x:v>
      </x:c>
      <x:c r="K158" s="18" t="n">
        <x:f>IF(AND(ISNUMBER(G158),ISNUMBER(I158)),I158/G158*1000,"Erişilemedi")</x:f>
        <x:v>0</x:v>
      </x:c>
      <x:c r="L158" s="16" t="str">
        <x:v>Belirsiz</x:v>
      </x:c>
      <x:c r="M158" s="16" t="str">
        <x:v>Kahve ürünü</x:v>
      </x:c>
      <x:c r="N158" s="16" t="str">
        <x:v>Site haritası ürün sayfası</x:v>
      </x:c>
      <x:c r="O158" s="16" t="str">
        <x:v>Düşük</x:v>
      </x:c>
      <x:c r="P158" s="19" t="n">
        <x:v>46245</x:v>
      </x:c>
      <x:c r="Q158" s="20" t="str">
        <x:v>https://www.artukbey.com/kahve-kremasi-sut-tozu-250-gr-934</x:v>
      </x:c>
      <x:c r="R158" s="20" t="str">
        <x:v>Ürün kimliği korundu; eksik alanlar erişilemedi olarak işaretlenecek.</x:v>
      </x:c>
    </x:row>
    <x:row r="159" ht="40" customHeight="1">
      <x:c r="A159" s="16" t="str">
        <x:v>Artukbey Kahve</x:v>
      </x:c>
      <x:c r="B159" s="16" t="str">
        <x:v>Mardin</x:v>
      </x:c>
      <x:c r="C159" s="16" t="str">
        <x:v>Doğrulandı</x:v>
      </x:c>
      <x:c r="D159" s="16" t="str">
        <x:v>Ürün kaydı</x:v>
      </x:c>
      <x:c r="E159" s="16" t="str">
        <x:v>Kahve Kreması (Süt tozu) 500 Gr</x:v>
      </x:c>
      <x:c r="F159" s="16" t="str">
        <x:v>Menşe belirtilmemiş</x:v>
      </x:c>
      <x:c r="G159" s="17" t="n">
        <x:v>500</x:v>
      </x:c>
      <x:c r="H159" s="16" t="str">
        <x:v>Erişildi</x:v>
      </x:c>
      <x:c r="I159" s="18" t="n">
        <x:v>169</x:v>
      </x:c>
      <x:c r="J159" s="18" t="str">
        <x:v>Erişildi</x:v>
      </x:c>
      <x:c r="K159" s="18" t="n">
        <x:f>IF(AND(ISNUMBER(G159),ISNUMBER(I159)),I159/G159*1000,"Erişilemedi")</x:f>
        <x:v>338</x:v>
      </x:c>
      <x:c r="L159" s="16" t="str">
        <x:v>Stokta</x:v>
      </x:c>
      <x:c r="M159" s="16" t="str">
        <x:v>Tek köken/ürün</x:v>
      </x:c>
      <x:c r="N159" s="16" t="str">
        <x:v>Site haritası + ürün JSON-LD</x:v>
      </x:c>
      <x:c r="O159" s="16" t="str">
        <x:v>Orta</x:v>
      </x:c>
      <x:c r="P159" s="19" t="n">
        <x:v>46245</x:v>
      </x:c>
      <x:c r="Q159" s="20" t="str">
        <x:v>https://www.artukbey.com/kahve-kremasi-sut-tozu-500-gr-net405-gr</x:v>
      </x:c>
      <x:c r="R159" s="20" t="str">
        <x:v>Tekil ürün sayfasındaki yapılandırılmış veriden çıkarıldı.</x:v>
      </x:c>
    </x:row>
    <x:row r="160" ht="40" customHeight="1">
      <x:c r="A160" s="16" t="str">
        <x:v>Artukbey Kahve</x:v>
      </x:c>
      <x:c r="B160" s="16" t="str">
        <x:v>Mardin</x:v>
      </x:c>
      <x:c r="C160" s="16" t="str">
        <x:v>Doğrulandı</x:v>
      </x:c>
      <x:c r="D160" s="16" t="str">
        <x:v>Ürün kaydı</x:v>
      </x:c>
      <x:c r="E160" s="16" t="str">
        <x:v>Kahve Kreması (Süt tozu) 500 Gr (ART01403050003)</x:v>
      </x:c>
      <x:c r="F160" s="16" t="str">
        <x:v>Menşe belirtilmemiş</x:v>
      </x:c>
      <x:c r="G160" s="17" t="n">
        <x:v>500</x:v>
      </x:c>
      <x:c r="H160" s="16" t="str">
        <x:v>Erişildi</x:v>
      </x:c>
      <x:c r="I160" s="18" t="n">
        <x:v>0</x:v>
      </x:c>
      <x:c r="J160" s="18" t="str">
        <x:v>Erişilemedi</x:v>
      </x:c>
      <x:c r="K160" s="18" t="n">
        <x:f>IF(AND(ISNUMBER(G160),ISNUMBER(I160)),I160/G160*1000,"Erişilemedi")</x:f>
        <x:v>0</x:v>
      </x:c>
      <x:c r="L160" s="16" t="str">
        <x:v>Belirsiz</x:v>
      </x:c>
      <x:c r="M160" s="16" t="str">
        <x:v>Kahve ürünü</x:v>
      </x:c>
      <x:c r="N160" s="16" t="str">
        <x:v>Site haritası ürün sayfası</x:v>
      </x:c>
      <x:c r="O160" s="16" t="str">
        <x:v>Düşük</x:v>
      </x:c>
      <x:c r="P160" s="19" t="n">
        <x:v>46245</x:v>
      </x:c>
      <x:c r="Q160" s="20" t="str">
        <x:v>https://www.artukbey.com/kahve-kremasi-sut-tozu-500-gr-net405-gr</x:v>
      </x:c>
      <x:c r="R160" s="20" t="str">
        <x:v>Ürün kimliği korundu; eksik alanlar erişilemedi olarak işaretlenecek.</x:v>
      </x:c>
    </x:row>
    <x:row r="161" ht="40" customHeight="1">
      <x:c r="A161" s="16" t="str">
        <x:v>Artukbey Kahve</x:v>
      </x:c>
      <x:c r="B161" s="16" t="str">
        <x:v>Mardin</x:v>
      </x:c>
      <x:c r="C161" s="16" t="str">
        <x:v>Doğrulandı</x:v>
      </x:c>
      <x:c r="D161" s="16" t="str">
        <x:v>Ürün kaydı</x:v>
      </x:c>
      <x:c r="E161" s="16" t="str">
        <x:v>Kahveli Sarma Lokum 1 kg</x:v>
      </x:c>
      <x:c r="F161" s="16" t="str">
        <x:v>Menşe belirtilmemiş</x:v>
      </x:c>
      <x:c r="G161" s="17" t="n">
        <x:v>1000</x:v>
      </x:c>
      <x:c r="H161" s="16" t="str">
        <x:v>Erişildi</x:v>
      </x:c>
      <x:c r="I161" s="18" t="n">
        <x:v>499</x:v>
      </x:c>
      <x:c r="J161" s="18" t="str">
        <x:v>Erişildi</x:v>
      </x:c>
      <x:c r="K161" s="18" t="n">
        <x:f>IF(AND(ISNUMBER(G161),ISNUMBER(I161)),I161/G161*1000,"Erişilemedi")</x:f>
        <x:v>499</x:v>
      </x:c>
      <x:c r="L161" s="16" t="str">
        <x:v>Stokta</x:v>
      </x:c>
      <x:c r="M161" s="16" t="str">
        <x:v>Tek köken/ürün</x:v>
      </x:c>
      <x:c r="N161" s="16" t="str">
        <x:v>Site haritası + ürün JSON-LD</x:v>
      </x:c>
      <x:c r="O161" s="16" t="str">
        <x:v>Orta</x:v>
      </x:c>
      <x:c r="P161" s="19" t="n">
        <x:v>46245</x:v>
      </x:c>
      <x:c r="Q161" s="20" t="str">
        <x:v>https://www.artukbey.com/kahveli-sarma-lokum-1-kg-net-845-gr</x:v>
      </x:c>
      <x:c r="R161" s="20" t="str">
        <x:v>Tekil ürün sayfasındaki yapılandırılmış veriden çıkarıldı.</x:v>
      </x:c>
    </x:row>
    <x:row r="162" ht="40" customHeight="1">
      <x:c r="A162" s="16" t="str">
        <x:v>Artukbey Kahve</x:v>
      </x:c>
      <x:c r="B162" s="16" t="str">
        <x:v>Mardin</x:v>
      </x:c>
      <x:c r="C162" s="16" t="str">
        <x:v>Doğrulandı</x:v>
      </x:c>
      <x:c r="D162" s="16" t="str">
        <x:v>Ürün kaydı</x:v>
      </x:c>
      <x:c r="E162" s="16" t="str">
        <x:v>Kahveli Sarma Lokum 1 kg (ART00505100006)</x:v>
      </x:c>
      <x:c r="F162" s="16" t="str">
        <x:v>Menşe belirtilmemiş</x:v>
      </x:c>
      <x:c r="G162" s="17" t="n">
        <x:v>1000</x:v>
      </x:c>
      <x:c r="H162" s="16" t="str">
        <x:v>Erişildi</x:v>
      </x:c>
      <x:c r="I162" s="18" t="n">
        <x:v>0</x:v>
      </x:c>
      <x:c r="J162" s="18" t="str">
        <x:v>Erişilemedi</x:v>
      </x:c>
      <x:c r="K162" s="18" t="n">
        <x:f>IF(AND(ISNUMBER(G162),ISNUMBER(I162)),I162/G162*1000,"Erişilemedi")</x:f>
        <x:v>0</x:v>
      </x:c>
      <x:c r="L162" s="16" t="str">
        <x:v>Belirsiz</x:v>
      </x:c>
      <x:c r="M162" s="16" t="str">
        <x:v>Kahve ürünü</x:v>
      </x:c>
      <x:c r="N162" s="16" t="str">
        <x:v>Site haritası ürün sayfası</x:v>
      </x:c>
      <x:c r="O162" s="16" t="str">
        <x:v>Düşük</x:v>
      </x:c>
      <x:c r="P162" s="19" t="n">
        <x:v>46245</x:v>
      </x:c>
      <x:c r="Q162" s="20" t="str">
        <x:v>https://www.artukbey.com/kahveli-sarma-lokum-1-kg-net-845-gr</x:v>
      </x:c>
      <x:c r="R162" s="20" t="str">
        <x:v>Ürün kimliği korundu; eksik alanlar erişilemedi olarak işaretlenecek.</x:v>
      </x:c>
    </x:row>
    <x:row r="163" ht="40" customHeight="1">
      <x:c r="A163" s="16" t="str">
        <x:v>Artukbey Kahve</x:v>
      </x:c>
      <x:c r="B163" s="16" t="str">
        <x:v>Mardin</x:v>
      </x:c>
      <x:c r="C163" s="16" t="str">
        <x:v>Doğrulandı</x:v>
      </x:c>
      <x:c r="D163" s="16" t="str">
        <x:v>Ürün kaydı</x:v>
      </x:c>
      <x:c r="E163" s="16" t="str">
        <x:v>Kahveli Sarma Lokum 250 Gr</x:v>
      </x:c>
      <x:c r="F163" s="16" t="str">
        <x:v>Menşe belirtilmemiş</x:v>
      </x:c>
      <x:c r="G163" s="17" t="n">
        <x:v>250</x:v>
      </x:c>
      <x:c r="H163" s="16" t="str">
        <x:v>Erişildi</x:v>
      </x:c>
      <x:c r="I163" s="18" t="n">
        <x:v>169</x:v>
      </x:c>
      <x:c r="J163" s="18" t="str">
        <x:v>Erişildi</x:v>
      </x:c>
      <x:c r="K163" s="18" t="n">
        <x:f>IF(AND(ISNUMBER(G163),ISNUMBER(I163)),I163/G163*1000,"Erişilemedi")</x:f>
        <x:v>676</x:v>
      </x:c>
      <x:c r="L163" s="16" t="str">
        <x:v>Stokta</x:v>
      </x:c>
      <x:c r="M163" s="16" t="str">
        <x:v>Tek köken/ürün</x:v>
      </x:c>
      <x:c r="N163" s="16" t="str">
        <x:v>Site haritası + ürün JSON-LD</x:v>
      </x:c>
      <x:c r="O163" s="16" t="str">
        <x:v>Orta</x:v>
      </x:c>
      <x:c r="P163" s="19" t="n">
        <x:v>46245</x:v>
      </x:c>
      <x:c r="Q163" s="20" t="str">
        <x:v>https://www.artukbey.com/kahveli-sarma-lokum-250-gr-1076</x:v>
      </x:c>
      <x:c r="R163" s="20" t="str">
        <x:v>Tekil ürün sayfasındaki yapılandırılmış veriden çıkarıldı.</x:v>
      </x:c>
    </x:row>
    <x:row r="164" ht="40" customHeight="1">
      <x:c r="A164" s="16" t="str">
        <x:v>Artukbey Kahve</x:v>
      </x:c>
      <x:c r="B164" s="16" t="str">
        <x:v>Mardin</x:v>
      </x:c>
      <x:c r="C164" s="16" t="str">
        <x:v>Doğrulandı</x:v>
      </x:c>
      <x:c r="D164" s="16" t="str">
        <x:v>Ürün kaydı</x:v>
      </x:c>
      <x:c r="E164" s="16" t="str">
        <x:v>Kahveli Sarma Lokum 250 Gr (ART00505025004)</x:v>
      </x:c>
      <x:c r="F164" s="16" t="str">
        <x:v>Menşe belirtilmemiş</x:v>
      </x:c>
      <x:c r="G164" s="17" t="n">
        <x:v>250</x:v>
      </x:c>
      <x:c r="H164" s="16" t="str">
        <x:v>Erişildi</x:v>
      </x:c>
      <x:c r="I164" s="18" t="n">
        <x:v>0</x:v>
      </x:c>
      <x:c r="J164" s="18" t="str">
        <x:v>Erişilemedi</x:v>
      </x:c>
      <x:c r="K164" s="18" t="n">
        <x:f>IF(AND(ISNUMBER(G164),ISNUMBER(I164)),I164/G164*1000,"Erişilemedi")</x:f>
        <x:v>0</x:v>
      </x:c>
      <x:c r="L164" s="16" t="str">
        <x:v>Belirsiz</x:v>
      </x:c>
      <x:c r="M164" s="16" t="str">
        <x:v>Kahve ürünü</x:v>
      </x:c>
      <x:c r="N164" s="16" t="str">
        <x:v>Site haritası ürün sayfası</x:v>
      </x:c>
      <x:c r="O164" s="16" t="str">
        <x:v>Düşük</x:v>
      </x:c>
      <x:c r="P164" s="19" t="n">
        <x:v>46245</x:v>
      </x:c>
      <x:c r="Q164" s="20" t="str">
        <x:v>https://www.artukbey.com/kahveli-sarma-lokum-250-gr-1076</x:v>
      </x:c>
      <x:c r="R164" s="20" t="str">
        <x:v>Ürün kimliği korundu; eksik alanlar erişilemedi olarak işaretlenecek.</x:v>
      </x:c>
    </x:row>
    <x:row r="165" ht="40" customHeight="1">
      <x:c r="A165" s="16" t="str">
        <x:v>Artukbey Kahve</x:v>
      </x:c>
      <x:c r="B165" s="16" t="str">
        <x:v>Mardin</x:v>
      </x:c>
      <x:c r="C165" s="16" t="str">
        <x:v>Doğrulandı</x:v>
      </x:c>
      <x:c r="D165" s="16" t="str">
        <x:v>Ürün kaydı</x:v>
      </x:c>
      <x:c r="E165" s="16" t="str">
        <x:v>Kahveli Sarma Lokum 500 Gr</x:v>
      </x:c>
      <x:c r="F165" s="16" t="str">
        <x:v>Menşe belirtilmemiş</x:v>
      </x:c>
      <x:c r="G165" s="17" t="n">
        <x:v>500</x:v>
      </x:c>
      <x:c r="H165" s="16" t="str">
        <x:v>Erişildi</x:v>
      </x:c>
      <x:c r="I165" s="18" t="n">
        <x:v>299</x:v>
      </x:c>
      <x:c r="J165" s="18" t="str">
        <x:v>Erişildi</x:v>
      </x:c>
      <x:c r="K165" s="18" t="n">
        <x:f>IF(AND(ISNUMBER(G165),ISNUMBER(I165)),I165/G165*1000,"Erişilemedi")</x:f>
        <x:v>598</x:v>
      </x:c>
      <x:c r="L165" s="16" t="str">
        <x:v>Stokta</x:v>
      </x:c>
      <x:c r="M165" s="16" t="str">
        <x:v>Tek köken/ürün</x:v>
      </x:c>
      <x:c r="N165" s="16" t="str">
        <x:v>Site haritası + ürün JSON-LD</x:v>
      </x:c>
      <x:c r="O165" s="16" t="str">
        <x:v>Orta</x:v>
      </x:c>
      <x:c r="P165" s="19" t="n">
        <x:v>46245</x:v>
      </x:c>
      <x:c r="Q165" s="20" t="str">
        <x:v>https://www.artukbey.com/kahveli-sarma-lokum-500-gr-net405-gr</x:v>
      </x:c>
      <x:c r="R165" s="20" t="str">
        <x:v>Tekil ürün sayfasındaki yapılandırılmış veriden çıkarıldı.</x:v>
      </x:c>
    </x:row>
    <x:row r="166" ht="40" customHeight="1">
      <x:c r="A166" s="16" t="str">
        <x:v>Artukbey Kahve</x:v>
      </x:c>
      <x:c r="B166" s="16" t="str">
        <x:v>Mardin</x:v>
      </x:c>
      <x:c r="C166" s="16" t="str">
        <x:v>Doğrulandı</x:v>
      </x:c>
      <x:c r="D166" s="16" t="str">
        <x:v>Ürün kaydı</x:v>
      </x:c>
      <x:c r="E166" s="16" t="str">
        <x:v>Kahveli Sarma Lokum 500 Gr (ART00505050005)</x:v>
      </x:c>
      <x:c r="F166" s="16" t="str">
        <x:v>Menşe belirtilmemiş</x:v>
      </x:c>
      <x:c r="G166" s="17" t="n">
        <x:v>500</x:v>
      </x:c>
      <x:c r="H166" s="16" t="str">
        <x:v>Erişildi</x:v>
      </x:c>
      <x:c r="I166" s="18" t="n">
        <x:v>0</x:v>
      </x:c>
      <x:c r="J166" s="18" t="str">
        <x:v>Erişilemedi</x:v>
      </x:c>
      <x:c r="K166" s="18" t="n">
        <x:f>IF(AND(ISNUMBER(G166),ISNUMBER(I166)),I166/G166*1000,"Erişilemedi")</x:f>
        <x:v>0</x:v>
      </x:c>
      <x:c r="L166" s="16" t="str">
        <x:v>Belirsiz</x:v>
      </x:c>
      <x:c r="M166" s="16" t="str">
        <x:v>Kahve ürünü</x:v>
      </x:c>
      <x:c r="N166" s="16" t="str">
        <x:v>Site haritası ürün sayfası</x:v>
      </x:c>
      <x:c r="O166" s="16" t="str">
        <x:v>Düşük</x:v>
      </x:c>
      <x:c r="P166" s="19" t="n">
        <x:v>46245</x:v>
      </x:c>
      <x:c r="Q166" s="20" t="str">
        <x:v>https://www.artukbey.com/kahveli-sarma-lokum-500-gr-net405-gr</x:v>
      </x:c>
      <x:c r="R166" s="20" t="str">
        <x:v>Ürün kimliği korundu; eksik alanlar erişilemedi olarak işaretlenecek.</x:v>
      </x:c>
    </x:row>
    <x:row r="167" ht="40" customHeight="1">
      <x:c r="A167" s="16" t="str">
        <x:v>Artukbey Kahve</x:v>
      </x:c>
      <x:c r="B167" s="16" t="str">
        <x:v>Mardin</x:v>
      </x:c>
      <x:c r="C167" s="16" t="str">
        <x:v>Doğrulandı</x:v>
      </x:c>
      <x:c r="D167" s="16" t="str">
        <x:v>Ürün kaydı</x:v>
      </x:c>
      <x:c r="E167" s="16" t="str">
        <x:v>Kenya (Filtre Kahve Çekirdeği) 250 Gr</x:v>
      </x:c>
      <x:c r="F167" s="16" t="str">
        <x:v>Kenya</x:v>
      </x:c>
      <x:c r="G167" s="17" t="n">
        <x:v>250</x:v>
      </x:c>
      <x:c r="H167" s="16" t="str">
        <x:v>Erişildi</x:v>
      </x:c>
      <x:c r="I167" s="18" t="n">
        <x:v>469</x:v>
      </x:c>
      <x:c r="J167" s="18" t="str">
        <x:v>Erişildi</x:v>
      </x:c>
      <x:c r="K167" s="18" t="n">
        <x:f>IF(AND(ISNUMBER(G167),ISNUMBER(I167)),I167/G167*1000,"Erişilemedi")</x:f>
        <x:v>1876</x:v>
      </x:c>
      <x:c r="L167" s="16" t="str">
        <x:v>Stokta</x:v>
      </x:c>
      <x:c r="M167" s="16" t="str">
        <x:v>Tek köken/ürün</x:v>
      </x:c>
      <x:c r="N167" s="16" t="str">
        <x:v>Site haritası + ürün JSON-LD</x:v>
      </x:c>
      <x:c r="O167" s="16" t="str">
        <x:v>Orta</x:v>
      </x:c>
      <x:c r="P167" s="19" t="n">
        <x:v>46245</x:v>
      </x:c>
      <x:c r="Q167" s="20" t="str">
        <x:v>https://www.artukbey.com/kenya-filtre-kahve-cekirdegi-250-gr-1222</x:v>
      </x:c>
      <x:c r="R167" s="20" t="str">
        <x:v>Tekil ürün sayfasındaki yapılandırılmış veriden çıkarıldı.</x:v>
      </x:c>
    </x:row>
    <x:row r="168" ht="40" customHeight="1">
      <x:c r="A168" s="16" t="str">
        <x:v>Artukbey Kahve</x:v>
      </x:c>
      <x:c r="B168" s="16" t="str">
        <x:v>Mardin</x:v>
      </x:c>
      <x:c r="C168" s="16" t="str">
        <x:v>Doğrulandı</x:v>
      </x:c>
      <x:c r="D168" s="16" t="str">
        <x:v>Ürün kaydı</x:v>
      </x:c>
      <x:c r="E168" s="16" t="str">
        <x:v>Kenya (Filtre Kahve Çekirdeği) 250 Gr (ART00104025017)</x:v>
      </x:c>
      <x:c r="F168" s="16" t="str">
        <x:v>Kenya</x:v>
      </x:c>
      <x:c r="G168" s="17" t="n">
        <x:v>250</x:v>
      </x:c>
      <x:c r="H168" s="16" t="str">
        <x:v>Erişildi</x:v>
      </x:c>
      <x:c r="I168" s="18" t="n">
        <x:v>0</x:v>
      </x:c>
      <x:c r="J168" s="18" t="str">
        <x:v>Erişilemedi</x:v>
      </x:c>
      <x:c r="K168" s="18" t="n">
        <x:f>IF(AND(ISNUMBER(G168),ISNUMBER(I168)),I168/G168*1000,"Erişilemedi")</x:f>
        <x:v>0</x:v>
      </x:c>
      <x:c r="L168" s="16" t="str">
        <x:v>Belirsiz</x:v>
      </x:c>
      <x:c r="M168" s="16" t="str">
        <x:v>Kahve ürünü</x:v>
      </x:c>
      <x:c r="N168" s="16" t="str">
        <x:v>Site haritası ürün sayfası</x:v>
      </x:c>
      <x:c r="O168" s="16" t="str">
        <x:v>Düşük</x:v>
      </x:c>
      <x:c r="P168" s="19" t="n">
        <x:v>46245</x:v>
      </x:c>
      <x:c r="Q168" s="20" t="str">
        <x:v>https://www.artukbey.com/kenya-filtre-kahve-cekirdegi-250-gr-1222</x:v>
      </x:c>
      <x:c r="R168" s="20" t="str">
        <x:v>Ürün kimliği korundu; eksik alanlar erişilemedi olarak işaretlenecek.</x:v>
      </x:c>
    </x:row>
    <x:row r="169" ht="40" customHeight="1">
      <x:c r="A169" s="16" t="str">
        <x:v>Artukbey Kahve</x:v>
      </x:c>
      <x:c r="B169" s="16" t="str">
        <x:v>Mardin</x:v>
      </x:c>
      <x:c r="C169" s="16" t="str">
        <x:v>Doğrulandı</x:v>
      </x:c>
      <x:c r="D169" s="16" t="str">
        <x:v>Ürün kaydı</x:v>
      </x:c>
      <x:c r="E169" s="16" t="str">
        <x:v>Menengiç Kahve 100gr (ART00102020022)</x:v>
      </x:c>
      <x:c r="F169" s="16" t="str">
        <x:v>Menşe belirtilmemiş</x:v>
      </x:c>
      <x:c r="G169" s="17" t="n">
        <x:v>100</x:v>
      </x:c>
      <x:c r="H169" s="16" t="str">
        <x:v>Erişildi</x:v>
      </x:c>
      <x:c r="I169" s="18" t="n">
        <x:v>0</x:v>
      </x:c>
      <x:c r="J169" s="18" t="str">
        <x:v>Erişilemedi</x:v>
      </x:c>
      <x:c r="K169" s="18" t="n">
        <x:f>IF(AND(ISNUMBER(G169),ISNUMBER(I169)),I169/G169*1000,"Erişilemedi")</x:f>
        <x:v>0</x:v>
      </x:c>
      <x:c r="L169" s="16" t="str">
        <x:v>Belirsiz</x:v>
      </x:c>
      <x:c r="M169" s="16" t="str">
        <x:v>Kahve ürünü</x:v>
      </x:c>
      <x:c r="N169" s="16" t="str">
        <x:v>Site haritası ürün sayfası</x:v>
      </x:c>
      <x:c r="O169" s="16" t="str">
        <x:v>Düşük</x:v>
      </x:c>
      <x:c r="P169" s="19" t="n">
        <x:v>46245</x:v>
      </x:c>
      <x:c r="Q169" s="20" t="str">
        <x:v>https://www.artukbey.com/menengic-kahve-100gr-34128</x:v>
      </x:c>
      <x:c r="R169" s="20" t="str">
        <x:v>Ürün kimliği korundu; eksik alanlar erişilemedi olarak işaretlenecek.</x:v>
      </x:c>
    </x:row>
    <x:row r="170" ht="40" customHeight="1">
      <x:c r="A170" s="16" t="str">
        <x:v>Artukbey Kahve</x:v>
      </x:c>
      <x:c r="B170" s="16" t="str">
        <x:v>Mardin</x:v>
      </x:c>
      <x:c r="C170" s="16" t="str">
        <x:v>Doğrulandı</x:v>
      </x:c>
      <x:c r="D170" s="16" t="str">
        <x:v>Ürün kaydı</x:v>
      </x:c>
      <x:c r="E170" s="16" t="str">
        <x:v>Sade Türk Kahvesi (Hazır Set) (ART00104000019)</x:v>
      </x:c>
      <x:c r="F170" s="16" t="str">
        <x:v>Menşe belirtilmemiş</x:v>
      </x:c>
      <x:c r="G170" s="17" t="str">
        <x:v>Erişilemedi</x:v>
      </x:c>
      <x:c r="H170" s="16" t="str">
        <x:v>Erişilemedi</x:v>
      </x:c>
      <x:c r="I170" s="18" t="n">
        <x:v>0</x:v>
      </x:c>
      <x:c r="J170" s="18" t="str">
        <x:v>Erişilemedi</x:v>
      </x:c>
      <x:c r="K170" s="18" t="str">
        <x:f>IF(AND(ISNUMBER(G170),ISNUMBER(I170)),I170/G170*1000,"Erişilemedi")</x:f>
        <x:v>Erişilemedi</x:v>
      </x:c>
      <x:c r="L170" s="16" t="str">
        <x:v>Belirsiz</x:v>
      </x:c>
      <x:c r="M170" s="16" t="str">
        <x:v>Kahve ürünü</x:v>
      </x:c>
      <x:c r="N170" s="16" t="str">
        <x:v>Site haritası ürün sayfası</x:v>
      </x:c>
      <x:c r="O170" s="16" t="str">
        <x:v>Düşük</x:v>
      </x:c>
      <x:c r="P170" s="19" t="n">
        <x:v>46245</x:v>
      </x:c>
      <x:c r="Q170" s="20" t="str">
        <x:v>https://www.artukbey.com/sade-turk-kahvesi-10lu-7-gr-hazir-set</x:v>
      </x:c>
      <x:c r="R170" s="20" t="str">
        <x:v>Ürün kimliği korundu; eksik alanlar erişilemedi olarak işaretlenecek.</x:v>
      </x:c>
    </x:row>
    <x:row r="171" ht="40" customHeight="1">
      <x:c r="A171" s="16" t="str">
        <x:v>Artukbey Kahve</x:v>
      </x:c>
      <x:c r="B171" s="16" t="str">
        <x:v>Mardin</x:v>
      </x:c>
      <x:c r="C171" s="16" t="str">
        <x:v>Doğrulandı</x:v>
      </x:c>
      <x:c r="D171" s="16" t="str">
        <x:v>Ürün kaydı</x:v>
      </x:c>
      <x:c r="E171" s="16" t="str">
        <x:v>Special Damla Sakızlı Dibek Kahvesi 300gr</x:v>
      </x:c>
      <x:c r="F171" s="16" t="str">
        <x:v>Menşe belirtilmemiş</x:v>
      </x:c>
      <x:c r="G171" s="17" t="n">
        <x:v>300</x:v>
      </x:c>
      <x:c r="H171" s="16" t="str">
        <x:v>Erişildi</x:v>
      </x:c>
      <x:c r="I171" s="18" t="n">
        <x:v>329</x:v>
      </x:c>
      <x:c r="J171" s="18" t="str">
        <x:v>Erişildi</x:v>
      </x:c>
      <x:c r="K171" s="18" t="n">
        <x:f>IF(AND(ISNUMBER(G171),ISNUMBER(I171)),I171/G171*1000,"Erişilemedi")</x:f>
        <x:v>1096.6666666666667</x:v>
      </x:c>
      <x:c r="L171" s="16" t="str">
        <x:v>Stokta</x:v>
      </x:c>
      <x:c r="M171" s="16" t="str">
        <x:v>Tek köken/ürün</x:v>
      </x:c>
      <x:c r="N171" s="16" t="str">
        <x:v>Site haritası + ürün JSON-LD</x:v>
      </x:c>
      <x:c r="O171" s="16" t="str">
        <x:v>Orta</x:v>
      </x:c>
      <x:c r="P171" s="19" t="n">
        <x:v>46245</x:v>
      </x:c>
      <x:c r="Q171" s="20" t="str">
        <x:v>https://www.artukbey.com/special-damla-sakizli-dibek-kahvesi-300gr</x:v>
      </x:c>
      <x:c r="R171" s="20" t="str">
        <x:v>Tekil ürün sayfasındaki yapılandırılmış veriden çıkarıldı.</x:v>
      </x:c>
    </x:row>
    <x:row r="172" ht="40" customHeight="1">
      <x:c r="A172" s="16" t="str">
        <x:v>Artukbey Kahve</x:v>
      </x:c>
      <x:c r="B172" s="16" t="str">
        <x:v>Mardin</x:v>
      </x:c>
      <x:c r="C172" s="16" t="str">
        <x:v>Doğrulandı</x:v>
      </x:c>
      <x:c r="D172" s="16" t="str">
        <x:v>Ürün kaydı</x:v>
      </x:c>
      <x:c r="E172" s="16" t="str">
        <x:v>Special Damla Sakızlı Dibek Kahvesi 300gr (ART00102040037)</x:v>
      </x:c>
      <x:c r="F172" s="16" t="str">
        <x:v>Menşe belirtilmemiş</x:v>
      </x:c>
      <x:c r="G172" s="17" t="n">
        <x:v>300</x:v>
      </x:c>
      <x:c r="H172" s="16" t="str">
        <x:v>Erişildi</x:v>
      </x:c>
      <x:c r="I172" s="18" t="n">
        <x:v>0</x:v>
      </x:c>
      <x:c r="J172" s="18" t="str">
        <x:v>Erişilemedi</x:v>
      </x:c>
      <x:c r="K172" s="18" t="n">
        <x:f>IF(AND(ISNUMBER(G172),ISNUMBER(I172)),I172/G172*1000,"Erişilemedi")</x:f>
        <x:v>0</x:v>
      </x:c>
      <x:c r="L172" s="16" t="str">
        <x:v>Belirsiz</x:v>
      </x:c>
      <x:c r="M172" s="16" t="str">
        <x:v>Kahve ürünü</x:v>
      </x:c>
      <x:c r="N172" s="16" t="str">
        <x:v>Site haritası ürün sayfası</x:v>
      </x:c>
      <x:c r="O172" s="16" t="str">
        <x:v>Düşük</x:v>
      </x:c>
      <x:c r="P172" s="19" t="n">
        <x:v>46245</x:v>
      </x:c>
      <x:c r="Q172" s="20" t="str">
        <x:v>https://www.artukbey.com/special-damla-sakizli-dibek-kahvesi-300gr</x:v>
      </x:c>
      <x:c r="R172" s="20" t="str">
        <x:v>Ürün kimliği korundu; eksik alanlar erişilemedi olarak işaretlenecek.</x:v>
      </x:c>
    </x:row>
    <x:row r="173" ht="40" customHeight="1">
      <x:c r="A173" s="16" t="str">
        <x:v>Artukbey Kahve</x:v>
      </x:c>
      <x:c r="B173" s="16" t="str">
        <x:v>Mardin</x:v>
      </x:c>
      <x:c r="C173" s="16" t="str">
        <x:v>Doğrulandı</x:v>
      </x:c>
      <x:c r="D173" s="16" t="str">
        <x:v>Ürün kaydı</x:v>
      </x:c>
      <x:c r="E173" s="16" t="str">
        <x:v>Special Damlasakızlı Dibek Kahvesi Teneke Kutu 250 gr (ART00102025042)</x:v>
      </x:c>
      <x:c r="F173" s="16" t="str">
        <x:v>Menşe belirtilmemiş</x:v>
      </x:c>
      <x:c r="G173" s="17" t="n">
        <x:v>250</x:v>
      </x:c>
      <x:c r="H173" s="16" t="str">
        <x:v>Erişildi</x:v>
      </x:c>
      <x:c r="I173" s="18" t="n">
        <x:v>0</x:v>
      </x:c>
      <x:c r="J173" s="18" t="str">
        <x:v>Erişilemedi</x:v>
      </x:c>
      <x:c r="K173" s="18" t="n">
        <x:f>IF(AND(ISNUMBER(G173),ISNUMBER(I173)),I173/G173*1000,"Erişilemedi")</x:f>
        <x:v>0</x:v>
      </x:c>
      <x:c r="L173" s="16" t="str">
        <x:v>Belirsiz</x:v>
      </x:c>
      <x:c r="M173" s="16" t="str">
        <x:v>Kahve ürünü</x:v>
      </x:c>
      <x:c r="N173" s="16" t="str">
        <x:v>Site haritası ürün sayfası</x:v>
      </x:c>
      <x:c r="O173" s="16" t="str">
        <x:v>Düşük</x:v>
      </x:c>
      <x:c r="P173" s="19" t="n">
        <x:v>46245</x:v>
      </x:c>
      <x:c r="Q173" s="20" t="str">
        <x:v>https://www.artukbey.com/special-damlasakizli-dibek-kahvesi-teneke-kutu-250-gr-1311</x:v>
      </x:c>
      <x:c r="R173" s="20" t="str">
        <x:v>Ürün kimliği korundu; eksik alanlar erişilemedi olarak işaretlenecek.</x:v>
      </x:c>
    </x:row>
    <x:row r="174" ht="40" customHeight="1">
      <x:c r="A174" s="16" t="str">
        <x:v>Artukbey Kahve</x:v>
      </x:c>
      <x:c r="B174" s="16" t="str">
        <x:v>Mardin</x:v>
      </x:c>
      <x:c r="C174" s="16" t="str">
        <x:v>Doğrulandı</x:v>
      </x:c>
      <x:c r="D174" s="16" t="str">
        <x:v>Ürün kaydı</x:v>
      </x:c>
      <x:c r="E174" s="16" t="str">
        <x:v>Special Dibek Kahvesi Kese 100gr (ART00102020040)</x:v>
      </x:c>
      <x:c r="F174" s="16" t="str">
        <x:v>Menşe belirtilmemiş</x:v>
      </x:c>
      <x:c r="G174" s="17" t="n">
        <x:v>100</x:v>
      </x:c>
      <x:c r="H174" s="16" t="str">
        <x:v>Erişildi</x:v>
      </x:c>
      <x:c r="I174" s="18" t="n">
        <x:v>0</x:v>
      </x:c>
      <x:c r="J174" s="18" t="str">
        <x:v>Erişilemedi</x:v>
      </x:c>
      <x:c r="K174" s="18" t="n">
        <x:f>IF(AND(ISNUMBER(G174),ISNUMBER(I174)),I174/G174*1000,"Erişilemedi")</x:f>
        <x:v>0</x:v>
      </x:c>
      <x:c r="L174" s="16" t="str">
        <x:v>Belirsiz</x:v>
      </x:c>
      <x:c r="M174" s="16" t="str">
        <x:v>Kahve ürünü</x:v>
      </x:c>
      <x:c r="N174" s="16" t="str">
        <x:v>Site haritası ürün sayfası</x:v>
      </x:c>
      <x:c r="O174" s="16" t="str">
        <x:v>Düşük</x:v>
      </x:c>
      <x:c r="P174" s="19" t="n">
        <x:v>46245</x:v>
      </x:c>
      <x:c r="Q174" s="20" t="str">
        <x:v>https://www.artukbey.com/special-dibek-kahvesi-kese-100gr1</x:v>
      </x:c>
      <x:c r="R174" s="20" t="str">
        <x:v>Ürün kimliği korundu; eksik alanlar erişilemedi olarak işaretlenecek.</x:v>
      </x:c>
    </x:row>
    <x:row r="175" ht="40" customHeight="1">
      <x:c r="A175" s="16" t="str">
        <x:v>Artukbey Kahve</x:v>
      </x:c>
      <x:c r="B175" s="16" t="str">
        <x:v>Mardin</x:v>
      </x:c>
      <x:c r="C175" s="16" t="str">
        <x:v>Doğrulandı</x:v>
      </x:c>
      <x:c r="D175" s="16" t="str">
        <x:v>Ürün kaydı</x:v>
      </x:c>
      <x:c r="E175" s="16" t="str">
        <x:v>Special Kahve 100 gr (ART00102020027)</x:v>
      </x:c>
      <x:c r="F175" s="16" t="str">
        <x:v>Menşe belirtilmemiş</x:v>
      </x:c>
      <x:c r="G175" s="17" t="n">
        <x:v>100</x:v>
      </x:c>
      <x:c r="H175" s="16" t="str">
        <x:v>Erişildi</x:v>
      </x:c>
      <x:c r="I175" s="18" t="n">
        <x:v>0</x:v>
      </x:c>
      <x:c r="J175" s="18" t="str">
        <x:v>Erişilemedi</x:v>
      </x:c>
      <x:c r="K175" s="18" t="n">
        <x:f>IF(AND(ISNUMBER(G175),ISNUMBER(I175)),I175/G175*1000,"Erişilemedi")</x:f>
        <x:v>0</x:v>
      </x:c>
      <x:c r="L175" s="16" t="str">
        <x:v>Belirsiz</x:v>
      </x:c>
      <x:c r="M175" s="16" t="str">
        <x:v>Kahve ürünü</x:v>
      </x:c>
      <x:c r="N175" s="16" t="str">
        <x:v>Site haritası ürün sayfası</x:v>
      </x:c>
      <x:c r="O175" s="16" t="str">
        <x:v>Düşük</x:v>
      </x:c>
      <x:c r="P175" s="19" t="n">
        <x:v>46245</x:v>
      </x:c>
      <x:c r="Q175" s="20" t="str">
        <x:v>https://www.artukbey.com/special-dibek-kahve-100-gr</x:v>
      </x:c>
      <x:c r="R175" s="20" t="str">
        <x:v>Ürün kimliği korundu; eksik alanlar erişilemedi olarak işaretlenecek.</x:v>
      </x:c>
    </x:row>
    <x:row r="176" ht="40" customHeight="1">
      <x:c r="A176" s="16" t="str">
        <x:v>Artukbey Kahve</x:v>
      </x:c>
      <x:c r="B176" s="16" t="str">
        <x:v>Mardin</x:v>
      </x:c>
      <x:c r="C176" s="16" t="str">
        <x:v>Doğrulandı</x:v>
      </x:c>
      <x:c r="D176" s="16" t="str">
        <x:v>Ürün kaydı</x:v>
      </x:c>
      <x:c r="E176" s="16" t="str">
        <x:v>Special Menengiç Dibek Kahvesi 250 gr</x:v>
      </x:c>
      <x:c r="F176" s="16" t="str">
        <x:v>Menşe belirtilmemiş</x:v>
      </x:c>
      <x:c r="G176" s="17" t="n">
        <x:v>250</x:v>
      </x:c>
      <x:c r="H176" s="16" t="str">
        <x:v>Erişildi</x:v>
      </x:c>
      <x:c r="I176" s="18" t="n">
        <x:v>269</x:v>
      </x:c>
      <x:c r="J176" s="18" t="str">
        <x:v>Erişildi</x:v>
      </x:c>
      <x:c r="K176" s="18" t="n">
        <x:f>IF(AND(ISNUMBER(G176),ISNUMBER(I176)),I176/G176*1000,"Erişilemedi")</x:f>
        <x:v>1076</x:v>
      </x:c>
      <x:c r="L176" s="16" t="str">
        <x:v>Stokta</x:v>
      </x:c>
      <x:c r="M176" s="16" t="str">
        <x:v>Tek köken/ürün</x:v>
      </x:c>
      <x:c r="N176" s="16" t="str">
        <x:v>Site haritası + ürün JSON-LD</x:v>
      </x:c>
      <x:c r="O176" s="16" t="str">
        <x:v>Orta</x:v>
      </x:c>
      <x:c r="P176" s="19" t="n">
        <x:v>46245</x:v>
      </x:c>
      <x:c r="Q176" s="20" t="str">
        <x:v>https://www.artukbey.com/special-menengic-dibek-kahvesi-250gr-1269</x:v>
      </x:c>
      <x:c r="R176" s="20" t="str">
        <x:v>Tekil ürün sayfasındaki yapılandırılmış veriden çıkarıldı.</x:v>
      </x:c>
    </x:row>
    <x:row r="177" ht="40" customHeight="1">
      <x:c r="A177" s="16" t="str">
        <x:v>Artukbey Kahve</x:v>
      </x:c>
      <x:c r="B177" s="16" t="str">
        <x:v>Mardin</x:v>
      </x:c>
      <x:c r="C177" s="16" t="str">
        <x:v>Doğrulandı</x:v>
      </x:c>
      <x:c r="D177" s="16" t="str">
        <x:v>Ürün kaydı</x:v>
      </x:c>
      <x:c r="E177" s="16" t="str">
        <x:v>Special Menengiç Dibek Kahvesi 250 gr (ART00102025040)</x:v>
      </x:c>
      <x:c r="F177" s="16" t="str">
        <x:v>Menşe belirtilmemiş</x:v>
      </x:c>
      <x:c r="G177" s="17" t="n">
        <x:v>250</x:v>
      </x:c>
      <x:c r="H177" s="16" t="str">
        <x:v>Erişildi</x:v>
      </x:c>
      <x:c r="I177" s="18" t="n">
        <x:v>0</x:v>
      </x:c>
      <x:c r="J177" s="18" t="str">
        <x:v>Erişilemedi</x:v>
      </x:c>
      <x:c r="K177" s="18" t="n">
        <x:f>IF(AND(ISNUMBER(G177),ISNUMBER(I177)),I177/G177*1000,"Erişilemedi")</x:f>
        <x:v>0</x:v>
      </x:c>
      <x:c r="L177" s="16" t="str">
        <x:v>Belirsiz</x:v>
      </x:c>
      <x:c r="M177" s="16" t="str">
        <x:v>Kahve ürünü</x:v>
      </x:c>
      <x:c r="N177" s="16" t="str">
        <x:v>Site haritası ürün sayfası</x:v>
      </x:c>
      <x:c r="O177" s="16" t="str">
        <x:v>Düşük</x:v>
      </x:c>
      <x:c r="P177" s="19" t="n">
        <x:v>46245</x:v>
      </x:c>
      <x:c r="Q177" s="20" t="str">
        <x:v>https://www.artukbey.com/special-menengic-dibek-kahvesi-250gr-1269</x:v>
      </x:c>
      <x:c r="R177" s="20" t="str">
        <x:v>Ürün kimliği korundu; eksik alanlar erişilemedi olarak işaretlenecek.</x:v>
      </x:c>
    </x:row>
    <x:row r="178" ht="40" customHeight="1">
      <x:c r="A178" s="16" t="str">
        <x:v>Artukbey Kahve</x:v>
      </x:c>
      <x:c r="B178" s="16" t="str">
        <x:v>Mardin</x:v>
      </x:c>
      <x:c r="C178" s="16" t="str">
        <x:v>Doğrulandı</x:v>
      </x:c>
      <x:c r="D178" s="16" t="str">
        <x:v>Ürün kaydı</x:v>
      </x:c>
      <x:c r="E178" s="16" t="str">
        <x:v>Süryani Dibek Kahve 300 gr</x:v>
      </x:c>
      <x:c r="F178" s="16" t="str">
        <x:v>Menşe belirtilmemiş</x:v>
      </x:c>
      <x:c r="G178" s="17" t="n">
        <x:v>300</x:v>
      </x:c>
      <x:c r="H178" s="16" t="str">
        <x:v>Erişildi</x:v>
      </x:c>
      <x:c r="I178" s="18" t="n">
        <x:v>329</x:v>
      </x:c>
      <x:c r="J178" s="18" t="str">
        <x:v>Erişildi</x:v>
      </x:c>
      <x:c r="K178" s="18" t="n">
        <x:f>IF(AND(ISNUMBER(G178),ISNUMBER(I178)),I178/G178*1000,"Erişilemedi")</x:f>
        <x:v>1096.6666666666667</x:v>
      </x:c>
      <x:c r="L178" s="16" t="str">
        <x:v>Stokta</x:v>
      </x:c>
      <x:c r="M178" s="16" t="str">
        <x:v>Tek köken/ürün</x:v>
      </x:c>
      <x:c r="N178" s="16" t="str">
        <x:v>Site haritası + ürün JSON-LD</x:v>
      </x:c>
      <x:c r="O178" s="16" t="str">
        <x:v>Orta</x:v>
      </x:c>
      <x:c r="P178" s="19" t="n">
        <x:v>46245</x:v>
      </x:c>
      <x:c r="Q178" s="20" t="str">
        <x:v>https://www.artukbey.com/artukbey-suryani-dibek-kahvesi-300-gr</x:v>
      </x:c>
      <x:c r="R178" s="20" t="str">
        <x:v>Tekil ürün sayfasındaki yapılandırılmış veriden çıkarıldı.</x:v>
      </x:c>
    </x:row>
    <x:row r="179" ht="40" customHeight="1">
      <x:c r="A179" s="16" t="str">
        <x:v>Artukbey Kahve</x:v>
      </x:c>
      <x:c r="B179" s="16" t="str">
        <x:v>Mardin</x:v>
      </x:c>
      <x:c r="C179" s="16" t="str">
        <x:v>Doğrulandı</x:v>
      </x:c>
      <x:c r="D179" s="16" t="str">
        <x:v>Ürün kaydı</x:v>
      </x:c>
      <x:c r="E179" s="16" t="str">
        <x:v>Süryani Dibek Kahve 300 gr (ART00102040033)</x:v>
      </x:c>
      <x:c r="F179" s="16" t="str">
        <x:v>Menşe belirtilmemiş</x:v>
      </x:c>
      <x:c r="G179" s="17" t="n">
        <x:v>300</x:v>
      </x:c>
      <x:c r="H179" s="16" t="str">
        <x:v>Erişildi</x:v>
      </x:c>
      <x:c r="I179" s="18" t="n">
        <x:v>0</x:v>
      </x:c>
      <x:c r="J179" s="18" t="str">
        <x:v>Erişilemedi</x:v>
      </x:c>
      <x:c r="K179" s="18" t="n">
        <x:f>IF(AND(ISNUMBER(G179),ISNUMBER(I179)),I179/G179*1000,"Erişilemedi")</x:f>
        <x:v>0</x:v>
      </x:c>
      <x:c r="L179" s="16" t="str">
        <x:v>Belirsiz</x:v>
      </x:c>
      <x:c r="M179" s="16" t="str">
        <x:v>Kahve ürünü</x:v>
      </x:c>
      <x:c r="N179" s="16" t="str">
        <x:v>Site haritası ürün sayfası</x:v>
      </x:c>
      <x:c r="O179" s="16" t="str">
        <x:v>Düşük</x:v>
      </x:c>
      <x:c r="P179" s="19" t="n">
        <x:v>46245</x:v>
      </x:c>
      <x:c r="Q179" s="20" t="str">
        <x:v>https://www.artukbey.com/artukbey-suryani-dibek-kahvesi-300-gr</x:v>
      </x:c>
      <x:c r="R179" s="20" t="str">
        <x:v>Ürün kimliği korundu; eksik alanlar erişilemedi olarak işaretlenecek.</x:v>
      </x:c>
    </x:row>
    <x:row r="180" ht="40" customHeight="1">
      <x:c r="A180" s="16" t="str">
        <x:v>Artukbey Kahve</x:v>
      </x:c>
      <x:c r="B180" s="16" t="str">
        <x:v>Mardin</x:v>
      </x:c>
      <x:c r="C180" s="16" t="str">
        <x:v>Doğrulandı</x:v>
      </x:c>
      <x:c r="D180" s="16" t="str">
        <x:v>Ürün kaydı</x:v>
      </x:c>
      <x:c r="E180" s="16" t="str">
        <x:v>Sütlü Türk Kahvesi (Hazır Set) (ART00104000023)</x:v>
      </x:c>
      <x:c r="F180" s="16" t="str">
        <x:v>Menşe belirtilmemiş</x:v>
      </x:c>
      <x:c r="G180" s="17" t="str">
        <x:v>Erişilemedi</x:v>
      </x:c>
      <x:c r="H180" s="16" t="str">
        <x:v>Erişilemedi</x:v>
      </x:c>
      <x:c r="I180" s="18" t="n">
        <x:v>0</x:v>
      </x:c>
      <x:c r="J180" s="18" t="str">
        <x:v>Erişilemedi</x:v>
      </x:c>
      <x:c r="K180" s="18" t="str">
        <x:f>IF(AND(ISNUMBER(G180),ISNUMBER(I180)),I180/G180*1000,"Erişilemedi")</x:f>
        <x:v>Erişilemedi</x:v>
      </x:c>
      <x:c r="L180" s="16" t="str">
        <x:v>Belirsiz</x:v>
      </x:c>
      <x:c r="M180" s="16" t="str">
        <x:v>Kahve ürünü</x:v>
      </x:c>
      <x:c r="N180" s="16" t="str">
        <x:v>Site haritası ürün sayfası</x:v>
      </x:c>
      <x:c r="O180" s="16" t="str">
        <x:v>Düşük</x:v>
      </x:c>
      <x:c r="P180" s="19" t="n">
        <x:v>46245</x:v>
      </x:c>
      <x:c r="Q180" s="20" t="str">
        <x:v>https://www.artukbey.com/sutlu-turk-kahvesi-hazir-set-1333</x:v>
      </x:c>
      <x:c r="R180" s="20" t="str">
        <x:v>Ürün kimliği korundu; eksik alanlar erişilemedi olarak işaretlenecek.</x:v>
      </x:c>
    </x:row>
    <x:row r="181" ht="40" customHeight="1">
      <x:c r="A181" s="16" t="str">
        <x:v>Artukbey Kahve</x:v>
      </x:c>
      <x:c r="B181" s="16" t="str">
        <x:v>Mardin</x:v>
      </x:c>
      <x:c r="C181" s="16" t="str">
        <x:v>Doğrulandı</x:v>
      </x:c>
      <x:c r="D181" s="16" t="str">
        <x:v>Ürün kaydı</x:v>
      </x:c>
      <x:c r="E181" s="16" t="str">
        <x:v>Türk Kahvesi (Açık) 1 Kg</x:v>
      </x:c>
      <x:c r="F181" s="16" t="str">
        <x:v>Menşe belirtilmemiş</x:v>
      </x:c>
      <x:c r="G181" s="17" t="n">
        <x:v>1000</x:v>
      </x:c>
      <x:c r="H181" s="16" t="str">
        <x:v>Erişildi</x:v>
      </x:c>
      <x:c r="I181" s="18" t="n">
        <x:v>849</x:v>
      </x:c>
      <x:c r="J181" s="18" t="str">
        <x:v>Erişildi</x:v>
      </x:c>
      <x:c r="K181" s="18" t="n">
        <x:f>IF(AND(ISNUMBER(G181),ISNUMBER(I181)),I181/G181*1000,"Erişilemedi")</x:f>
        <x:v>849</x:v>
      </x:c>
      <x:c r="L181" s="16" t="str">
        <x:v>Stokta</x:v>
      </x:c>
      <x:c r="M181" s="16" t="str">
        <x:v>Tek köken/ürün</x:v>
      </x:c>
      <x:c r="N181" s="16" t="str">
        <x:v>Site haritası + ürün JSON-LD</x:v>
      </x:c>
      <x:c r="O181" s="16" t="str">
        <x:v>Orta</x:v>
      </x:c>
      <x:c r="P181" s="19" t="n">
        <x:v>46245</x:v>
      </x:c>
      <x:c r="Q181" s="20" t="str">
        <x:v>https://www.artukbey.com/turk-kahvesi-acik-1-kg-net845-gr</x:v>
      </x:c>
      <x:c r="R181" s="20" t="str">
        <x:v>Tekil ürün sayfasındaki yapılandırılmış veriden çıkarıldı.</x:v>
      </x:c>
    </x:row>
    <x:row r="182" ht="40" customHeight="1">
      <x:c r="A182" s="16" t="str">
        <x:v>Artukbey Kahve</x:v>
      </x:c>
      <x:c r="B182" s="16" t="str">
        <x:v>Mardin</x:v>
      </x:c>
      <x:c r="C182" s="16" t="str">
        <x:v>Doğrulandı</x:v>
      </x:c>
      <x:c r="D182" s="16" t="str">
        <x:v>Ürün kaydı</x:v>
      </x:c>
      <x:c r="E182" s="16" t="str">
        <x:v>Türk Kahvesi (Açık) 1 Kg (ART00105100003)</x:v>
      </x:c>
      <x:c r="F182" s="16" t="str">
        <x:v>Menşe belirtilmemiş</x:v>
      </x:c>
      <x:c r="G182" s="17" t="n">
        <x:v>1000</x:v>
      </x:c>
      <x:c r="H182" s="16" t="str">
        <x:v>Erişildi</x:v>
      </x:c>
      <x:c r="I182" s="18" t="n">
        <x:v>0</x:v>
      </x:c>
      <x:c r="J182" s="18" t="str">
        <x:v>Erişilemedi</x:v>
      </x:c>
      <x:c r="K182" s="18" t="n">
        <x:f>IF(AND(ISNUMBER(G182),ISNUMBER(I182)),I182/G182*1000,"Erişilemedi")</x:f>
        <x:v>0</x:v>
      </x:c>
      <x:c r="L182" s="16" t="str">
        <x:v>Belirsiz</x:v>
      </x:c>
      <x:c r="M182" s="16" t="str">
        <x:v>Kahve ürünü</x:v>
      </x:c>
      <x:c r="N182" s="16" t="str">
        <x:v>Site haritası ürün sayfası</x:v>
      </x:c>
      <x:c r="O182" s="16" t="str">
        <x:v>Düşük</x:v>
      </x:c>
      <x:c r="P182" s="19" t="n">
        <x:v>46245</x:v>
      </x:c>
      <x:c r="Q182" s="20" t="str">
        <x:v>https://www.artukbey.com/turk-kahvesi-acik-1-kg-net845-gr</x:v>
      </x:c>
      <x:c r="R182" s="20" t="str">
        <x:v>Ürün kimliği korundu; eksik alanlar erişilemedi olarak işaretlenecek.</x:v>
      </x:c>
    </x:row>
    <x:row r="183" ht="40" customHeight="1">
      <x:c r="A183" s="16" t="str">
        <x:v>Artukbey Kahve</x:v>
      </x:c>
      <x:c r="B183" s="16" t="str">
        <x:v>Mardin</x:v>
      </x:c>
      <x:c r="C183" s="16" t="str">
        <x:v>Doğrulandı</x:v>
      </x:c>
      <x:c r="D183" s="16" t="str">
        <x:v>Ürün kaydı</x:v>
      </x:c>
      <x:c r="E183" s="16" t="str">
        <x:v>Türk Kahvesi (Açık) 250 Gr</x:v>
      </x:c>
      <x:c r="F183" s="16" t="str">
        <x:v>Menşe belirtilmemiş</x:v>
      </x:c>
      <x:c r="G183" s="17" t="n">
        <x:v>250</x:v>
      </x:c>
      <x:c r="H183" s="16" t="str">
        <x:v>Erişildi</x:v>
      </x:c>
      <x:c r="I183" s="18" t="n">
        <x:v>229</x:v>
      </x:c>
      <x:c r="J183" s="18" t="str">
        <x:v>Erişildi</x:v>
      </x:c>
      <x:c r="K183" s="18" t="n">
        <x:f>IF(AND(ISNUMBER(G183),ISNUMBER(I183)),I183/G183*1000,"Erişilemedi")</x:f>
        <x:v>916</x:v>
      </x:c>
      <x:c r="L183" s="16" t="str">
        <x:v>Stokta</x:v>
      </x:c>
      <x:c r="M183" s="16" t="str">
        <x:v>Tek köken/ürün</x:v>
      </x:c>
      <x:c r="N183" s="16" t="str">
        <x:v>Site haritası + ürün JSON-LD</x:v>
      </x:c>
      <x:c r="O183" s="16" t="str">
        <x:v>Orta</x:v>
      </x:c>
      <x:c r="P183" s="19" t="n">
        <x:v>46245</x:v>
      </x:c>
      <x:c r="Q183" s="20" t="str">
        <x:v>https://www.artukbey.com/turk-kahvesi-acik-250-gr-1215</x:v>
      </x:c>
      <x:c r="R183" s="20" t="str">
        <x:v>Tekil ürün sayfasındaki yapılandırılmış veriden çıkarıldı.</x:v>
      </x:c>
    </x:row>
    <x:row r="184" ht="40" customHeight="1">
      <x:c r="A184" s="16" t="str">
        <x:v>Artukbey Kahve</x:v>
      </x:c>
      <x:c r="B184" s="16" t="str">
        <x:v>Mardin</x:v>
      </x:c>
      <x:c r="C184" s="16" t="str">
        <x:v>Doğrulandı</x:v>
      </x:c>
      <x:c r="D184" s="16" t="str">
        <x:v>Ürün kaydı</x:v>
      </x:c>
      <x:c r="E184" s="16" t="str">
        <x:v>Türk Kahvesi (Açık) 250 Gr (ART00105025002)</x:v>
      </x:c>
      <x:c r="F184" s="16" t="str">
        <x:v>Menşe belirtilmemiş</x:v>
      </x:c>
      <x:c r="G184" s="17" t="n">
        <x:v>250</x:v>
      </x:c>
      <x:c r="H184" s="16" t="str">
        <x:v>Erişildi</x:v>
      </x:c>
      <x:c r="I184" s="18" t="n">
        <x:v>0</x:v>
      </x:c>
      <x:c r="J184" s="18" t="str">
        <x:v>Erişilemedi</x:v>
      </x:c>
      <x:c r="K184" s="18" t="n">
        <x:f>IF(AND(ISNUMBER(G184),ISNUMBER(I184)),I184/G184*1000,"Erişilemedi")</x:f>
        <x:v>0</x:v>
      </x:c>
      <x:c r="L184" s="16" t="str">
        <x:v>Belirsiz</x:v>
      </x:c>
      <x:c r="M184" s="16" t="str">
        <x:v>Kahve ürünü</x:v>
      </x:c>
      <x:c r="N184" s="16" t="str">
        <x:v>Site haritası ürün sayfası</x:v>
      </x:c>
      <x:c r="O184" s="16" t="str">
        <x:v>Düşük</x:v>
      </x:c>
      <x:c r="P184" s="19" t="n">
        <x:v>46245</x:v>
      </x:c>
      <x:c r="Q184" s="20" t="str">
        <x:v>https://www.artukbey.com/turk-kahvesi-acik-250-gr-1215</x:v>
      </x:c>
      <x:c r="R184" s="20" t="str">
        <x:v>Ürün kimliği korundu; eksik alanlar erişilemedi olarak işaretlenecek.</x:v>
      </x:c>
    </x:row>
    <x:row r="185" ht="40" customHeight="1">
      <x:c r="A185" s="16" t="str">
        <x:v>Artukbey Kahve</x:v>
      </x:c>
      <x:c r="B185" s="16" t="str">
        <x:v>Mardin</x:v>
      </x:c>
      <x:c r="C185" s="16" t="str">
        <x:v>Doğrulandı</x:v>
      </x:c>
      <x:c r="D185" s="16" t="str">
        <x:v>Ürün kaydı</x:v>
      </x:c>
      <x:c r="E185" s="16" t="str">
        <x:v>Türk Kahvesi (Açık) 500 Gr</x:v>
      </x:c>
      <x:c r="F185" s="16" t="str">
        <x:v>Menşe belirtilmemiş</x:v>
      </x:c>
      <x:c r="G185" s="17" t="n">
        <x:v>500</x:v>
      </x:c>
      <x:c r="H185" s="16" t="str">
        <x:v>Erişildi</x:v>
      </x:c>
      <x:c r="I185" s="18" t="n">
        <x:v>449</x:v>
      </x:c>
      <x:c r="J185" s="18" t="str">
        <x:v>Erişildi</x:v>
      </x:c>
      <x:c r="K185" s="18" t="n">
        <x:f>IF(AND(ISNUMBER(G185),ISNUMBER(I185)),I185/G185*1000,"Erişilemedi")</x:f>
        <x:v>898</x:v>
      </x:c>
      <x:c r="L185" s="16" t="str">
        <x:v>Stokta</x:v>
      </x:c>
      <x:c r="M185" s="16" t="str">
        <x:v>Tek köken/ürün</x:v>
      </x:c>
      <x:c r="N185" s="16" t="str">
        <x:v>Site haritası + ürün JSON-LD</x:v>
      </x:c>
      <x:c r="O185" s="16" t="str">
        <x:v>Orta</x:v>
      </x:c>
      <x:c r="P185" s="19" t="n">
        <x:v>46245</x:v>
      </x:c>
      <x:c r="Q185" s="20" t="str">
        <x:v>https://www.artukbey.com/turk-kahvesi-acik-500-gr-net405-gr</x:v>
      </x:c>
      <x:c r="R185" s="20" t="str">
        <x:v>Tekil ürün sayfasındaki yapılandırılmış veriden çıkarıldı.</x:v>
      </x:c>
    </x:row>
    <x:row r="186" ht="40" customHeight="1">
      <x:c r="A186" s="16" t="str">
        <x:v>Artukbey Kahve</x:v>
      </x:c>
      <x:c r="B186" s="16" t="str">
        <x:v>Mardin</x:v>
      </x:c>
      <x:c r="C186" s="16" t="str">
        <x:v>Doğrulandı</x:v>
      </x:c>
      <x:c r="D186" s="16" t="str">
        <x:v>Ürün kaydı</x:v>
      </x:c>
      <x:c r="E186" s="16" t="str">
        <x:v>Türk Kahvesi (Açık) 500 Gr (ART00105050004)</x:v>
      </x:c>
      <x:c r="F186" s="16" t="str">
        <x:v>Menşe belirtilmemiş</x:v>
      </x:c>
      <x:c r="G186" s="17" t="n">
        <x:v>500</x:v>
      </x:c>
      <x:c r="H186" s="16" t="str">
        <x:v>Erişildi</x:v>
      </x:c>
      <x:c r="I186" s="18" t="n">
        <x:v>0</x:v>
      </x:c>
      <x:c r="J186" s="18" t="str">
        <x:v>Erişilemedi</x:v>
      </x:c>
      <x:c r="K186" s="18" t="n">
        <x:f>IF(AND(ISNUMBER(G186),ISNUMBER(I186)),I186/G186*1000,"Erişilemedi")</x:f>
        <x:v>0</x:v>
      </x:c>
      <x:c r="L186" s="16" t="str">
        <x:v>Belirsiz</x:v>
      </x:c>
      <x:c r="M186" s="16" t="str">
        <x:v>Kahve ürünü</x:v>
      </x:c>
      <x:c r="N186" s="16" t="str">
        <x:v>Site haritası ürün sayfası</x:v>
      </x:c>
      <x:c r="O186" s="16" t="str">
        <x:v>Düşük</x:v>
      </x:c>
      <x:c r="P186" s="19" t="n">
        <x:v>46245</x:v>
      </x:c>
      <x:c r="Q186" s="20" t="str">
        <x:v>https://www.artukbey.com/turk-kahvesi-acik-500-gr-net405-gr</x:v>
      </x:c>
      <x:c r="R186" s="20" t="str">
        <x:v>Ürün kimliği korundu; eksik alanlar erişilemedi olarak işaretlenecek.</x:v>
      </x:c>
    </x:row>
    <x:row r="187" ht="40" customHeight="1">
      <x:c r="A187" s="16" t="str">
        <x:v>Backfield Roasting Co.</x:v>
      </x:c>
      <x:c r="B187" s="16" t="str"/>
      <x:c r="C187" s="16" t="str">
        <x:v>Kısmi doğrulama</x:v>
      </x:c>
      <x:c r="D187" s="16" t="str">
        <x:v>Katalog takip kaydı</x:v>
      </x:c>
      <x:c r="E187" s="16" t="str">
        <x:v>Ürün kataloğu — ayrıntılı ürün verisine erişilemedi</x:v>
      </x:c>
      <x:c r="F187" s="16" t="str">
        <x:v>Erişilemedi</x:v>
      </x:c>
      <x:c r="G187" s="17" t="str">
        <x:v>Erişilemedi</x:v>
      </x:c>
      <x:c r="H187" s="16" t="str">
        <x:v>Erişilemedi</x:v>
      </x:c>
      <x:c r="I187" s="18" t="str">
        <x:v>Erişilemedi</x:v>
      </x:c>
      <x:c r="J187" s="18" t="str">
        <x:v>Erişilemedi</x:v>
      </x:c>
      <x:c r="K187" s="18" t="str">
        <x:f>IF(AND(ISNUMBER(G187),ISNUMBER(I187)),I187/G187*1000,"Erişilemedi")</x:f>
        <x:v>Erişilemedi</x:v>
      </x:c>
      <x:c r="L187" s="16" t="str">
        <x:v>Erişilemedi</x:v>
      </x:c>
      <x:c r="M187" s="16" t="str">
        <x:v>Katalog/takip kaydı</x:v>
      </x:c>
      <x:c r="N187" s="16" t="str">
        <x:v>Instagram veya mevcut kaynak</x:v>
      </x:c>
      <x:c r="O187" s="16" t="str">
        <x:v>Takip gerekli</x:v>
      </x:c>
      <x:c r="P187" s="19" t="n">
        <x:v>46245</x:v>
      </x:c>
      <x:c r="Q187" s="20" t="str">
        <x:v>Erişilemedi</x:v>
      </x:c>
      <x:c r="R187" s="20" t="str">
        <x:v>Ürün adı, gramaj ve fiyat birlikte çıkarılamadı. Bağlantı manuel inceleme için korundu.</x:v>
      </x:c>
    </x:row>
    <x:row r="188" ht="40" customHeight="1">
      <x:c r="A188" s="16" t="str">
        <x:v>Baristas Roastery</x:v>
      </x:c>
      <x:c r="B188" s="16" t="str"/>
      <x:c r="C188" s="16" t="str">
        <x:v>Doğrulandı</x:v>
      </x:c>
      <x:c r="D188" s="16" t="str">
        <x:v>Katalog takip kaydı</x:v>
      </x:c>
      <x:c r="E188" s="16" t="str">
        <x:v>Ürün kataloğu — ayrıntılı ürün verisine erişilemedi</x:v>
      </x:c>
      <x:c r="F188" s="16" t="str">
        <x:v>Erişilemedi</x:v>
      </x:c>
      <x:c r="G188" s="17" t="str">
        <x:v>Erişilemedi</x:v>
      </x:c>
      <x:c r="H188" s="16" t="str">
        <x:v>Erişilemedi</x:v>
      </x:c>
      <x:c r="I188" s="18" t="str">
        <x:v>Erişilemedi</x:v>
      </x:c>
      <x:c r="J188" s="18" t="str">
        <x:v>Erişilemedi</x:v>
      </x:c>
      <x:c r="K188" s="18" t="str">
        <x:f>IF(AND(ISNUMBER(G188),ISNUMBER(I188)),I188/G188*1000,"Erişilemedi")</x:f>
        <x:v>Erişilemedi</x:v>
      </x:c>
      <x:c r="L188" s="16" t="str">
        <x:v>Erişilemedi</x:v>
      </x:c>
      <x:c r="M188" s="16" t="str">
        <x:v>Katalog/takip kaydı</x:v>
      </x:c>
      <x:c r="N188" s="16" t="str">
        <x:v>Mağaza/katalog bağlantısı</x:v>
      </x:c>
      <x:c r="O188" s="16" t="str">
        <x:v>Takip gerekli</x:v>
      </x:c>
      <x:c r="P188" s="19" t="n">
        <x:v>46245</x:v>
      </x:c>
      <x:c r="Q188" s="20" t="str">
        <x:v>https://www.baristasroastery.com/</x:v>
      </x:c>
      <x:c r="R188" s="20" t="str">
        <x:v>Ürün adı, gramaj ve fiyat birlikte çıkarılamadı. Bağlantı manuel inceleme için korundu.</x:v>
      </x:c>
    </x:row>
    <x:row r="189" ht="40" customHeight="1">
      <x:c r="A189" s="16" t="str">
        <x:v>Baristocrat</x:v>
      </x:c>
      <x:c r="B189" s="16" t="str">
        <x:v>İzmir</x:v>
      </x:c>
      <x:c r="C189" s="16" t="str">
        <x:v>Doğrulandı</x:v>
      </x:c>
      <x:c r="D189" s="16" t="str">
        <x:v>Ürün kaydı</x:v>
      </x:c>
      <x:c r="E189" s="16" t="str">
        <x:v>Aristocrat Espresso Blend</x:v>
      </x:c>
      <x:c r="F189" s="16" t="str">
        <x:v>Harman – menşe belirtilmemiş</x:v>
      </x:c>
      <x:c r="G189" s="17" t="str">
        <x:v>Erişilemedi</x:v>
      </x:c>
      <x:c r="H189" s="16" t="str">
        <x:v>Erişilemedi</x:v>
      </x:c>
      <x:c r="I189" s="18" t="n">
        <x:v>500</x:v>
      </x:c>
      <x:c r="J189" s="18" t="str">
        <x:v>Erişildi</x:v>
      </x:c>
      <x:c r="K189" s="18" t="str">
        <x:f>IF(AND(ISNUMBER(G189),ISNUMBER(I189)),I189/G189*1000,"Erişilemedi")</x:f>
        <x:v>Erişilemedi</x:v>
      </x:c>
      <x:c r="L189" s="16" t="str">
        <x:v>Stokta</x:v>
      </x:c>
      <x:c r="M189" s="16" t="str">
        <x:v>Harman</x:v>
      </x:c>
      <x:c r="N189" s="16" t="str">
        <x:v>WooCommerce Store API</x:v>
      </x:c>
      <x:c r="O189" s="16" t="str">
        <x:v>Orta</x:v>
      </x:c>
      <x:c r="P189" s="19" t="n">
        <x:v>46245</x:v>
      </x:c>
      <x:c r="Q189" s="20" t="str">
        <x:v>https://www.baristocrat.com/urun/aristocrat-espresso-blend/</x:v>
      </x:c>
      <x:c r="R189" s="20" t="str">
        <x:v>Fiyat veya gramaj eksik olsa da ürün korundu.</x:v>
      </x:c>
    </x:row>
    <x:row r="190" ht="40" customHeight="1">
      <x:c r="A190" s="16" t="str">
        <x:v>Baristocrat</x:v>
      </x:c>
      <x:c r="B190" s="16" t="str">
        <x:v>İzmir</x:v>
      </x:c>
      <x:c r="C190" s="16" t="str">
        <x:v>Doğrulandı</x:v>
      </x:c>
      <x:c r="D190" s="16" t="str">
        <x:v>Ürün kaydı</x:v>
      </x:c>
      <x:c r="E190" s="16" t="str">
        <x:v>Baristocrat Sample Box</x:v>
      </x:c>
      <x:c r="F190" s="16" t="str">
        <x:v>Menşe belirtilmemiş</x:v>
      </x:c>
      <x:c r="G190" s="17" t="str">
        <x:v>Erişilemedi</x:v>
      </x:c>
      <x:c r="H190" s="16" t="str">
        <x:v>Erişilemedi</x:v>
      </x:c>
      <x:c r="I190" s="18" t="n">
        <x:v>1000</x:v>
      </x:c>
      <x:c r="J190" s="18" t="str">
        <x:v>Erişildi</x:v>
      </x:c>
      <x:c r="K190" s="18" t="str">
        <x:f>IF(AND(ISNUMBER(G190),ISNUMBER(I190)),I190/G190*1000,"Erişilemedi")</x:f>
        <x:v>Erişilemedi</x:v>
      </x:c>
      <x:c r="L190" s="16" t="str">
        <x:v>Stokta</x:v>
      </x:c>
      <x:c r="M190" s="16" t="str">
        <x:v>Kahve ürünü</x:v>
      </x:c>
      <x:c r="N190" s="16" t="str">
        <x:v>WooCommerce Store API</x:v>
      </x:c>
      <x:c r="O190" s="16" t="str">
        <x:v>Orta</x:v>
      </x:c>
      <x:c r="P190" s="19" t="n">
        <x:v>46245</x:v>
      </x:c>
      <x:c r="Q190" s="20" t="str">
        <x:v>https://www.baristocrat.com/urun/baristocrat-sample-box/</x:v>
      </x:c>
      <x:c r="R190" s="20" t="str">
        <x:v>Fiyat veya gramaj eksik olsa da ürün korundu.</x:v>
      </x:c>
    </x:row>
    <x:row r="191" ht="40" customHeight="1">
      <x:c r="A191" s="16" t="str">
        <x:v>Barney’s Coffee House</x:v>
      </x:c>
      <x:c r="B191" s="16" t="str">
        <x:v>Ankara</x:v>
      </x:c>
      <x:c r="C191" s="16" t="str">
        <x:v>Kısmi doğrulama</x:v>
      </x:c>
      <x:c r="D191" s="16" t="str">
        <x:v>Katalog takip kaydı</x:v>
      </x:c>
      <x:c r="E191" s="16" t="str">
        <x:v>Ürün kataloğu — ayrıntılı ürün verisine erişilemedi</x:v>
      </x:c>
      <x:c r="F191" s="16" t="str">
        <x:v>Erişilemedi</x:v>
      </x:c>
      <x:c r="G191" s="17" t="str">
        <x:v>Erişilemedi</x:v>
      </x:c>
      <x:c r="H191" s="16" t="str">
        <x:v>Erişilemedi</x:v>
      </x:c>
      <x:c r="I191" s="18" t="str">
        <x:v>Erişilemedi</x:v>
      </x:c>
      <x:c r="J191" s="18" t="str">
        <x:v>Erişilemedi</x:v>
      </x:c>
      <x:c r="K191" s="18" t="str">
        <x:f>IF(AND(ISNUMBER(G191),ISNUMBER(I191)),I191/G191*1000,"Erişilemedi")</x:f>
        <x:v>Erişilemedi</x:v>
      </x:c>
      <x:c r="L191" s="16" t="str">
        <x:v>Erişilemedi</x:v>
      </x:c>
      <x:c r="M191" s="16" t="str">
        <x:v>Katalog/takip kaydı</x:v>
      </x:c>
      <x:c r="N191" s="16" t="str">
        <x:v>Instagram veya mevcut kaynak</x:v>
      </x:c>
      <x:c r="O191" s="16" t="str">
        <x:v>Takip gerekli</x:v>
      </x:c>
      <x:c r="P191" s="19" t="n">
        <x:v>46245</x:v>
      </x:c>
      <x:c r="Q191" s="20" t="str">
        <x:v>Erişilemedi</x:v>
      </x:c>
      <x:c r="R191" s="20" t="str">
        <x:v>Ürün adı, gramaj ve fiyat birlikte çıkarılamadı. Bağlantı manuel inceleme için korundu.</x:v>
      </x:c>
    </x:row>
    <x:row r="192" ht="40" customHeight="1">
      <x:c r="A192" s="16" t="str">
        <x:v>Ben Coffee Co.</x:v>
      </x:c>
      <x:c r="B192" s="16" t="str">
        <x:v>İstanbul</x:v>
      </x:c>
      <x:c r="C192" s="16" t="str">
        <x:v>Doğrulandı</x:v>
      </x:c>
      <x:c r="D192" s="16" t="str">
        <x:v>Ürün kaydı</x:v>
      </x:c>
      <x:c r="E192" s="16" t="str">
        <x:v>Ben The Brew Kit | Kahve Demleme Seti</x:v>
      </x:c>
      <x:c r="F192" s="16" t="str">
        <x:v>Kenya</x:v>
      </x:c>
      <x:c r="G192" s="17" t="n">
        <x:v>250</x:v>
      </x:c>
      <x:c r="H192" s="16" t="str">
        <x:v>Erişildi</x:v>
      </x:c>
      <x:c r="I192" s="18" t="n">
        <x:v>2000</x:v>
      </x:c>
      <x:c r="J192" s="18" t="str">
        <x:v>Erişildi</x:v>
      </x:c>
      <x:c r="K192" s="18" t="n">
        <x:f>IF(AND(ISNUMBER(G192),ISNUMBER(I192)),I192/G192*1000,"Erişilemedi")</x:f>
        <x:v>8000</x:v>
      </x:c>
      <x:c r="L192" s="16" t="str">
        <x:v>Stokta</x:v>
      </x:c>
      <x:c r="M192" s="16" t="str">
        <x:v>Tek köken/ürün</x:v>
      </x:c>
      <x:c r="N192" s="16" t="str">
        <x:v>Shopify ürün akışı</x:v>
      </x:c>
      <x:c r="O192" s="16" t="str">
        <x:v>Yüksek</x:v>
      </x:c>
      <x:c r="P192" s="19" t="n">
        <x:v>46245</x:v>
      </x:c>
      <x:c r="Q192" s="20" t="str">
        <x:v>https://www.bencoffee.co/products/ben-the-brew-kit</x:v>
      </x:c>
      <x:c r="R192" s="20" t="str">
        <x:v>Öğütüm seçenekleri aynı gramaj ve fiyatta tekilleştirildi.</x:v>
      </x:c>
    </x:row>
    <x:row r="193" ht="40" customHeight="1">
      <x:c r="A193" s="16" t="str">
        <x:v>Ben Coffee Co.</x:v>
      </x:c>
      <x:c r="B193" s="16" t="str">
        <x:v>İstanbul</x:v>
      </x:c>
      <x:c r="C193" s="16" t="str">
        <x:v>Doğrulandı</x:v>
      </x:c>
      <x:c r="D193" s="16" t="str">
        <x:v>Ürün kaydı</x:v>
      </x:c>
      <x:c r="E193" s="16" t="str">
        <x:v>Costa Rica | El Carizal Nitelikli Kahve</x:v>
      </x:c>
      <x:c r="F193" s="16" t="str">
        <x:v>Kenya | Kosta Rika</x:v>
      </x:c>
      <x:c r="G193" s="17" t="n">
        <x:v>250</x:v>
      </x:c>
      <x:c r="H193" s="16" t="str">
        <x:v>Erişildi</x:v>
      </x:c>
      <x:c r="I193" s="18" t="n">
        <x:v>1200</x:v>
      </x:c>
      <x:c r="J193" s="18" t="str">
        <x:v>Erişildi</x:v>
      </x:c>
      <x:c r="K193" s="18" t="n">
        <x:f>IF(AND(ISNUMBER(G193),ISNUMBER(I193)),I193/G193*1000,"Erişilemedi")</x:f>
        <x:v>4800</x:v>
      </x:c>
      <x:c r="L193" s="16" t="str">
        <x:v>Stokta</x:v>
      </x:c>
      <x:c r="M193" s="16" t="str">
        <x:v>Tek köken/ürün</x:v>
      </x:c>
      <x:c r="N193" s="16" t="str">
        <x:v>Shopify ürün akışı</x:v>
      </x:c>
      <x:c r="O193" s="16" t="str">
        <x:v>Yüksek</x:v>
      </x:c>
      <x:c r="P193" s="19" t="n">
        <x:v>46245</x:v>
      </x:c>
      <x:c r="Q193" s="20" t="str">
        <x:v>https://www.bencoffee.co/products/el-carizal-coffee</x:v>
      </x:c>
      <x:c r="R193" s="20" t="str">
        <x:v>Öğütüm seçenekleri aynı gramaj ve fiyatta tekilleştirildi.</x:v>
      </x:c>
    </x:row>
    <x:row r="194" ht="40" customHeight="1">
      <x:c r="A194" s="16" t="str">
        <x:v>Ben Coffee Co.</x:v>
      </x:c>
      <x:c r="B194" s="16" t="str">
        <x:v>İstanbul</x:v>
      </x:c>
      <x:c r="C194" s="16" t="str">
        <x:v>Doğrulandı</x:v>
      </x:c>
      <x:c r="D194" s="16" t="str">
        <x:v>Ürün kaydı</x:v>
      </x:c>
      <x:c r="E194" s="16" t="str">
        <x:v>Etiyopya Decaf Kahve</x:v>
      </x:c>
      <x:c r="F194" s="16" t="str">
        <x:v>Etiyopya</x:v>
      </x:c>
      <x:c r="G194" s="17" t="n">
        <x:v>250</x:v>
      </x:c>
      <x:c r="H194" s="16" t="str">
        <x:v>Erişildi</x:v>
      </x:c>
      <x:c r="I194" s="18" t="n">
        <x:v>470</x:v>
      </x:c>
      <x:c r="J194" s="18" t="str">
        <x:v>Erişildi</x:v>
      </x:c>
      <x:c r="K194" s="18" t="n">
        <x:f>IF(AND(ISNUMBER(G194),ISNUMBER(I194)),I194/G194*1000,"Erişilemedi")</x:f>
        <x:v>1880</x:v>
      </x:c>
      <x:c r="L194" s="16" t="str">
        <x:v>Stokta</x:v>
      </x:c>
      <x:c r="M194" s="16" t="str">
        <x:v>Tek köken/ürün</x:v>
      </x:c>
      <x:c r="N194" s="16" t="str">
        <x:v>Shopify ürün akışı</x:v>
      </x:c>
      <x:c r="O194" s="16" t="str">
        <x:v>Yüksek</x:v>
      </x:c>
      <x:c r="P194" s="19" t="n">
        <x:v>46245</x:v>
      </x:c>
      <x:c r="Q194" s="20" t="str">
        <x:v>https://www.bencoffee.co/products/decaf</x:v>
      </x:c>
      <x:c r="R194" s="20" t="str">
        <x:v>Öğütüm seçenekleri aynı gramaj ve fiyatta tekilleştirildi.</x:v>
      </x:c>
    </x:row>
    <x:row r="195" ht="40" customHeight="1">
      <x:c r="A195" s="16" t="str">
        <x:v>Ben Coffee Co.</x:v>
      </x:c>
      <x:c r="B195" s="16" t="str">
        <x:v>İstanbul</x:v>
      </x:c>
      <x:c r="C195" s="16" t="str">
        <x:v>Doğrulandı</x:v>
      </x:c>
      <x:c r="D195" s="16" t="str">
        <x:v>Ürün kaydı</x:v>
      </x:c>
      <x:c r="E195" s="16" t="str">
        <x:v>Etiyopya Decaf Kahve</x:v>
      </x:c>
      <x:c r="F195" s="16" t="str">
        <x:v>Etiyopya</x:v>
      </x:c>
      <x:c r="G195" s="17" t="n">
        <x:v>1000</x:v>
      </x:c>
      <x:c r="H195" s="16" t="str">
        <x:v>Erişildi</x:v>
      </x:c>
      <x:c r="I195" s="18" t="n">
        <x:v>1600</x:v>
      </x:c>
      <x:c r="J195" s="18" t="str">
        <x:v>Erişildi</x:v>
      </x:c>
      <x:c r="K195" s="18" t="n">
        <x:f>IF(AND(ISNUMBER(G195),ISNUMBER(I195)),I195/G195*1000,"Erişilemedi")</x:f>
        <x:v>1600</x:v>
      </x:c>
      <x:c r="L195" s="16" t="str">
        <x:v>Stokta</x:v>
      </x:c>
      <x:c r="M195" s="16" t="str">
        <x:v>Tek köken/ürün</x:v>
      </x:c>
      <x:c r="N195" s="16" t="str">
        <x:v>Shopify ürün akışı</x:v>
      </x:c>
      <x:c r="O195" s="16" t="str">
        <x:v>Yüksek</x:v>
      </x:c>
      <x:c r="P195" s="19" t="n">
        <x:v>46245</x:v>
      </x:c>
      <x:c r="Q195" s="20" t="str">
        <x:v>https://www.bencoffee.co/products/decaf</x:v>
      </x:c>
      <x:c r="R195" s="20" t="str">
        <x:v>Öğütüm seçenekleri aynı gramaj ve fiyatta tekilleştirildi.</x:v>
      </x:c>
    </x:row>
    <x:row r="196" ht="40" customHeight="1">
      <x:c r="A196" s="16" t="str">
        <x:v>Ben Coffee Co.</x:v>
      </x:c>
      <x:c r="B196" s="16" t="str">
        <x:v>İstanbul</x:v>
      </x:c>
      <x:c r="C196" s="16" t="str">
        <x:v>Doğrulandı</x:v>
      </x:c>
      <x:c r="D196" s="16" t="str">
        <x:v>Ürün kaydı</x:v>
      </x:c>
      <x:c r="E196" s="16" t="str">
        <x:v>Etiyopya Killenso | Filtre Kahve</x:v>
      </x:c>
      <x:c r="F196" s="16" t="str">
        <x:v>Etiyopya</x:v>
      </x:c>
      <x:c r="G196" s="17" t="n">
        <x:v>250</x:v>
      </x:c>
      <x:c r="H196" s="16" t="str">
        <x:v>Erişildi</x:v>
      </x:c>
      <x:c r="I196" s="18" t="n">
        <x:v>765</x:v>
      </x:c>
      <x:c r="J196" s="18" t="str">
        <x:v>Erişildi</x:v>
      </x:c>
      <x:c r="K196" s="18" t="n">
        <x:f>IF(AND(ISNUMBER(G196),ISNUMBER(I196)),I196/G196*1000,"Erişilemedi")</x:f>
        <x:v>3060</x:v>
      </x:c>
      <x:c r="L196" s="16" t="str">
        <x:v>Stokta</x:v>
      </x:c>
      <x:c r="M196" s="16" t="str">
        <x:v>Tek köken/ürün</x:v>
      </x:c>
      <x:c r="N196" s="16" t="str">
        <x:v>Shopify ürün akışı</x:v>
      </x:c>
      <x:c r="O196" s="16" t="str">
        <x:v>Yüksek</x:v>
      </x:c>
      <x:c r="P196" s="19" t="n">
        <x:v>46245</x:v>
      </x:c>
      <x:c r="Q196" s="20" t="str">
        <x:v>https://www.bencoffee.co/products/etiyopya-killenso-filtre-kahve</x:v>
      </x:c>
      <x:c r="R196" s="20" t="str">
        <x:v>Öğütüm seçenekleri aynı gramaj ve fiyatta tekilleştirildi.</x:v>
      </x:c>
    </x:row>
    <x:row r="197" ht="40" customHeight="1">
      <x:c r="A197" s="16" t="str">
        <x:v>Ben Coffee Co.</x:v>
      </x:c>
      <x:c r="B197" s="16" t="str">
        <x:v>İstanbul</x:v>
      </x:c>
      <x:c r="C197" s="16" t="str">
        <x:v>Doğrulandı</x:v>
      </x:c>
      <x:c r="D197" s="16" t="str">
        <x:v>Ürün kaydı</x:v>
      </x:c>
      <x:c r="E197" s="16" t="str">
        <x:v>Faysel Abdosh | Etiyopya Filtre Kahve</x:v>
      </x:c>
      <x:c r="F197" s="16" t="str">
        <x:v>Etiyopya</x:v>
      </x:c>
      <x:c r="G197" s="17" t="n">
        <x:v>250</x:v>
      </x:c>
      <x:c r="H197" s="16" t="str">
        <x:v>Erişildi</x:v>
      </x:c>
      <x:c r="I197" s="18" t="n">
        <x:v>685</x:v>
      </x:c>
      <x:c r="J197" s="18" t="str">
        <x:v>Erişildi</x:v>
      </x:c>
      <x:c r="K197" s="18" t="n">
        <x:f>IF(AND(ISNUMBER(G197),ISNUMBER(I197)),I197/G197*1000,"Erişilemedi")</x:f>
        <x:v>2740</x:v>
      </x:c>
      <x:c r="L197" s="16" t="str">
        <x:v>Stokta</x:v>
      </x:c>
      <x:c r="M197" s="16" t="str">
        <x:v>Tek köken/ürün</x:v>
      </x:c>
      <x:c r="N197" s="16" t="str">
        <x:v>Shopify ürün akışı</x:v>
      </x:c>
      <x:c r="O197" s="16" t="str">
        <x:v>Yüksek</x:v>
      </x:c>
      <x:c r="P197" s="19" t="n">
        <x:v>46245</x:v>
      </x:c>
      <x:c r="Q197" s="20" t="str">
        <x:v>https://www.bencoffee.co/products/ethiopia-faysel-abdosh</x:v>
      </x:c>
      <x:c r="R197" s="20" t="str">
        <x:v>Öğütüm seçenekleri aynı gramaj ve fiyatta tekilleştirildi.</x:v>
      </x:c>
    </x:row>
    <x:row r="198" ht="40" customHeight="1">
      <x:c r="A198" s="16" t="str">
        <x:v>Ben Coffee Co.</x:v>
      </x:c>
      <x:c r="B198" s="16" t="str">
        <x:v>İstanbul</x:v>
      </x:c>
      <x:c r="C198" s="16" t="str">
        <x:v>Doğrulandı</x:v>
      </x:c>
      <x:c r="D198" s="16" t="str">
        <x:v>Ürün kaydı</x:v>
      </x:c>
      <x:c r="E198" s="16" t="str">
        <x:v>Kenya Wanrich | Nitelikli Kahve</x:v>
      </x:c>
      <x:c r="F198" s="16" t="str">
        <x:v>Kenya</x:v>
      </x:c>
      <x:c r="G198" s="17" t="n">
        <x:v>250</x:v>
      </x:c>
      <x:c r="H198" s="16" t="str">
        <x:v>Erişildi</x:v>
      </x:c>
      <x:c r="I198" s="18" t="n">
        <x:v>980</x:v>
      </x:c>
      <x:c r="J198" s="18" t="str">
        <x:v>Erişildi</x:v>
      </x:c>
      <x:c r="K198" s="18" t="n">
        <x:f>IF(AND(ISNUMBER(G198),ISNUMBER(I198)),I198/G198*1000,"Erişilemedi")</x:f>
        <x:v>3920</x:v>
      </x:c>
      <x:c r="L198" s="16" t="str">
        <x:v>Stokta</x:v>
      </x:c>
      <x:c r="M198" s="16" t="str">
        <x:v>Tek köken/ürün</x:v>
      </x:c>
      <x:c r="N198" s="16" t="str">
        <x:v>Shopify ürün akışı</x:v>
      </x:c>
      <x:c r="O198" s="16" t="str">
        <x:v>Yüksek</x:v>
      </x:c>
      <x:c r="P198" s="19" t="n">
        <x:v>46245</x:v>
      </x:c>
      <x:c r="Q198" s="20" t="str">
        <x:v>https://www.bencoffee.co/products/kenya-wanrich-nitelikli-kahve</x:v>
      </x:c>
      <x:c r="R198" s="20" t="str">
        <x:v>Öğütüm seçenekleri aynı gramaj ve fiyatta tekilleştirildi.</x:v>
      </x:c>
    </x:row>
    <x:row r="199" ht="40" customHeight="1">
      <x:c r="A199" s="16" t="str">
        <x:v>Ben Coffee Co.</x:v>
      </x:c>
      <x:c r="B199" s="16" t="str">
        <x:v>İstanbul</x:v>
      </x:c>
      <x:c r="C199" s="16" t="str">
        <x:v>Doğrulandı</x:v>
      </x:c>
      <x:c r="D199" s="16" t="str">
        <x:v>Ürün kaydı</x:v>
      </x:c>
      <x:c r="E199" s="16" t="str">
        <x:v>Los Indios | Colombia Kahvesi</x:v>
      </x:c>
      <x:c r="F199" s="16" t="str">
        <x:v>Kolombiya</x:v>
      </x:c>
      <x:c r="G199" s="17" t="n">
        <x:v>250</x:v>
      </x:c>
      <x:c r="H199" s="16" t="str">
        <x:v>Erişildi</x:v>
      </x:c>
      <x:c r="I199" s="18" t="n">
        <x:v>465</x:v>
      </x:c>
      <x:c r="J199" s="18" t="str">
        <x:v>Erişildi</x:v>
      </x:c>
      <x:c r="K199" s="18" t="n">
        <x:f>IF(AND(ISNUMBER(G199),ISNUMBER(I199)),I199/G199*1000,"Erişilemedi")</x:f>
        <x:v>1860</x:v>
      </x:c>
      <x:c r="L199" s="16" t="str">
        <x:v>Stokta</x:v>
      </x:c>
      <x:c r="M199" s="16" t="str">
        <x:v>Tek köken/ürün</x:v>
      </x:c>
      <x:c r="N199" s="16" t="str">
        <x:v>Shopify ürün akışı</x:v>
      </x:c>
      <x:c r="O199" s="16" t="str">
        <x:v>Yüksek</x:v>
      </x:c>
      <x:c r="P199" s="19" t="n">
        <x:v>46245</x:v>
      </x:c>
      <x:c r="Q199" s="20" t="str">
        <x:v>https://www.bencoffee.co/products/los-indios-kahve</x:v>
      </x:c>
      <x:c r="R199" s="20" t="str">
        <x:v>Öğütüm seçenekleri aynı gramaj ve fiyatta tekilleştirildi.</x:v>
      </x:c>
    </x:row>
    <x:row r="200" ht="40" customHeight="1">
      <x:c r="A200" s="16" t="str">
        <x:v>Ben Coffee Co.</x:v>
      </x:c>
      <x:c r="B200" s="16" t="str">
        <x:v>İstanbul</x:v>
      </x:c>
      <x:c r="C200" s="16" t="str">
        <x:v>Doğrulandı</x:v>
      </x:c>
      <x:c r="D200" s="16" t="str">
        <x:v>Ürün kaydı</x:v>
      </x:c>
      <x:c r="E200" s="16" t="str">
        <x:v>Los Indios | Colombia Kahvesi</x:v>
      </x:c>
      <x:c r="F200" s="16" t="str">
        <x:v>Kolombiya</x:v>
      </x:c>
      <x:c r="G200" s="17" t="n">
        <x:v>250</x:v>
      </x:c>
      <x:c r="H200" s="16" t="str">
        <x:v>Erişildi</x:v>
      </x:c>
      <x:c r="I200" s="18" t="n">
        <x:v>425</x:v>
      </x:c>
      <x:c r="J200" s="18" t="str">
        <x:v>Erişildi</x:v>
      </x:c>
      <x:c r="K200" s="18" t="n">
        <x:f>IF(AND(ISNUMBER(G200),ISNUMBER(I200)),I200/G200*1000,"Erişilemedi")</x:f>
        <x:v>1700</x:v>
      </x:c>
      <x:c r="L200" s="16" t="str">
        <x:v>Stokta</x:v>
      </x:c>
      <x:c r="M200" s="16" t="str">
        <x:v>Tek köken/ürün</x:v>
      </x:c>
      <x:c r="N200" s="16" t="str">
        <x:v>Shopify ürün akışı</x:v>
      </x:c>
      <x:c r="O200" s="16" t="str">
        <x:v>Yüksek</x:v>
      </x:c>
      <x:c r="P200" s="19" t="n">
        <x:v>46245</x:v>
      </x:c>
      <x:c r="Q200" s="20" t="str">
        <x:v>https://www.bencoffee.co/products/los-indios-kahve</x:v>
      </x:c>
      <x:c r="R200" s="20" t="str">
        <x:v>Öğütüm seçenekleri aynı gramaj ve fiyatta tekilleştirildi.</x:v>
      </x:c>
    </x:row>
    <x:row r="201" ht="40" customHeight="1">
      <x:c r="A201" s="16" t="str">
        <x:v>Ben Coffee Co.</x:v>
      </x:c>
      <x:c r="B201" s="16" t="str">
        <x:v>İstanbul</x:v>
      </x:c>
      <x:c r="C201" s="16" t="str">
        <x:v>Doğrulandı</x:v>
      </x:c>
      <x:c r="D201" s="16" t="str">
        <x:v>Ürün kaydı</x:v>
      </x:c>
      <x:c r="E201" s="16" t="str">
        <x:v>Los Indios | Colombia Kahvesi</x:v>
      </x:c>
      <x:c r="F201" s="16" t="str">
        <x:v>Kolombiya</x:v>
      </x:c>
      <x:c r="G201" s="17" t="n">
        <x:v>1000</x:v>
      </x:c>
      <x:c r="H201" s="16" t="str">
        <x:v>Erişildi</x:v>
      </x:c>
      <x:c r="I201" s="18" t="n">
        <x:v>1865</x:v>
      </x:c>
      <x:c r="J201" s="18" t="str">
        <x:v>Erişildi</x:v>
      </x:c>
      <x:c r="K201" s="18" t="n">
        <x:f>IF(AND(ISNUMBER(G201),ISNUMBER(I201)),I201/G201*1000,"Erişilemedi")</x:f>
        <x:v>1865</x:v>
      </x:c>
      <x:c r="L201" s="16" t="str">
        <x:v>Stokta</x:v>
      </x:c>
      <x:c r="M201" s="16" t="str">
        <x:v>Tek köken/ürün</x:v>
      </x:c>
      <x:c r="N201" s="16" t="str">
        <x:v>Shopify ürün akışı</x:v>
      </x:c>
      <x:c r="O201" s="16" t="str">
        <x:v>Yüksek</x:v>
      </x:c>
      <x:c r="P201" s="19" t="n">
        <x:v>46245</x:v>
      </x:c>
      <x:c r="Q201" s="20" t="str">
        <x:v>https://www.bencoffee.co/products/los-indios-kahve</x:v>
      </x:c>
      <x:c r="R201" s="20" t="str">
        <x:v>Öğütüm seçenekleri aynı gramaj ve fiyatta tekilleştirildi.</x:v>
      </x:c>
    </x:row>
    <x:row r="202" ht="40" customHeight="1">
      <x:c r="A202" s="16" t="str">
        <x:v>Ben Coffee Co.</x:v>
      </x:c>
      <x:c r="B202" s="16" t="str">
        <x:v>İstanbul</x:v>
      </x:c>
      <x:c r="C202" s="16" t="str">
        <x:v>Doğrulandı</x:v>
      </x:c>
      <x:c r="D202" s="16" t="str">
        <x:v>Ürün kaydı</x:v>
      </x:c>
      <x:c r="E202" s="16" t="str">
        <x:v>Los Indios | Colombia Kahvesi</x:v>
      </x:c>
      <x:c r="F202" s="16" t="str">
        <x:v>Kolombiya</x:v>
      </x:c>
      <x:c r="G202" s="17" t="n">
        <x:v>1000</x:v>
      </x:c>
      <x:c r="H202" s="16" t="str">
        <x:v>Erişildi</x:v>
      </x:c>
      <x:c r="I202" s="18" t="n">
        <x:v>1500</x:v>
      </x:c>
      <x:c r="J202" s="18" t="str">
        <x:v>Erişildi</x:v>
      </x:c>
      <x:c r="K202" s="18" t="n">
        <x:f>IF(AND(ISNUMBER(G202),ISNUMBER(I202)),I202/G202*1000,"Erişilemedi")</x:f>
        <x:v>1500</x:v>
      </x:c>
      <x:c r="L202" s="16" t="str">
        <x:v>Stokta</x:v>
      </x:c>
      <x:c r="M202" s="16" t="str">
        <x:v>Tek köken/ürün</x:v>
      </x:c>
      <x:c r="N202" s="16" t="str">
        <x:v>Shopify ürün akışı</x:v>
      </x:c>
      <x:c r="O202" s="16" t="str">
        <x:v>Yüksek</x:v>
      </x:c>
      <x:c r="P202" s="19" t="n">
        <x:v>46245</x:v>
      </x:c>
      <x:c r="Q202" s="20" t="str">
        <x:v>https://www.bencoffee.co/products/los-indios-kahve</x:v>
      </x:c>
      <x:c r="R202" s="20" t="str">
        <x:v>Öğütüm seçenekleri aynı gramaj ve fiyatta tekilleştirildi.</x:v>
      </x:c>
    </x:row>
    <x:row r="203" ht="40" customHeight="1">
      <x:c r="A203" s="16" t="str">
        <x:v>Ben Coffee Co.</x:v>
      </x:c>
      <x:c r="B203" s="16" t="str">
        <x:v>İstanbul</x:v>
      </x:c>
      <x:c r="C203" s="16" t="str">
        <x:v>Doğrulandı</x:v>
      </x:c>
      <x:c r="D203" s="16" t="str">
        <x:v>Ürün kaydı</x:v>
      </x:c>
      <x:c r="E203" s="16" t="str">
        <x:v>Mihando PB TOP | Kenya Filtre Kahve</x:v>
      </x:c>
      <x:c r="F203" s="16" t="str">
        <x:v>Kenya</x:v>
      </x:c>
      <x:c r="G203" s="17" t="n">
        <x:v>250</x:v>
      </x:c>
      <x:c r="H203" s="16" t="str">
        <x:v>Erişildi</x:v>
      </x:c>
      <x:c r="I203" s="18" t="n">
        <x:v>470</x:v>
      </x:c>
      <x:c r="J203" s="18" t="str">
        <x:v>Erişildi</x:v>
      </x:c>
      <x:c r="K203" s="18" t="n">
        <x:f>IF(AND(ISNUMBER(G203),ISNUMBER(I203)),I203/G203*1000,"Erişilemedi")</x:f>
        <x:v>1880</x:v>
      </x:c>
      <x:c r="L203" s="16" t="str">
        <x:v>Stokta</x:v>
      </x:c>
      <x:c r="M203" s="16" t="str">
        <x:v>Tek köken/ürün</x:v>
      </x:c>
      <x:c r="N203" s="16" t="str">
        <x:v>Shopify ürün akışı</x:v>
      </x:c>
      <x:c r="O203" s="16" t="str">
        <x:v>Yüksek</x:v>
      </x:c>
      <x:c r="P203" s="19" t="n">
        <x:v>46245</x:v>
      </x:c>
      <x:c r="Q203" s="20" t="str">
        <x:v>https://www.bencoffee.co/products/mihando-bp-top-kahve</x:v>
      </x:c>
      <x:c r="R203" s="20" t="str">
        <x:v>Öğütüm seçenekleri aynı gramaj ve fiyatta tekilleştirildi.</x:v>
      </x:c>
    </x:row>
    <x:row r="204" ht="40" customHeight="1">
      <x:c r="A204" s="16" t="str">
        <x:v>Ben Coffee Co.</x:v>
      </x:c>
      <x:c r="B204" s="16" t="str">
        <x:v>İstanbul</x:v>
      </x:c>
      <x:c r="C204" s="16" t="str">
        <x:v>Doğrulandı</x:v>
      </x:c>
      <x:c r="D204" s="16" t="str">
        <x:v>Ürün kaydı</x:v>
      </x:c>
      <x:c r="E204" s="16" t="str">
        <x:v>Mihando PB TOP | Kenya Filtre Kahve</x:v>
      </x:c>
      <x:c r="F204" s="16" t="str">
        <x:v>Kenya</x:v>
      </x:c>
      <x:c r="G204" s="17" t="n">
        <x:v>1000</x:v>
      </x:c>
      <x:c r="H204" s="16" t="str">
        <x:v>Erişildi</x:v>
      </x:c>
      <x:c r="I204" s="18" t="n">
        <x:v>1890</x:v>
      </x:c>
      <x:c r="J204" s="18" t="str">
        <x:v>Erişildi</x:v>
      </x:c>
      <x:c r="K204" s="18" t="n">
        <x:f>IF(AND(ISNUMBER(G204),ISNUMBER(I204)),I204/G204*1000,"Erişilemedi")</x:f>
        <x:v>1890</x:v>
      </x:c>
      <x:c r="L204" s="16" t="str">
        <x:v>Stokta</x:v>
      </x:c>
      <x:c r="M204" s="16" t="str">
        <x:v>Tek köken/ürün</x:v>
      </x:c>
      <x:c r="N204" s="16" t="str">
        <x:v>Shopify ürün akışı</x:v>
      </x:c>
      <x:c r="O204" s="16" t="str">
        <x:v>Yüksek</x:v>
      </x:c>
      <x:c r="P204" s="19" t="n">
        <x:v>46245</x:v>
      </x:c>
      <x:c r="Q204" s="20" t="str">
        <x:v>https://www.bencoffee.co/products/mihando-bp-top-kahve</x:v>
      </x:c>
      <x:c r="R204" s="20" t="str">
        <x:v>Öğütüm seçenekleri aynı gramaj ve fiyatta tekilleştirildi.</x:v>
      </x:c>
    </x:row>
    <x:row r="205" ht="40" customHeight="1">
      <x:c r="A205" s="16" t="str">
        <x:v>Ben Coffee Co.</x:v>
      </x:c>
      <x:c r="B205" s="16" t="str">
        <x:v>İstanbul</x:v>
      </x:c>
      <x:c r="C205" s="16" t="str">
        <x:v>Doğrulandı</x:v>
      </x:c>
      <x:c r="D205" s="16" t="str">
        <x:v>Ürün kaydı</x:v>
      </x:c>
      <x:c r="E205" s="16" t="str">
        <x:v>OMNY Blend Kahve</x:v>
      </x:c>
      <x:c r="F205" s="16" t="str">
        <x:v>Harman – menşe belirtilmemiş</x:v>
      </x:c>
      <x:c r="G205" s="17" t="n">
        <x:v>250</x:v>
      </x:c>
      <x:c r="H205" s="16" t="str">
        <x:v>Erişildi</x:v>
      </x:c>
      <x:c r="I205" s="18" t="n">
        <x:v>450</x:v>
      </x:c>
      <x:c r="J205" s="18" t="str">
        <x:v>Erişildi</x:v>
      </x:c>
      <x:c r="K205" s="18" t="n">
        <x:f>IF(AND(ISNUMBER(G205),ISNUMBER(I205)),I205/G205*1000,"Erişilemedi")</x:f>
        <x:v>1800</x:v>
      </x:c>
      <x:c r="L205" s="16" t="str">
        <x:v>Stokta</x:v>
      </x:c>
      <x:c r="M205" s="16" t="str">
        <x:v>Harman</x:v>
      </x:c>
      <x:c r="N205" s="16" t="str">
        <x:v>Shopify ürün akışı</x:v>
      </x:c>
      <x:c r="O205" s="16" t="str">
        <x:v>Yüksek</x:v>
      </x:c>
      <x:c r="P205" s="19" t="n">
        <x:v>46245</x:v>
      </x:c>
      <x:c r="Q205" s="20" t="str">
        <x:v>https://www.bencoffee.co/products/omny-blend-kahve</x:v>
      </x:c>
      <x:c r="R205" s="20" t="str">
        <x:v>Öğütüm seçenekleri aynı gramaj ve fiyatta tekilleştirildi.</x:v>
      </x:c>
    </x:row>
    <x:row r="206" ht="40" customHeight="1">
      <x:c r="A206" s="16" t="str">
        <x:v>Ben Coffee Co.</x:v>
      </x:c>
      <x:c r="B206" s="16" t="str">
        <x:v>İstanbul</x:v>
      </x:c>
      <x:c r="C206" s="16" t="str">
        <x:v>Doğrulandı</x:v>
      </x:c>
      <x:c r="D206" s="16" t="str">
        <x:v>Ürün kaydı</x:v>
      </x:c>
      <x:c r="E206" s="16" t="str">
        <x:v>OMNY Blend Kahve</x:v>
      </x:c>
      <x:c r="F206" s="16" t="str">
        <x:v>Harman – menşe belirtilmemiş</x:v>
      </x:c>
      <x:c r="G206" s="17" t="n">
        <x:v>1000</x:v>
      </x:c>
      <x:c r="H206" s="16" t="str">
        <x:v>Erişildi</x:v>
      </x:c>
      <x:c r="I206" s="18" t="n">
        <x:v>1620</x:v>
      </x:c>
      <x:c r="J206" s="18" t="str">
        <x:v>Erişildi</x:v>
      </x:c>
      <x:c r="K206" s="18" t="n">
        <x:f>IF(AND(ISNUMBER(G206),ISNUMBER(I206)),I206/G206*1000,"Erişilemedi")</x:f>
        <x:v>1620</x:v>
      </x:c>
      <x:c r="L206" s="16" t="str">
        <x:v>Stokta</x:v>
      </x:c>
      <x:c r="M206" s="16" t="str">
        <x:v>Harman</x:v>
      </x:c>
      <x:c r="N206" s="16" t="str">
        <x:v>Shopify ürün akışı</x:v>
      </x:c>
      <x:c r="O206" s="16" t="str">
        <x:v>Yüksek</x:v>
      </x:c>
      <x:c r="P206" s="19" t="n">
        <x:v>46245</x:v>
      </x:c>
      <x:c r="Q206" s="20" t="str">
        <x:v>https://www.bencoffee.co/products/omny-blend-kahve</x:v>
      </x:c>
      <x:c r="R206" s="20" t="str">
        <x:v>Öğütüm seçenekleri aynı gramaj ve fiyatta tekilleştirildi.</x:v>
      </x:c>
    </x:row>
    <x:row r="207" ht="40" customHeight="1">
      <x:c r="A207" s="16" t="str">
        <x:v>Ben Coffee Co.</x:v>
      </x:c>
      <x:c r="B207" s="16" t="str">
        <x:v>İstanbul</x:v>
      </x:c>
      <x:c r="C207" s="16" t="str">
        <x:v>Doğrulandı</x:v>
      </x:c>
      <x:c r="D207" s="16" t="str">
        <x:v>Ürün kaydı</x:v>
      </x:c>
      <x:c r="E207" s="16" t="str">
        <x:v>OMNY Dark | Espresso Kahve</x:v>
      </x:c>
      <x:c r="F207" s="16" t="str">
        <x:v>Harman – menşe belirtilmemiş</x:v>
      </x:c>
      <x:c r="G207" s="17" t="n">
        <x:v>250</x:v>
      </x:c>
      <x:c r="H207" s="16" t="str">
        <x:v>Erişildi</x:v>
      </x:c>
      <x:c r="I207" s="18" t="n">
        <x:v>325</x:v>
      </x:c>
      <x:c r="J207" s="18" t="str">
        <x:v>Erişildi</x:v>
      </x:c>
      <x:c r="K207" s="18" t="n">
        <x:f>IF(AND(ISNUMBER(G207),ISNUMBER(I207)),I207/G207*1000,"Erişilemedi")</x:f>
        <x:v>1300</x:v>
      </x:c>
      <x:c r="L207" s="16" t="str">
        <x:v>Stokta</x:v>
      </x:c>
      <x:c r="M207" s="16" t="str">
        <x:v>Tek köken/ürün</x:v>
      </x:c>
      <x:c r="N207" s="16" t="str">
        <x:v>Shopify ürün akışı</x:v>
      </x:c>
      <x:c r="O207" s="16" t="str">
        <x:v>Yüksek</x:v>
      </x:c>
      <x:c r="P207" s="19" t="n">
        <x:v>46245</x:v>
      </x:c>
      <x:c r="Q207" s="20" t="str">
        <x:v>https://www.bencoffee.co/products/omny-dark-kahve</x:v>
      </x:c>
      <x:c r="R207" s="20" t="str">
        <x:v>Öğütüm seçenekleri aynı gramaj ve fiyatta tekilleştirildi.</x:v>
      </x:c>
    </x:row>
    <x:row r="208" ht="40" customHeight="1">
      <x:c r="A208" s="16" t="str">
        <x:v>Ben Coffee Co.</x:v>
      </x:c>
      <x:c r="B208" s="16" t="str">
        <x:v>İstanbul</x:v>
      </x:c>
      <x:c r="C208" s="16" t="str">
        <x:v>Doğrulandı</x:v>
      </x:c>
      <x:c r="D208" s="16" t="str">
        <x:v>Ürün kaydı</x:v>
      </x:c>
      <x:c r="E208" s="16" t="str">
        <x:v>OMNY Dark | Espresso Kahve</x:v>
      </x:c>
      <x:c r="F208" s="16" t="str">
        <x:v>Harman – menşe belirtilmemiş</x:v>
      </x:c>
      <x:c r="G208" s="17" t="n">
        <x:v>1000</x:v>
      </x:c>
      <x:c r="H208" s="16" t="str">
        <x:v>Erişildi</x:v>
      </x:c>
      <x:c r="I208" s="18" t="n">
        <x:v>1200</x:v>
      </x:c>
      <x:c r="J208" s="18" t="str">
        <x:v>Erişildi</x:v>
      </x:c>
      <x:c r="K208" s="18" t="n">
        <x:f>IF(AND(ISNUMBER(G208),ISNUMBER(I208)),I208/G208*1000,"Erişilemedi")</x:f>
        <x:v>1200</x:v>
      </x:c>
      <x:c r="L208" s="16" t="str">
        <x:v>Stokta</x:v>
      </x:c>
      <x:c r="M208" s="16" t="str">
        <x:v>Tek köken/ürün</x:v>
      </x:c>
      <x:c r="N208" s="16" t="str">
        <x:v>Shopify ürün akışı</x:v>
      </x:c>
      <x:c r="O208" s="16" t="str">
        <x:v>Yüksek</x:v>
      </x:c>
      <x:c r="P208" s="19" t="n">
        <x:v>46245</x:v>
      </x:c>
      <x:c r="Q208" s="20" t="str">
        <x:v>https://www.bencoffee.co/products/omny-dark-kahve</x:v>
      </x:c>
      <x:c r="R208" s="20" t="str">
        <x:v>Öğütüm seçenekleri aynı gramaj ve fiyatta tekilleştirildi.</x:v>
      </x:c>
    </x:row>
    <x:row r="209" ht="40" customHeight="1">
      <x:c r="A209" s="16" t="str">
        <x:v>Ben Coffee Co.</x:v>
      </x:c>
      <x:c r="B209" s="16" t="str">
        <x:v>İstanbul</x:v>
      </x:c>
      <x:c r="C209" s="16" t="str">
        <x:v>Doğrulandı</x:v>
      </x:c>
      <x:c r="D209" s="16" t="str">
        <x:v>Ürün kaydı</x:v>
      </x:c>
      <x:c r="E209" s="16" t="str">
        <x:v>Ruanda Akagera | Filtre Kahve</x:v>
      </x:c>
      <x:c r="F209" s="16" t="str">
        <x:v>Ruanda</x:v>
      </x:c>
      <x:c r="G209" s="17" t="n">
        <x:v>250</x:v>
      </x:c>
      <x:c r="H209" s="16" t="str">
        <x:v>Erişildi</x:v>
      </x:c>
      <x:c r="I209" s="18" t="n">
        <x:v>730</x:v>
      </x:c>
      <x:c r="J209" s="18" t="str">
        <x:v>Erişildi</x:v>
      </x:c>
      <x:c r="K209" s="18" t="n">
        <x:f>IF(AND(ISNUMBER(G209),ISNUMBER(I209)),I209/G209*1000,"Erişilemedi")</x:f>
        <x:v>2920</x:v>
      </x:c>
      <x:c r="L209" s="16" t="str">
        <x:v>Stokta</x:v>
      </x:c>
      <x:c r="M209" s="16" t="str">
        <x:v>Tek köken/ürün</x:v>
      </x:c>
      <x:c r="N209" s="16" t="str">
        <x:v>Shopify ürün akışı</x:v>
      </x:c>
      <x:c r="O209" s="16" t="str">
        <x:v>Yüksek</x:v>
      </x:c>
      <x:c r="P209" s="19" t="n">
        <x:v>46245</x:v>
      </x:c>
      <x:c r="Q209" s="20" t="str">
        <x:v>https://www.bencoffee.co/products/ruanda-akagera-filtre-kahve</x:v>
      </x:c>
      <x:c r="R209" s="20" t="str">
        <x:v>Öğütüm seçenekleri aynı gramaj ve fiyatta tekilleştirildi.</x:v>
      </x:c>
    </x:row>
    <x:row r="210" ht="40" customHeight="1">
      <x:c r="A210" s="16" t="str">
        <x:v>Ben Coffee Co.</x:v>
      </x:c>
      <x:c r="B210" s="16" t="str">
        <x:v>İstanbul</x:v>
      </x:c>
      <x:c r="C210" s="16" t="str">
        <x:v>Doğrulandı</x:v>
      </x:c>
      <x:c r="D210" s="16" t="str">
        <x:v>Ürün kaydı</x:v>
      </x:c>
      <x:c r="E210" s="16" t="str">
        <x:v>Venezuela | Bocono Trujillo Kahvesi</x:v>
      </x:c>
      <x:c r="F210" s="16" t="str">
        <x:v>Harman – menşe belirtilmemiş</x:v>
      </x:c>
      <x:c r="G210" s="17" t="n">
        <x:v>250</x:v>
      </x:c>
      <x:c r="H210" s="16" t="str">
        <x:v>Erişildi</x:v>
      </x:c>
      <x:c r="I210" s="18" t="n">
        <x:v>465</x:v>
      </x:c>
      <x:c r="J210" s="18" t="str">
        <x:v>Erişildi</x:v>
      </x:c>
      <x:c r="K210" s="18" t="n">
        <x:f>IF(AND(ISNUMBER(G210),ISNUMBER(I210)),I210/G210*1000,"Erişilemedi")</x:f>
        <x:v>1860</x:v>
      </x:c>
      <x:c r="L210" s="16" t="str">
        <x:v>Stokta</x:v>
      </x:c>
      <x:c r="M210" s="16" t="str">
        <x:v>Tek köken/ürün</x:v>
      </x:c>
      <x:c r="N210" s="16" t="str">
        <x:v>Shopify ürün akışı</x:v>
      </x:c>
      <x:c r="O210" s="16" t="str">
        <x:v>Yüksek</x:v>
      </x:c>
      <x:c r="P210" s="19" t="n">
        <x:v>46245</x:v>
      </x:c>
      <x:c r="Q210" s="20" t="str">
        <x:v>https://www.bencoffee.co/products/bocono-trujilo-kahve</x:v>
      </x:c>
      <x:c r="R210" s="20" t="str">
        <x:v>Öğütüm seçenekleri aynı gramaj ve fiyatta tekilleştirildi.</x:v>
      </x:c>
    </x:row>
    <x:row r="211" ht="40" customHeight="1">
      <x:c r="A211" s="16" t="str">
        <x:v>Ben Coffee Co.</x:v>
      </x:c>
      <x:c r="B211" s="16" t="str">
        <x:v>İstanbul</x:v>
      </x:c>
      <x:c r="C211" s="16" t="str">
        <x:v>Doğrulandı</x:v>
      </x:c>
      <x:c r="D211" s="16" t="str">
        <x:v>Ürün kaydı</x:v>
      </x:c>
      <x:c r="E211" s="16" t="str">
        <x:v>Venezuela | Bocono Trujillo Kahvesi</x:v>
      </x:c>
      <x:c r="F211" s="16" t="str">
        <x:v>Harman – menşe belirtilmemiş</x:v>
      </x:c>
      <x:c r="G211" s="17" t="n">
        <x:v>1000</x:v>
      </x:c>
      <x:c r="H211" s="16" t="str">
        <x:v>Erişildi</x:v>
      </x:c>
      <x:c r="I211" s="18" t="n">
        <x:v>1865</x:v>
      </x:c>
      <x:c r="J211" s="18" t="str">
        <x:v>Erişildi</x:v>
      </x:c>
      <x:c r="K211" s="18" t="n">
        <x:f>IF(AND(ISNUMBER(G211),ISNUMBER(I211)),I211/G211*1000,"Erişilemedi")</x:f>
        <x:v>1865</x:v>
      </x:c>
      <x:c r="L211" s="16" t="str">
        <x:v>Stokta</x:v>
      </x:c>
      <x:c r="M211" s="16" t="str">
        <x:v>Tek köken/ürün</x:v>
      </x:c>
      <x:c r="N211" s="16" t="str">
        <x:v>Shopify ürün akışı</x:v>
      </x:c>
      <x:c r="O211" s="16" t="str">
        <x:v>Yüksek</x:v>
      </x:c>
      <x:c r="P211" s="19" t="n">
        <x:v>46245</x:v>
      </x:c>
      <x:c r="Q211" s="20" t="str">
        <x:v>https://www.bencoffee.co/products/bocono-trujilo-kahve</x:v>
      </x:c>
      <x:c r="R211" s="20" t="str">
        <x:v>Öğütüm seçenekleri aynı gramaj ve fiyatta tekilleştirildi.</x:v>
      </x:c>
    </x:row>
    <x:row r="212" ht="40" customHeight="1">
      <x:c r="A212" s="16" t="str">
        <x:v>Benesso Coffee</x:v>
      </x:c>
      <x:c r="B212" s="16" t="str">
        <x:v>İstanbul</x:v>
      </x:c>
      <x:c r="C212" s="16" t="str">
        <x:v>Kısmi doğrulama</x:v>
      </x:c>
      <x:c r="D212" s="16" t="str">
        <x:v>Katalog takip kaydı</x:v>
      </x:c>
      <x:c r="E212" s="16" t="str">
        <x:v>Ürün kataloğu — ayrıntılı ürün verisine erişilemedi</x:v>
      </x:c>
      <x:c r="F212" s="16" t="str">
        <x:v>Erişilemedi</x:v>
      </x:c>
      <x:c r="G212" s="17" t="str">
        <x:v>Erişilemedi</x:v>
      </x:c>
      <x:c r="H212" s="16" t="str">
        <x:v>Erişilemedi</x:v>
      </x:c>
      <x:c r="I212" s="18" t="str">
        <x:v>Erişilemedi</x:v>
      </x:c>
      <x:c r="J212" s="18" t="str">
        <x:v>Erişilemedi</x:v>
      </x:c>
      <x:c r="K212" s="18" t="str">
        <x:f>IF(AND(ISNUMBER(G212),ISNUMBER(I212)),I212/G212*1000,"Erişilemedi")</x:f>
        <x:v>Erişilemedi</x:v>
      </x:c>
      <x:c r="L212" s="16" t="str">
        <x:v>Erişilemedi</x:v>
      </x:c>
      <x:c r="M212" s="16" t="str">
        <x:v>Katalog/takip kaydı</x:v>
      </x:c>
      <x:c r="N212" s="16" t="str">
        <x:v>Instagram veya mevcut kaynak</x:v>
      </x:c>
      <x:c r="O212" s="16" t="str">
        <x:v>Takip gerekli</x:v>
      </x:c>
      <x:c r="P212" s="19" t="n">
        <x:v>46245</x:v>
      </x:c>
      <x:c r="Q212" s="20" t="str">
        <x:v>Erişilemedi</x:v>
      </x:c>
      <x:c r="R212" s="20" t="str">
        <x:v>Ürün adı, gramaj ve fiyat birlikte çıkarılamadı. Bağlantı manuel inceleme için korundu.</x:v>
      </x:c>
    </x:row>
    <x:row r="213" ht="40" customHeight="1">
      <x:c r="A213" s="16" t="str">
        <x:v>Blum Coffee</x:v>
      </x:c>
      <x:c r="B213" s="16" t="str">
        <x:v>İstanbul</x:v>
      </x:c>
      <x:c r="C213" s="16" t="str">
        <x:v>Kısmi doğrulama</x:v>
      </x:c>
      <x:c r="D213" s="16" t="str">
        <x:v>Katalog takip kaydı</x:v>
      </x:c>
      <x:c r="E213" s="16" t="str">
        <x:v>Ürün kataloğu — ayrıntılı ürün verisine erişilemedi</x:v>
      </x:c>
      <x:c r="F213" s="16" t="str">
        <x:v>Erişilemedi</x:v>
      </x:c>
      <x:c r="G213" s="17" t="str">
        <x:v>Erişilemedi</x:v>
      </x:c>
      <x:c r="H213" s="16" t="str">
        <x:v>Erişilemedi</x:v>
      </x:c>
      <x:c r="I213" s="18" t="str">
        <x:v>Erişilemedi</x:v>
      </x:c>
      <x:c r="J213" s="18" t="str">
        <x:v>Erişilemedi</x:v>
      </x:c>
      <x:c r="K213" s="18" t="str">
        <x:f>IF(AND(ISNUMBER(G213),ISNUMBER(I213)),I213/G213*1000,"Erişilemedi")</x:f>
        <x:v>Erişilemedi</x:v>
      </x:c>
      <x:c r="L213" s="16" t="str">
        <x:v>Erişilemedi</x:v>
      </x:c>
      <x:c r="M213" s="16" t="str">
        <x:v>Katalog/takip kaydı</x:v>
      </x:c>
      <x:c r="N213" s="16" t="str">
        <x:v>Instagram veya mevcut kaynak</x:v>
      </x:c>
      <x:c r="O213" s="16" t="str">
        <x:v>Takip gerekli</x:v>
      </x:c>
      <x:c r="P213" s="19" t="n">
        <x:v>46245</x:v>
      </x:c>
      <x:c r="Q213" s="20" t="str">
        <x:v>Erişilemedi</x:v>
      </x:c>
      <x:c r="R213" s="20" t="str">
        <x:v>Ürün adı, gramaj ve fiyat birlikte çıkarılamadı. Bağlantı manuel inceleme için korundu.</x:v>
      </x:c>
    </x:row>
    <x:row r="214" ht="40" customHeight="1">
      <x:c r="A214" s="16" t="str">
        <x:v>Boxx Coffee Roasters</x:v>
      </x:c>
      <x:c r="B214" s="16" t="str">
        <x:v>İstanbul</x:v>
      </x:c>
      <x:c r="C214" s="16" t="str">
        <x:v>Doğrulandı</x:v>
      </x:c>
      <x:c r="D214" s="16" t="str">
        <x:v>Ürün kaydı</x:v>
      </x:c>
      <x:c r="E214" s="16" t="str">
        <x:v>Blend No:1 1KG.</x:v>
      </x:c>
      <x:c r="F214" s="16" t="str">
        <x:v>Harman – menşe belirtilmemiş</x:v>
      </x:c>
      <x:c r="G214" s="17" t="n">
        <x:v>1000</x:v>
      </x:c>
      <x:c r="H214" s="16" t="str">
        <x:v>Erişildi</x:v>
      </x:c>
      <x:c r="I214" s="18" t="n">
        <x:v>1550</x:v>
      </x:c>
      <x:c r="J214" s="18" t="str">
        <x:v>Erişildi</x:v>
      </x:c>
      <x:c r="K214" s="18" t="n">
        <x:f>IF(AND(ISNUMBER(G214),ISNUMBER(I214)),I214/G214*1000,"Erişilemedi")</x:f>
        <x:v>1550</x:v>
      </x:c>
      <x:c r="L214" s="16" t="str">
        <x:v>Stokta</x:v>
      </x:c>
      <x:c r="M214" s="16" t="str">
        <x:v>Harman</x:v>
      </x:c>
      <x:c r="N214" s="16" t="str">
        <x:v>Shopify ürün akışı</x:v>
      </x:c>
      <x:c r="O214" s="16" t="str">
        <x:v>Yüksek</x:v>
      </x:c>
      <x:c r="P214" s="19" t="n">
        <x:v>46245</x:v>
      </x:c>
      <x:c r="Q214" s="20" t="str">
        <x:v>https://boxxcoffee.com/products/espresso-blend-no-1-1kg</x:v>
      </x:c>
      <x:c r="R214" s="20" t="str">
        <x:v>Öğütüm seçenekleri aynı gramaj ve fiyatta tekilleştirildi.</x:v>
      </x:c>
    </x:row>
    <x:row r="215" ht="40" customHeight="1">
      <x:c r="A215" s="16" t="str">
        <x:v>Boxx Coffee Roasters</x:v>
      </x:c>
      <x:c r="B215" s="16" t="str">
        <x:v>İstanbul</x:v>
      </x:c>
      <x:c r="C215" s="16" t="str">
        <x:v>Doğrulandı</x:v>
      </x:c>
      <x:c r="D215" s="16" t="str">
        <x:v>Ürün kaydı</x:v>
      </x:c>
      <x:c r="E215" s="16" t="str">
        <x:v>Blend No:1 250Gr.</x:v>
      </x:c>
      <x:c r="F215" s="16" t="str">
        <x:v>Harman – menşe belirtilmemiş</x:v>
      </x:c>
      <x:c r="G215" s="17" t="n">
        <x:v>250</x:v>
      </x:c>
      <x:c r="H215" s="16" t="str">
        <x:v>Erişildi</x:v>
      </x:c>
      <x:c r="I215" s="18" t="n">
        <x:v>485</x:v>
      </x:c>
      <x:c r="J215" s="18" t="str">
        <x:v>Erişildi</x:v>
      </x:c>
      <x:c r="K215" s="18" t="n">
        <x:f>IF(AND(ISNUMBER(G215),ISNUMBER(I215)),I215/G215*1000,"Erişilemedi")</x:f>
        <x:v>1940</x:v>
      </x:c>
      <x:c r="L215" s="16" t="str">
        <x:v>Stokta</x:v>
      </x:c>
      <x:c r="M215" s="16" t="str">
        <x:v>Harman</x:v>
      </x:c>
      <x:c r="N215" s="16" t="str">
        <x:v>Shopify ürün akışı</x:v>
      </x:c>
      <x:c r="O215" s="16" t="str">
        <x:v>Yüksek</x:v>
      </x:c>
      <x:c r="P215" s="19" t="n">
        <x:v>46245</x:v>
      </x:c>
      <x:c r="Q215" s="20" t="str">
        <x:v>https://boxxcoffee.com/products/espresso-blend-no-1-250gr</x:v>
      </x:c>
      <x:c r="R215" s="20" t="str">
        <x:v>Öğütüm seçenekleri aynı gramaj ve fiyatta tekilleştirildi.</x:v>
      </x:c>
    </x:row>
    <x:row r="216" ht="40" customHeight="1">
      <x:c r="A216" s="16" t="str">
        <x:v>Boxx Coffee Roasters</x:v>
      </x:c>
      <x:c r="B216" s="16" t="str">
        <x:v>İstanbul</x:v>
      </x:c>
      <x:c r="C216" s="16" t="str">
        <x:v>Doğrulandı</x:v>
      </x:c>
      <x:c r="D216" s="16" t="str">
        <x:v>Ürün kaydı</x:v>
      </x:c>
      <x:c r="E216" s="16" t="str">
        <x:v>Blend XX 1KG.</x:v>
      </x:c>
      <x:c r="F216" s="16" t="str">
        <x:v>Etiyopya | Brezilya</x:v>
      </x:c>
      <x:c r="G216" s="17" t="n">
        <x:v>1000</x:v>
      </x:c>
      <x:c r="H216" s="16" t="str">
        <x:v>Erişildi</x:v>
      </x:c>
      <x:c r="I216" s="18" t="n">
        <x:v>1440</x:v>
      </x:c>
      <x:c r="J216" s="18" t="str">
        <x:v>Erişildi</x:v>
      </x:c>
      <x:c r="K216" s="18" t="n">
        <x:f>IF(AND(ISNUMBER(G216),ISNUMBER(I216)),I216/G216*1000,"Erişilemedi")</x:f>
        <x:v>1440</x:v>
      </x:c>
      <x:c r="L216" s="16" t="str">
        <x:v>Stokta</x:v>
      </x:c>
      <x:c r="M216" s="16" t="str">
        <x:v>Harman</x:v>
      </x:c>
      <x:c r="N216" s="16" t="str">
        <x:v>Shopify ürün akışı</x:v>
      </x:c>
      <x:c r="O216" s="16" t="str">
        <x:v>Yüksek</x:v>
      </x:c>
      <x:c r="P216" s="19" t="n">
        <x:v>46245</x:v>
      </x:c>
      <x:c r="Q216" s="20" t="str">
        <x:v>https://boxxcoffee.com/products/espresso-blend-xx-250-gr</x:v>
      </x:c>
      <x:c r="R216" s="20" t="str">
        <x:v>Öğütüm seçenekleri aynı gramaj ve fiyatta tekilleştirildi.</x:v>
      </x:c>
    </x:row>
    <x:row r="217" ht="40" customHeight="1">
      <x:c r="A217" s="16" t="str">
        <x:v>Boxx Coffee Roasters</x:v>
      </x:c>
      <x:c r="B217" s="16" t="str">
        <x:v>İstanbul</x:v>
      </x:c>
      <x:c r="C217" s="16" t="str">
        <x:v>Doğrulandı</x:v>
      </x:c>
      <x:c r="D217" s="16" t="str">
        <x:v>Ürün kaydı</x:v>
      </x:c>
      <x:c r="E217" s="16" t="str">
        <x:v>Blend XX 250Gr.</x:v>
      </x:c>
      <x:c r="F217" s="16" t="str">
        <x:v>Etiyopya | Brezilya</x:v>
      </x:c>
      <x:c r="G217" s="17" t="n">
        <x:v>250</x:v>
      </x:c>
      <x:c r="H217" s="16" t="str">
        <x:v>Erişildi</x:v>
      </x:c>
      <x:c r="I217" s="18" t="n">
        <x:v>450</x:v>
      </x:c>
      <x:c r="J217" s="18" t="str">
        <x:v>Erişildi</x:v>
      </x:c>
      <x:c r="K217" s="18" t="n">
        <x:f>IF(AND(ISNUMBER(G217),ISNUMBER(I217)),I217/G217*1000,"Erişilemedi")</x:f>
        <x:v>1800</x:v>
      </x:c>
      <x:c r="L217" s="16" t="str">
        <x:v>Stokta</x:v>
      </x:c>
      <x:c r="M217" s="16" t="str">
        <x:v>Harman</x:v>
      </x:c>
      <x:c r="N217" s="16" t="str">
        <x:v>Shopify ürün akışı</x:v>
      </x:c>
      <x:c r="O217" s="16" t="str">
        <x:v>Yüksek</x:v>
      </x:c>
      <x:c r="P217" s="19" t="n">
        <x:v>46245</x:v>
      </x:c>
      <x:c r="Q217" s="20" t="str">
        <x:v>https://boxxcoffee.com/products/espresso-blend-xx-250gr</x:v>
      </x:c>
      <x:c r="R217" s="20" t="str">
        <x:v>Öğütüm seçenekleri aynı gramaj ve fiyatta tekilleştirildi.</x:v>
      </x:c>
    </x:row>
    <x:row r="218" ht="40" customHeight="1">
      <x:c r="A218" s="16" t="str">
        <x:v>Boxx Coffee Roasters</x:v>
      </x:c>
      <x:c r="B218" s="16" t="str">
        <x:v>İstanbul</x:v>
      </x:c>
      <x:c r="C218" s="16" t="str">
        <x:v>Doğrulandı</x:v>
      </x:c>
      <x:c r="D218" s="16" t="str">
        <x:v>Ürün kaydı</x:v>
      </x:c>
      <x:c r="E218" s="16" t="str">
        <x:v>Brazil Anhumas 1KG.</x:v>
      </x:c>
      <x:c r="F218" s="16" t="str">
        <x:v>Brezilya</x:v>
      </x:c>
      <x:c r="G218" s="17" t="n">
        <x:v>1000</x:v>
      </x:c>
      <x:c r="H218" s="16" t="str">
        <x:v>Erişildi</x:v>
      </x:c>
      <x:c r="I218" s="18" t="n">
        <x:v>1565</x:v>
      </x:c>
      <x:c r="J218" s="18" t="str">
        <x:v>Erişildi</x:v>
      </x:c>
      <x:c r="K218" s="18" t="n">
        <x:f>IF(AND(ISNUMBER(G218),ISNUMBER(I218)),I218/G218*1000,"Erişilemedi")</x:f>
        <x:v>1565</x:v>
      </x:c>
      <x:c r="L218" s="16" t="str">
        <x:v>Stokta</x:v>
      </x:c>
      <x:c r="M218" s="16" t="str">
        <x:v>Tek köken/ürün</x:v>
      </x:c>
      <x:c r="N218" s="16" t="str">
        <x:v>Shopify ürün akışı</x:v>
      </x:c>
      <x:c r="O218" s="16" t="str">
        <x:v>Yüksek</x:v>
      </x:c>
      <x:c r="P218" s="19" t="n">
        <x:v>46245</x:v>
      </x:c>
      <x:c r="Q218" s="20" t="str">
        <x:v>https://boxxcoffee.com/products/brazil-anhumas-1kg</x:v>
      </x:c>
      <x:c r="R218" s="20" t="str">
        <x:v>Öğütüm seçenekleri aynı gramaj ve fiyatta tekilleştirildi.</x:v>
      </x:c>
    </x:row>
    <x:row r="219" ht="40" customHeight="1">
      <x:c r="A219" s="16" t="str">
        <x:v>Boxx Coffee Roasters</x:v>
      </x:c>
      <x:c r="B219" s="16" t="str">
        <x:v>İstanbul</x:v>
      </x:c>
      <x:c r="C219" s="16" t="str">
        <x:v>Doğrulandı</x:v>
      </x:c>
      <x:c r="D219" s="16" t="str">
        <x:v>Ürün kaydı</x:v>
      </x:c>
      <x:c r="E219" s="16" t="str">
        <x:v>Brazil Anhumas 250Gr.</x:v>
      </x:c>
      <x:c r="F219" s="16" t="str">
        <x:v>Brezilya</x:v>
      </x:c>
      <x:c r="G219" s="17" t="n">
        <x:v>250</x:v>
      </x:c>
      <x:c r="H219" s="16" t="str">
        <x:v>Erişildi</x:v>
      </x:c>
      <x:c r="I219" s="18" t="n">
        <x:v>490</x:v>
      </x:c>
      <x:c r="J219" s="18" t="str">
        <x:v>Erişildi</x:v>
      </x:c>
      <x:c r="K219" s="18" t="n">
        <x:f>IF(AND(ISNUMBER(G219),ISNUMBER(I219)),I219/G219*1000,"Erişilemedi")</x:f>
        <x:v>1960</x:v>
      </x:c>
      <x:c r="L219" s="16" t="str">
        <x:v>Stokta</x:v>
      </x:c>
      <x:c r="M219" s="16" t="str">
        <x:v>Tek köken/ürün</x:v>
      </x:c>
      <x:c r="N219" s="16" t="str">
        <x:v>Shopify ürün akışı</x:v>
      </x:c>
      <x:c r="O219" s="16" t="str">
        <x:v>Yüksek</x:v>
      </x:c>
      <x:c r="P219" s="19" t="n">
        <x:v>46245</x:v>
      </x:c>
      <x:c r="Q219" s="20" t="str">
        <x:v>https://boxxcoffee.com/products/brazil-anhumas-250gr</x:v>
      </x:c>
      <x:c r="R219" s="20" t="str">
        <x:v>Öğütüm seçenekleri aynı gramaj ve fiyatta tekilleştirildi.</x:v>
      </x:c>
    </x:row>
    <x:row r="220" ht="40" customHeight="1">
      <x:c r="A220" s="16" t="str">
        <x:v>Boxx Coffee Roasters</x:v>
      </x:c>
      <x:c r="B220" s="16" t="str">
        <x:v>İstanbul</x:v>
      </x:c>
      <x:c r="C220" s="16" t="str">
        <x:v>Doğrulandı</x:v>
      </x:c>
      <x:c r="D220" s="16" t="str">
        <x:v>Ürün kaydı</x:v>
      </x:c>
      <x:c r="E220" s="16" t="str">
        <x:v>Colombia Bolivar 1KG</x:v>
      </x:c>
      <x:c r="F220" s="16" t="str">
        <x:v>Kolombiya</x:v>
      </x:c>
      <x:c r="G220" s="17" t="n">
        <x:v>1000</x:v>
      </x:c>
      <x:c r="H220" s="16" t="str">
        <x:v>Erişildi</x:v>
      </x:c>
      <x:c r="I220" s="18" t="n">
        <x:v>1805</x:v>
      </x:c>
      <x:c r="J220" s="18" t="str">
        <x:v>Erişildi</x:v>
      </x:c>
      <x:c r="K220" s="18" t="n">
        <x:f>IF(AND(ISNUMBER(G220),ISNUMBER(I220)),I220/G220*1000,"Erişilemedi")</x:f>
        <x:v>1805</x:v>
      </x:c>
      <x:c r="L220" s="16" t="str">
        <x:v>Stokta</x:v>
      </x:c>
      <x:c r="M220" s="16" t="str">
        <x:v>Tek köken/ürün</x:v>
      </x:c>
      <x:c r="N220" s="16" t="str">
        <x:v>Shopify ürün akışı</x:v>
      </x:c>
      <x:c r="O220" s="16" t="str">
        <x:v>Yüksek</x:v>
      </x:c>
      <x:c r="P220" s="19" t="n">
        <x:v>46245</x:v>
      </x:c>
      <x:c r="Q220" s="20" t="str">
        <x:v>https://boxxcoffee.com/products/colombia-bolivar-1kg</x:v>
      </x:c>
      <x:c r="R220" s="20" t="str">
        <x:v>Öğütüm seçenekleri aynı gramaj ve fiyatta tekilleştirildi.</x:v>
      </x:c>
    </x:row>
    <x:row r="221" ht="40" customHeight="1">
      <x:c r="A221" s="16" t="str">
        <x:v>Boxx Coffee Roasters</x:v>
      </x:c>
      <x:c r="B221" s="16" t="str">
        <x:v>İstanbul</x:v>
      </x:c>
      <x:c r="C221" s="16" t="str">
        <x:v>Doğrulandı</x:v>
      </x:c>
      <x:c r="D221" s="16" t="str">
        <x:v>Ürün kaydı</x:v>
      </x:c>
      <x:c r="E221" s="16" t="str">
        <x:v>Colombia Bolivar 250Gr</x:v>
      </x:c>
      <x:c r="F221" s="16" t="str">
        <x:v>Kolombiya</x:v>
      </x:c>
      <x:c r="G221" s="17" t="n">
        <x:v>250</x:v>
      </x:c>
      <x:c r="H221" s="16" t="str">
        <x:v>Erişildi</x:v>
      </x:c>
      <x:c r="I221" s="18" t="n">
        <x:v>565</x:v>
      </x:c>
      <x:c r="J221" s="18" t="str">
        <x:v>Erişildi</x:v>
      </x:c>
      <x:c r="K221" s="18" t="n">
        <x:f>IF(AND(ISNUMBER(G221),ISNUMBER(I221)),I221/G221*1000,"Erişilemedi")</x:f>
        <x:v>2260</x:v>
      </x:c>
      <x:c r="L221" s="16" t="str">
        <x:v>Stokta</x:v>
      </x:c>
      <x:c r="M221" s="16" t="str">
        <x:v>Tek köken/ürün</x:v>
      </x:c>
      <x:c r="N221" s="16" t="str">
        <x:v>Shopify ürün akışı</x:v>
      </x:c>
      <x:c r="O221" s="16" t="str">
        <x:v>Yüksek</x:v>
      </x:c>
      <x:c r="P221" s="19" t="n">
        <x:v>46245</x:v>
      </x:c>
      <x:c r="Q221" s="20" t="str">
        <x:v>https://boxxcoffee.com/products/colombia-bolivar-250gr</x:v>
      </x:c>
      <x:c r="R221" s="20" t="str">
        <x:v>Öğütüm seçenekleri aynı gramaj ve fiyatta tekilleştirildi.</x:v>
      </x:c>
    </x:row>
    <x:row r="222" ht="40" customHeight="1">
      <x:c r="A222" s="16" t="str">
        <x:v>Boxx Coffee Roasters</x:v>
      </x:c>
      <x:c r="B222" s="16" t="str">
        <x:v>İstanbul</x:v>
      </x:c>
      <x:c r="C222" s="16" t="str">
        <x:v>Doğrulandı</x:v>
      </x:c>
      <x:c r="D222" s="16" t="str">
        <x:v>Ürün kaydı</x:v>
      </x:c>
      <x:c r="E222" s="16" t="str">
        <x:v>Ethiopia Boreta Malawo Woyo 1KG.</x:v>
      </x:c>
      <x:c r="F222" s="16" t="str">
        <x:v>Etiyopya</x:v>
      </x:c>
      <x:c r="G222" s="17" t="n">
        <x:v>1000</x:v>
      </x:c>
      <x:c r="H222" s="16" t="str">
        <x:v>Erişildi</x:v>
      </x:c>
      <x:c r="I222" s="18" t="n">
        <x:v>2650</x:v>
      </x:c>
      <x:c r="J222" s="18" t="str">
        <x:v>Erişildi</x:v>
      </x:c>
      <x:c r="K222" s="18" t="n">
        <x:f>IF(AND(ISNUMBER(G222),ISNUMBER(I222)),I222/G222*1000,"Erişilemedi")</x:f>
        <x:v>2650</x:v>
      </x:c>
      <x:c r="L222" s="16" t="str">
        <x:v>Stokta</x:v>
      </x:c>
      <x:c r="M222" s="16" t="str">
        <x:v>Tek köken/ürün</x:v>
      </x:c>
      <x:c r="N222" s="16" t="str">
        <x:v>Shopify ürün akışı</x:v>
      </x:c>
      <x:c r="O222" s="16" t="str">
        <x:v>Yüksek</x:v>
      </x:c>
      <x:c r="P222" s="19" t="n">
        <x:v>46245</x:v>
      </x:c>
      <x:c r="Q222" s="20" t="str">
        <x:v>https://boxxcoffee.com/products/ethiopia-boreta-malawo-woyo-1kg</x:v>
      </x:c>
      <x:c r="R222" s="20" t="str">
        <x:v>Öğütüm seçenekleri aynı gramaj ve fiyatta tekilleştirildi.</x:v>
      </x:c>
    </x:row>
    <x:row r="223" ht="40" customHeight="1">
      <x:c r="A223" s="16" t="str">
        <x:v>Boxx Coffee Roasters</x:v>
      </x:c>
      <x:c r="B223" s="16" t="str">
        <x:v>İstanbul</x:v>
      </x:c>
      <x:c r="C223" s="16" t="str">
        <x:v>Doğrulandı</x:v>
      </x:c>
      <x:c r="D223" s="16" t="str">
        <x:v>Ürün kaydı</x:v>
      </x:c>
      <x:c r="E223" s="16" t="str">
        <x:v>Ethiopia Guji G1 1KG.</x:v>
      </x:c>
      <x:c r="F223" s="16" t="str">
        <x:v>Etiyopya</x:v>
      </x:c>
      <x:c r="G223" s="17" t="n">
        <x:v>1000</x:v>
      </x:c>
      <x:c r="H223" s="16" t="str">
        <x:v>Erişildi</x:v>
      </x:c>
      <x:c r="I223" s="18" t="n">
        <x:v>1935</x:v>
      </x:c>
      <x:c r="J223" s="18" t="str">
        <x:v>Erişildi</x:v>
      </x:c>
      <x:c r="K223" s="18" t="n">
        <x:f>IF(AND(ISNUMBER(G223),ISNUMBER(I223)),I223/G223*1000,"Erişilemedi")</x:f>
        <x:v>1935</x:v>
      </x:c>
      <x:c r="L223" s="16" t="str">
        <x:v>Stokta</x:v>
      </x:c>
      <x:c r="M223" s="16" t="str">
        <x:v>Tek köken/ürün</x:v>
      </x:c>
      <x:c r="N223" s="16" t="str">
        <x:v>Shopify ürün akışı</x:v>
      </x:c>
      <x:c r="O223" s="16" t="str">
        <x:v>Yüksek</x:v>
      </x:c>
      <x:c r="P223" s="19" t="n">
        <x:v>46245</x:v>
      </x:c>
      <x:c r="Q223" s="20" t="str">
        <x:v>https://boxxcoffee.com/products/ethiopia-sidamo-1kg</x:v>
      </x:c>
      <x:c r="R223" s="20" t="str">
        <x:v>Öğütüm seçenekleri aynı gramaj ve fiyatta tekilleştirildi.</x:v>
      </x:c>
    </x:row>
    <x:row r="224" ht="40" customHeight="1">
      <x:c r="A224" s="16" t="str">
        <x:v>Boxx Coffee Roasters</x:v>
      </x:c>
      <x:c r="B224" s="16" t="str">
        <x:v>İstanbul</x:v>
      </x:c>
      <x:c r="C224" s="16" t="str">
        <x:v>Doğrulandı</x:v>
      </x:c>
      <x:c r="D224" s="16" t="str">
        <x:v>Ürün kaydı</x:v>
      </x:c>
      <x:c r="E224" s="16" t="str">
        <x:v>Ethiopia Guji G1 250Gr</x:v>
      </x:c>
      <x:c r="F224" s="16" t="str">
        <x:v>Etiyopya</x:v>
      </x:c>
      <x:c r="G224" s="17" t="n">
        <x:v>250</x:v>
      </x:c>
      <x:c r="H224" s="16" t="str">
        <x:v>Erişildi</x:v>
      </x:c>
      <x:c r="I224" s="18" t="n">
        <x:v>555</x:v>
      </x:c>
      <x:c r="J224" s="18" t="str">
        <x:v>Erişildi</x:v>
      </x:c>
      <x:c r="K224" s="18" t="n">
        <x:f>IF(AND(ISNUMBER(G224),ISNUMBER(I224)),I224/G224*1000,"Erişilemedi")</x:f>
        <x:v>2220</x:v>
      </x:c>
      <x:c r="L224" s="16" t="str">
        <x:v>Stokta</x:v>
      </x:c>
      <x:c r="M224" s="16" t="str">
        <x:v>Tek köken/ürün</x:v>
      </x:c>
      <x:c r="N224" s="16" t="str">
        <x:v>Shopify ürün akışı</x:v>
      </x:c>
      <x:c r="O224" s="16" t="str">
        <x:v>Yüksek</x:v>
      </x:c>
      <x:c r="P224" s="19" t="n">
        <x:v>46245</x:v>
      </x:c>
      <x:c r="Q224" s="20" t="str">
        <x:v>https://boxxcoffee.com/products/ethiopia-guji-g1-250gr</x:v>
      </x:c>
      <x:c r="R224" s="20" t="str">
        <x:v>Öğütüm seçenekleri aynı gramaj ve fiyatta tekilleştirildi.</x:v>
      </x:c>
    </x:row>
    <x:row r="225" ht="40" customHeight="1">
      <x:c r="A225" s="16" t="str">
        <x:v>Boxx Coffee Roasters</x:v>
      </x:c>
      <x:c r="B225" s="16" t="str">
        <x:v>İstanbul</x:v>
      </x:c>
      <x:c r="C225" s="16" t="str">
        <x:v>Doğrulandı</x:v>
      </x:c>
      <x:c r="D225" s="16" t="str">
        <x:v>Ürün kaydı</x:v>
      </x:c>
      <x:c r="E225" s="16" t="str">
        <x:v>Ethiopia Malawo Boreta Woyo 250Gr.</x:v>
      </x:c>
      <x:c r="F225" s="16" t="str">
        <x:v>Etiyopya</x:v>
      </x:c>
      <x:c r="G225" s="17" t="n">
        <x:v>250</x:v>
      </x:c>
      <x:c r="H225" s="16" t="str">
        <x:v>Erişildi</x:v>
      </x:c>
      <x:c r="I225" s="18" t="n">
        <x:v>800</x:v>
      </x:c>
      <x:c r="J225" s="18" t="str">
        <x:v>Erişildi</x:v>
      </x:c>
      <x:c r="K225" s="18" t="n">
        <x:f>IF(AND(ISNUMBER(G225),ISNUMBER(I225)),I225/G225*1000,"Erişilemedi")</x:f>
        <x:v>3200</x:v>
      </x:c>
      <x:c r="L225" s="16" t="str">
        <x:v>Stokta</x:v>
      </x:c>
      <x:c r="M225" s="16" t="str">
        <x:v>Tek köken/ürün</x:v>
      </x:c>
      <x:c r="N225" s="16" t="str">
        <x:v>Shopify ürün akışı</x:v>
      </x:c>
      <x:c r="O225" s="16" t="str">
        <x:v>Yüksek</x:v>
      </x:c>
      <x:c r="P225" s="19" t="n">
        <x:v>46245</x:v>
      </x:c>
      <x:c r="Q225" s="20" t="str">
        <x:v>https://boxxcoffee.com/products/ethiopia-malawo-boreta-woyo-250gr</x:v>
      </x:c>
      <x:c r="R225" s="20" t="str">
        <x:v>Öğütüm seçenekleri aynı gramaj ve fiyatta tekilleştirildi.</x:v>
      </x:c>
    </x:row>
    <x:row r="226" ht="40" customHeight="1">
      <x:c r="A226" s="16" t="str">
        <x:v>Boxx Coffee Roasters</x:v>
      </x:c>
      <x:c r="B226" s="16" t="str">
        <x:v>İstanbul</x:v>
      </x:c>
      <x:c r="C226" s="16" t="str">
        <x:v>Doğrulandı</x:v>
      </x:c>
      <x:c r="D226" s="16" t="str">
        <x:v>Ürün kaydı</x:v>
      </x:c>
      <x:c r="E226" s="16" t="str">
        <x:v>Ethiopia Sidamo 1KG.</x:v>
      </x:c>
      <x:c r="F226" s="16" t="str">
        <x:v>Etiyopya</x:v>
      </x:c>
      <x:c r="G226" s="17" t="n">
        <x:v>1000</x:v>
      </x:c>
      <x:c r="H226" s="16" t="str">
        <x:v>Erişildi</x:v>
      </x:c>
      <x:c r="I226" s="18" t="n">
        <x:v>2165</x:v>
      </x:c>
      <x:c r="J226" s="18" t="str">
        <x:v>Erişildi</x:v>
      </x:c>
      <x:c r="K226" s="18" t="n">
        <x:f>IF(AND(ISNUMBER(G226),ISNUMBER(I226)),I226/G226*1000,"Erişilemedi")</x:f>
        <x:v>2165</x:v>
      </x:c>
      <x:c r="L226" s="16" t="str">
        <x:v>Stokta</x:v>
      </x:c>
      <x:c r="M226" s="16" t="str">
        <x:v>Tek köken/ürün</x:v>
      </x:c>
      <x:c r="N226" s="16" t="str">
        <x:v>Shopify ürün akışı</x:v>
      </x:c>
      <x:c r="O226" s="16" t="str">
        <x:v>Yüksek</x:v>
      </x:c>
      <x:c r="P226" s="19" t="n">
        <x:v>46245</x:v>
      </x:c>
      <x:c r="Q226" s="20" t="str">
        <x:v>https://boxxcoffee.com/products/ethiopia-sidamo-1kg-1</x:v>
      </x:c>
      <x:c r="R226" s="20" t="str">
        <x:v>Öğütüm seçenekleri aynı gramaj ve fiyatta tekilleştirildi.</x:v>
      </x:c>
    </x:row>
    <x:row r="227" ht="40" customHeight="1">
      <x:c r="A227" s="16" t="str">
        <x:v>Boxx Coffee Roasters</x:v>
      </x:c>
      <x:c r="B227" s="16" t="str">
        <x:v>İstanbul</x:v>
      </x:c>
      <x:c r="C227" s="16" t="str">
        <x:v>Doğrulandı</x:v>
      </x:c>
      <x:c r="D227" s="16" t="str">
        <x:v>Ürün kaydı</x:v>
      </x:c>
      <x:c r="E227" s="16" t="str">
        <x:v>Ethiopia Sidamo 250Gr.</x:v>
      </x:c>
      <x:c r="F227" s="16" t="str">
        <x:v>Etiyopya</x:v>
      </x:c>
      <x:c r="G227" s="17" t="n">
        <x:v>250</x:v>
      </x:c>
      <x:c r="H227" s="16" t="str">
        <x:v>Erişildi</x:v>
      </x:c>
      <x:c r="I227" s="18" t="n">
        <x:v>640</x:v>
      </x:c>
      <x:c r="J227" s="18" t="str">
        <x:v>Erişildi</x:v>
      </x:c>
      <x:c r="K227" s="18" t="n">
        <x:f>IF(AND(ISNUMBER(G227),ISNUMBER(I227)),I227/G227*1000,"Erişilemedi")</x:f>
        <x:v>2560</x:v>
      </x:c>
      <x:c r="L227" s="16" t="str">
        <x:v>Stokta</x:v>
      </x:c>
      <x:c r="M227" s="16" t="str">
        <x:v>Tek köken/ürün</x:v>
      </x:c>
      <x:c r="N227" s="16" t="str">
        <x:v>Shopify ürün akışı</x:v>
      </x:c>
      <x:c r="O227" s="16" t="str">
        <x:v>Yüksek</x:v>
      </x:c>
      <x:c r="P227" s="19" t="n">
        <x:v>46245</x:v>
      </x:c>
      <x:c r="Q227" s="20" t="str">
        <x:v>https://boxxcoffee.com/products/ethiopia-sidama-250gr-1</x:v>
      </x:c>
      <x:c r="R227" s="20" t="str">
        <x:v>Öğütüm seçenekleri aynı gramaj ve fiyatta tekilleştirildi.</x:v>
      </x:c>
    </x:row>
    <x:row r="228" ht="40" customHeight="1">
      <x:c r="A228" s="16" t="str">
        <x:v>Boxx Coffee Roasters</x:v>
      </x:c>
      <x:c r="B228" s="16" t="str">
        <x:v>İstanbul</x:v>
      </x:c>
      <x:c r="C228" s="16" t="str">
        <x:v>Doğrulandı</x:v>
      </x:c>
      <x:c r="D228" s="16" t="str">
        <x:v>Ürün kaydı</x:v>
      </x:c>
      <x:c r="E228" s="16" t="str">
        <x:v>Indonesia Java Halu Kartini 1KG.</x:v>
      </x:c>
      <x:c r="F228" s="16" t="str">
        <x:v>Endonezya</x:v>
      </x:c>
      <x:c r="G228" s="17" t="n">
        <x:v>1000</x:v>
      </x:c>
      <x:c r="H228" s="16" t="str">
        <x:v>Erişildi</x:v>
      </x:c>
      <x:c r="I228" s="18" t="n">
        <x:v>2720</x:v>
      </x:c>
      <x:c r="J228" s="18" t="str">
        <x:v>Erişildi</x:v>
      </x:c>
      <x:c r="K228" s="18" t="n">
        <x:f>IF(AND(ISNUMBER(G228),ISNUMBER(I228)),I228/G228*1000,"Erişilemedi")</x:f>
        <x:v>2720</x:v>
      </x:c>
      <x:c r="L228" s="16" t="str">
        <x:v>Stokta</x:v>
      </x:c>
      <x:c r="M228" s="16" t="str">
        <x:v>Tek köken/ürün</x:v>
      </x:c>
      <x:c r="N228" s="16" t="str">
        <x:v>Shopify ürün akışı</x:v>
      </x:c>
      <x:c r="O228" s="16" t="str">
        <x:v>Yüksek</x:v>
      </x:c>
      <x:c r="P228" s="19" t="n">
        <x:v>46245</x:v>
      </x:c>
      <x:c r="Q228" s="20" t="str">
        <x:v>https://boxxcoffee.com/products/indonesia-java-halu-kartini-1kg</x:v>
      </x:c>
      <x:c r="R228" s="20" t="str">
        <x:v>Öğütüm seçenekleri aynı gramaj ve fiyatta tekilleştirildi.</x:v>
      </x:c>
    </x:row>
    <x:row r="229" ht="40" customHeight="1">
      <x:c r="A229" s="16" t="str">
        <x:v>Boxx Coffee Roasters</x:v>
      </x:c>
      <x:c r="B229" s="16" t="str">
        <x:v>İstanbul</x:v>
      </x:c>
      <x:c r="C229" s="16" t="str">
        <x:v>Doğrulandı</x:v>
      </x:c>
      <x:c r="D229" s="16" t="str">
        <x:v>Ürün kaydı</x:v>
      </x:c>
      <x:c r="E229" s="16" t="str">
        <x:v>Indonesia Java Halu Kartini 250Gr.</x:v>
      </x:c>
      <x:c r="F229" s="16" t="str">
        <x:v>Endonezya</x:v>
      </x:c>
      <x:c r="G229" s="17" t="n">
        <x:v>250</x:v>
      </x:c>
      <x:c r="H229" s="16" t="str">
        <x:v>Erişildi</x:v>
      </x:c>
      <x:c r="I229" s="18" t="n">
        <x:v>825</x:v>
      </x:c>
      <x:c r="J229" s="18" t="str">
        <x:v>Erişildi</x:v>
      </x:c>
      <x:c r="K229" s="18" t="n">
        <x:f>IF(AND(ISNUMBER(G229),ISNUMBER(I229)),I229/G229*1000,"Erişilemedi")</x:f>
        <x:v>3300</x:v>
      </x:c>
      <x:c r="L229" s="16" t="str">
        <x:v>Stokta</x:v>
      </x:c>
      <x:c r="M229" s="16" t="str">
        <x:v>Tek köken/ürün</x:v>
      </x:c>
      <x:c r="N229" s="16" t="str">
        <x:v>Shopify ürün akışı</x:v>
      </x:c>
      <x:c r="O229" s="16" t="str">
        <x:v>Yüksek</x:v>
      </x:c>
      <x:c r="P229" s="19" t="n">
        <x:v>46245</x:v>
      </x:c>
      <x:c r="Q229" s="20" t="str">
        <x:v>https://boxxcoffee.com/products/indonesia-java-halu-kartini-250gr</x:v>
      </x:c>
      <x:c r="R229" s="20" t="str">
        <x:v>Öğütüm seçenekleri aynı gramaj ve fiyatta tekilleştirildi.</x:v>
      </x:c>
    </x:row>
    <x:row r="230" ht="40" customHeight="1">
      <x:c r="A230" s="16" t="str">
        <x:v>Boxx Coffee Roasters</x:v>
      </x:c>
      <x:c r="B230" s="16" t="str">
        <x:v>İstanbul</x:v>
      </x:c>
      <x:c r="C230" s="16" t="str">
        <x:v>Doğrulandı</x:v>
      </x:c>
      <x:c r="D230" s="16" t="str">
        <x:v>Ürün kaydı</x:v>
      </x:c>
      <x:c r="E230" s="16" t="str">
        <x:v>Indonesia Mas Iyan Hanya 1KG.</x:v>
      </x:c>
      <x:c r="F230" s="16" t="str">
        <x:v>Endonezya</x:v>
      </x:c>
      <x:c r="G230" s="17" t="n">
        <x:v>1000</x:v>
      </x:c>
      <x:c r="H230" s="16" t="str">
        <x:v>Erişildi</x:v>
      </x:c>
      <x:c r="I230" s="18" t="n">
        <x:v>1935</x:v>
      </x:c>
      <x:c r="J230" s="18" t="str">
        <x:v>Erişildi</x:v>
      </x:c>
      <x:c r="K230" s="18" t="n">
        <x:f>IF(AND(ISNUMBER(G230),ISNUMBER(I230)),I230/G230*1000,"Erişilemedi")</x:f>
        <x:v>1935</x:v>
      </x:c>
      <x:c r="L230" s="16" t="str">
        <x:v>Stokta</x:v>
      </x:c>
      <x:c r="M230" s="16" t="str">
        <x:v>Tek köken/ürün</x:v>
      </x:c>
      <x:c r="N230" s="16" t="str">
        <x:v>Shopify ürün akışı</x:v>
      </x:c>
      <x:c r="O230" s="16" t="str">
        <x:v>Yüksek</x:v>
      </x:c>
      <x:c r="P230" s="19" t="n">
        <x:v>46245</x:v>
      </x:c>
      <x:c r="Q230" s="20" t="str">
        <x:v>https://boxxcoffee.com/products/indonesia-mas-iyan-hanya-1kg</x:v>
      </x:c>
      <x:c r="R230" s="20" t="str">
        <x:v>Öğütüm seçenekleri aynı gramaj ve fiyatta tekilleştirildi.</x:v>
      </x:c>
    </x:row>
    <x:row r="231" ht="40" customHeight="1">
      <x:c r="A231" s="16" t="str">
        <x:v>Boxx Coffee Roasters</x:v>
      </x:c>
      <x:c r="B231" s="16" t="str">
        <x:v>İstanbul</x:v>
      </x:c>
      <x:c r="C231" s="16" t="str">
        <x:v>Doğrulandı</x:v>
      </x:c>
      <x:c r="D231" s="16" t="str">
        <x:v>Ürün kaydı</x:v>
      </x:c>
      <x:c r="E231" s="16" t="str">
        <x:v>Indonesia Mas Iyan Hanya 250Gr.</x:v>
      </x:c>
      <x:c r="F231" s="16" t="str">
        <x:v>Endonezya</x:v>
      </x:c>
      <x:c r="G231" s="17" t="n">
        <x:v>250</x:v>
      </x:c>
      <x:c r="H231" s="16" t="str">
        <x:v>Erişildi</x:v>
      </x:c>
      <x:c r="I231" s="18" t="n">
        <x:v>555</x:v>
      </x:c>
      <x:c r="J231" s="18" t="str">
        <x:v>Erişildi</x:v>
      </x:c>
      <x:c r="K231" s="18" t="n">
        <x:f>IF(AND(ISNUMBER(G231),ISNUMBER(I231)),I231/G231*1000,"Erişilemedi")</x:f>
        <x:v>2220</x:v>
      </x:c>
      <x:c r="L231" s="16" t="str">
        <x:v>Stokta</x:v>
      </x:c>
      <x:c r="M231" s="16" t="str">
        <x:v>Tek köken/ürün</x:v>
      </x:c>
      <x:c r="N231" s="16" t="str">
        <x:v>Shopify ürün akışı</x:v>
      </x:c>
      <x:c r="O231" s="16" t="str">
        <x:v>Yüksek</x:v>
      </x:c>
      <x:c r="P231" s="19" t="n">
        <x:v>46245</x:v>
      </x:c>
      <x:c r="Q231" s="20" t="str">
        <x:v>https://boxxcoffee.com/products/indonesia-mas-iyan-hanya-250gr</x:v>
      </x:c>
      <x:c r="R231" s="20" t="str">
        <x:v>Öğütüm seçenekleri aynı gramaj ve fiyatta tekilleştirildi.</x:v>
      </x:c>
    </x:row>
    <x:row r="232" ht="40" customHeight="1">
      <x:c r="A232" s="16" t="str">
        <x:v>Boxx Coffee Roasters</x:v>
      </x:c>
      <x:c r="B232" s="16" t="str">
        <x:v>İstanbul</x:v>
      </x:c>
      <x:c r="C232" s="16" t="str">
        <x:v>Doğrulandı</x:v>
      </x:c>
      <x:c r="D232" s="16" t="str">
        <x:v>Ürün kaydı</x:v>
      </x:c>
      <x:c r="E232" s="16" t="str">
        <x:v>Nitelikli Türk Kahvesi 250Gr.</x:v>
      </x:c>
      <x:c r="F232" s="16" t="str">
        <x:v>Harman – menşe belirtilmemiş</x:v>
      </x:c>
      <x:c r="G232" s="17" t="n">
        <x:v>250</x:v>
      </x:c>
      <x:c r="H232" s="16" t="str">
        <x:v>Erişildi</x:v>
      </x:c>
      <x:c r="I232" s="18" t="n">
        <x:v>450</x:v>
      </x:c>
      <x:c r="J232" s="18" t="str">
        <x:v>Erişildi</x:v>
      </x:c>
      <x:c r="K232" s="18" t="n">
        <x:f>IF(AND(ISNUMBER(G232),ISNUMBER(I232)),I232/G232*1000,"Erişilemedi")</x:f>
        <x:v>1800</x:v>
      </x:c>
      <x:c r="L232" s="16" t="str">
        <x:v>Stokta</x:v>
      </x:c>
      <x:c r="M232" s="16" t="str">
        <x:v>Türk kahvesi</x:v>
      </x:c>
      <x:c r="N232" s="16" t="str">
        <x:v>Shopify ürün akışı</x:v>
      </x:c>
      <x:c r="O232" s="16" t="str">
        <x:v>Yüksek</x:v>
      </x:c>
      <x:c r="P232" s="19" t="n">
        <x:v>46245</x:v>
      </x:c>
      <x:c r="Q232" s="20" t="str">
        <x:v>https://boxxcoffee.com/products/nitelikli-turk-kahvesi</x:v>
      </x:c>
      <x:c r="R232" s="20" t="str">
        <x:v>Öğütüm seçenekleri aynı gramaj ve fiyatta tekilleştirildi.</x:v>
      </x:c>
    </x:row>
    <x:row r="233" ht="40" customHeight="1">
      <x:c r="A233" s="16" t="str">
        <x:v>Boxx Coffee Roasters</x:v>
      </x:c>
      <x:c r="B233" s="16" t="str">
        <x:v>İstanbul</x:v>
      </x:c>
      <x:c r="C233" s="16" t="str">
        <x:v>Doğrulandı</x:v>
      </x:c>
      <x:c r="D233" s="16" t="str">
        <x:v>Ürün kaydı</x:v>
      </x:c>
      <x:c r="E233" s="16" t="str">
        <x:v>Traditional Espresso 1KG.</x:v>
      </x:c>
      <x:c r="F233" s="16" t="str">
        <x:v>Harman – menşe belirtilmemiş</x:v>
      </x:c>
      <x:c r="G233" s="17" t="n">
        <x:v>1000</x:v>
      </x:c>
      <x:c r="H233" s="16" t="str">
        <x:v>Erişildi</x:v>
      </x:c>
      <x:c r="I233" s="18" t="n">
        <x:v>1440</x:v>
      </x:c>
      <x:c r="J233" s="18" t="str">
        <x:v>Erişildi</x:v>
      </x:c>
      <x:c r="K233" s="18" t="n">
        <x:f>IF(AND(ISNUMBER(G233),ISNUMBER(I233)),I233/G233*1000,"Erişilemedi")</x:f>
        <x:v>1440</x:v>
      </x:c>
      <x:c r="L233" s="16" t="str">
        <x:v>Stokta</x:v>
      </x:c>
      <x:c r="M233" s="16" t="str">
        <x:v>Tek köken/ürün</x:v>
      </x:c>
      <x:c r="N233" s="16" t="str">
        <x:v>Shopify ürün akışı</x:v>
      </x:c>
      <x:c r="O233" s="16" t="str">
        <x:v>Yüksek</x:v>
      </x:c>
      <x:c r="P233" s="19" t="n">
        <x:v>46245</x:v>
      </x:c>
      <x:c r="Q233" s="20" t="str">
        <x:v>https://boxxcoffee.com/products/traditional-espresso-1kg</x:v>
      </x:c>
      <x:c r="R233" s="20" t="str">
        <x:v>Öğütüm seçenekleri aynı gramaj ve fiyatta tekilleştirildi.</x:v>
      </x:c>
    </x:row>
    <x:row r="234" ht="40" customHeight="1">
      <x:c r="A234" s="16" t="str">
        <x:v>Boxx Coffee Roasters</x:v>
      </x:c>
      <x:c r="B234" s="16" t="str">
        <x:v>İstanbul</x:v>
      </x:c>
      <x:c r="C234" s="16" t="str">
        <x:v>Doğrulandı</x:v>
      </x:c>
      <x:c r="D234" s="16" t="str">
        <x:v>Ürün kaydı</x:v>
      </x:c>
      <x:c r="E234" s="16" t="str">
        <x:v>Traditional Espresso 250Gr.</x:v>
      </x:c>
      <x:c r="F234" s="16" t="str">
        <x:v>Harman – menşe belirtilmemiş</x:v>
      </x:c>
      <x:c r="G234" s="17" t="n">
        <x:v>250</x:v>
      </x:c>
      <x:c r="H234" s="16" t="str">
        <x:v>Erişildi</x:v>
      </x:c>
      <x:c r="I234" s="18" t="n">
        <x:v>450</x:v>
      </x:c>
      <x:c r="J234" s="18" t="str">
        <x:v>Erişildi</x:v>
      </x:c>
      <x:c r="K234" s="18" t="n">
        <x:f>IF(AND(ISNUMBER(G234),ISNUMBER(I234)),I234/G234*1000,"Erişilemedi")</x:f>
        <x:v>1800</x:v>
      </x:c>
      <x:c r="L234" s="16" t="str">
        <x:v>Stokta</x:v>
      </x:c>
      <x:c r="M234" s="16" t="str">
        <x:v>Harman</x:v>
      </x:c>
      <x:c r="N234" s="16" t="str">
        <x:v>Shopify ürün akışı</x:v>
      </x:c>
      <x:c r="O234" s="16" t="str">
        <x:v>Yüksek</x:v>
      </x:c>
      <x:c r="P234" s="19" t="n">
        <x:v>46245</x:v>
      </x:c>
      <x:c r="Q234" s="20" t="str">
        <x:v>https://boxxcoffee.com/products/traditional-espresso-250gr</x:v>
      </x:c>
      <x:c r="R234" s="20" t="str">
        <x:v>Öğütüm seçenekleri aynı gramaj ve fiyatta tekilleştirildi.</x:v>
      </x:c>
    </x:row>
    <x:row r="235" ht="40" customHeight="1">
      <x:c r="A235" s="16" t="str">
        <x:v>Bravo Coffee Roastery</x:v>
      </x:c>
      <x:c r="B235" s="16" t="str">
        <x:v>İstanbul</x:v>
      </x:c>
      <x:c r="C235" s="16" t="str">
        <x:v>Doğrulandı</x:v>
      </x:c>
      <x:c r="D235" s="16" t="str">
        <x:v>Ürün kaydı</x:v>
      </x:c>
      <x:c r="E235" s="16" t="str">
        <x:v>Bravo Espresso Blend 250 Gr</x:v>
      </x:c>
      <x:c r="F235" s="16" t="str">
        <x:v>Harman – menşe belirtilmemiş</x:v>
      </x:c>
      <x:c r="G235" s="17" t="n">
        <x:v>250</x:v>
      </x:c>
      <x:c r="H235" s="16" t="str">
        <x:v>Erişildi</x:v>
      </x:c>
      <x:c r="I235" s="18" t="n">
        <x:v>1</x:v>
      </x:c>
      <x:c r="J235" s="18" t="str">
        <x:v>Erişildi</x:v>
      </x:c>
      <x:c r="K235" s="18" t="n">
        <x:f>IF(AND(ISNUMBER(G235),ISNUMBER(I235)),I235/G235*1000,"Erişilemedi")</x:f>
        <x:v>4</x:v>
      </x:c>
      <x:c r="L235" s="16" t="str">
        <x:v>Belirsiz</x:v>
      </x:c>
      <x:c r="M235" s="16" t="str">
        <x:v>Harman</x:v>
      </x:c>
      <x:c r="N235" s="16" t="str">
        <x:v>Site haritası ürün sayfası</x:v>
      </x:c>
      <x:c r="O235" s="16" t="str">
        <x:v>Orta</x:v>
      </x:c>
      <x:c r="P235" s="19" t="n">
        <x:v>46245</x:v>
      </x:c>
      <x:c r="Q235" s="20" t="str">
        <x:v>https://www.bravocoffeeroastery.com/kahve/bravo-espresso-blend-250-gr-1/</x:v>
      </x:c>
      <x:c r="R235" s="20" t="str">
        <x:v>Ürün kimliği korundu; eksik alanlar erişilemedi olarak işaretlenecek.</x:v>
      </x:c>
    </x:row>
    <x:row r="236" ht="40" customHeight="1">
      <x:c r="A236" s="16" t="str">
        <x:v>Bravo Coffee Roastery</x:v>
      </x:c>
      <x:c r="B236" s="16" t="str">
        <x:v>İstanbul</x:v>
      </x:c>
      <x:c r="C236" s="16" t="str">
        <x:v>Doğrulandı</x:v>
      </x:c>
      <x:c r="D236" s="16" t="str">
        <x:v>Ürün kaydı</x:v>
      </x:c>
      <x:c r="E236" s="16" t="str">
        <x:v>Colombia Medellin 250 Gr</x:v>
      </x:c>
      <x:c r="F236" s="16" t="str">
        <x:v>Kolombiya</x:v>
      </x:c>
      <x:c r="G236" s="17" t="n">
        <x:v>250</x:v>
      </x:c>
      <x:c r="H236" s="16" t="str">
        <x:v>Erişildi</x:v>
      </x:c>
      <x:c r="I236" s="18" t="n">
        <x:v>3</x:v>
      </x:c>
      <x:c r="J236" s="18" t="str">
        <x:v>Erişildi</x:v>
      </x:c>
      <x:c r="K236" s="18" t="n">
        <x:f>IF(AND(ISNUMBER(G236),ISNUMBER(I236)),I236/G236*1000,"Erişilemedi")</x:f>
        <x:v>12</x:v>
      </x:c>
      <x:c r="L236" s="16" t="str">
        <x:v>Belirsiz</x:v>
      </x:c>
      <x:c r="M236" s="16" t="str">
        <x:v>Kahve ürünü</x:v>
      </x:c>
      <x:c r="N236" s="16" t="str">
        <x:v>Site haritası ürün sayfası</x:v>
      </x:c>
      <x:c r="O236" s="16" t="str">
        <x:v>Orta</x:v>
      </x:c>
      <x:c r="P236" s="19" t="n">
        <x:v>46245</x:v>
      </x:c>
      <x:c r="Q236" s="20" t="str">
        <x:v>https://www.bravocoffeeroastery.com/kahve/colombia-medellin-250-gr-2/</x:v>
      </x:c>
      <x:c r="R236" s="20" t="str">
        <x:v>Ürün kimliği korundu; eksik alanlar erişilemedi olarak işaretlenecek.</x:v>
      </x:c>
    </x:row>
    <x:row r="237" ht="40" customHeight="1">
      <x:c r="A237" s="16" t="str">
        <x:v>Bravo Coffee Roastery</x:v>
      </x:c>
      <x:c r="B237" s="16" t="str">
        <x:v>İstanbul</x:v>
      </x:c>
      <x:c r="C237" s="16" t="str">
        <x:v>Doğrulandı</x:v>
      </x:c>
      <x:c r="D237" s="16" t="str">
        <x:v>Ürün kaydı</x:v>
      </x:c>
      <x:c r="E237" s="16" t="str">
        <x:v>Ethiopia Kochere 250 Gr</x:v>
      </x:c>
      <x:c r="F237" s="16" t="str">
        <x:v>Etiyopya</x:v>
      </x:c>
      <x:c r="G237" s="17" t="n">
        <x:v>250</x:v>
      </x:c>
      <x:c r="H237" s="16" t="str">
        <x:v>Erişildi</x:v>
      </x:c>
      <x:c r="I237" s="18" t="n">
        <x:v>4</x:v>
      </x:c>
      <x:c r="J237" s="18" t="str">
        <x:v>Erişildi</x:v>
      </x:c>
      <x:c r="K237" s="18" t="n">
        <x:f>IF(AND(ISNUMBER(G237),ISNUMBER(I237)),I237/G237*1000,"Erişilemedi")</x:f>
        <x:v>16</x:v>
      </x:c>
      <x:c r="L237" s="16" t="str">
        <x:v>Belirsiz</x:v>
      </x:c>
      <x:c r="M237" s="16" t="str">
        <x:v>Kahve ürünü</x:v>
      </x:c>
      <x:c r="N237" s="16" t="str">
        <x:v>Site haritası ürün sayfası</x:v>
      </x:c>
      <x:c r="O237" s="16" t="str">
        <x:v>Orta</x:v>
      </x:c>
      <x:c r="P237" s="19" t="n">
        <x:v>46245</x:v>
      </x:c>
      <x:c r="Q237" s="20" t="str">
        <x:v>https://www.bravocoffeeroastery.com/kahve/ethiopia-kochere-250-gr-3/</x:v>
      </x:c>
      <x:c r="R237" s="20" t="str">
        <x:v>Ürün kimliği korundu; eksik alanlar erişilemedi olarak işaretlenecek.</x:v>
      </x:c>
    </x:row>
    <x:row r="238" ht="40" customHeight="1">
      <x:c r="A238" s="16" t="str">
        <x:v>Bravo Coffee Roastery</x:v>
      </x:c>
      <x:c r="B238" s="16" t="str">
        <x:v>İstanbul</x:v>
      </x:c>
      <x:c r="C238" s="16" t="str">
        <x:v>Doğrulandı</x:v>
      </x:c>
      <x:c r="D238" s="16" t="str">
        <x:v>Ürün kaydı</x:v>
      </x:c>
      <x:c r="E238" s="16" t="str">
        <x:v>HESAP OLUŞTUR</x:v>
      </x:c>
      <x:c r="F238" s="16" t="str">
        <x:v>Menşe belirtilmemiş</x:v>
      </x:c>
      <x:c r="G238" s="17" t="str">
        <x:v>Erişilemedi</x:v>
      </x:c>
      <x:c r="H238" s="16" t="str">
        <x:v>Erişilemedi</x:v>
      </x:c>
      <x:c r="I238" s="18" t="n">
        <x:v>2</x:v>
      </x:c>
      <x:c r="J238" s="18" t="str">
        <x:v>Erişildi</x:v>
      </x:c>
      <x:c r="K238" s="18" t="str">
        <x:f>IF(AND(ISNUMBER(G238),ISNUMBER(I238)),I238/G238*1000,"Erişilemedi")</x:f>
        <x:v>Erişilemedi</x:v>
      </x:c>
      <x:c r="L238" s="16" t="str">
        <x:v>Belirsiz</x:v>
      </x:c>
      <x:c r="M238" s="16" t="str">
        <x:v>Kahve ürünü</x:v>
      </x:c>
      <x:c r="N238" s="16" t="str">
        <x:v>Site haritası ürün sayfası</x:v>
      </x:c>
      <x:c r="O238" s="16" t="str">
        <x:v>Düşük</x:v>
      </x:c>
      <x:c r="P238" s="19" t="n">
        <x:v>46245</x:v>
      </x:c>
      <x:c r="Q238" s="20" t="str">
        <x:v>https://www.bravocoffeeroastery.com/asama/kayit-ol/</x:v>
      </x:c>
      <x:c r="R238" s="20" t="str">
        <x:v>Ürün kimliği korundu; eksik alanlar erişilemedi olarak işaretlenecek.</x:v>
      </x:c>
    </x:row>
    <x:row r="239" ht="40" customHeight="1">
      <x:c r="A239" s="16" t="str">
        <x:v>Bravo Coffee Roastery</x:v>
      </x:c>
      <x:c r="B239" s="16" t="str">
        <x:v>İstanbul</x:v>
      </x:c>
      <x:c r="C239" s="16" t="str">
        <x:v>Doğrulandı</x:v>
      </x:c>
      <x:c r="D239" s="16" t="str">
        <x:v>Ürün kaydı</x:v>
      </x:c>
      <x:c r="E239" s="16" t="str">
        <x:v>KAHVE</x:v>
      </x:c>
      <x:c r="F239" s="16" t="str">
        <x:v>Menşe belirtilmemiş</x:v>
      </x:c>
      <x:c r="G239" s="17" t="str">
        <x:v>Erişilemedi</x:v>
      </x:c>
      <x:c r="H239" s="16" t="str">
        <x:v>Erişilemedi</x:v>
      </x:c>
      <x:c r="I239" s="18" t="n">
        <x:v>0</x:v>
      </x:c>
      <x:c r="J239" s="18" t="str">
        <x:v>Erişilemedi</x:v>
      </x:c>
      <x:c r="K239" s="18" t="str">
        <x:f>IF(AND(ISNUMBER(G239),ISNUMBER(I239)),I239/G239*1000,"Erişilemedi")</x:f>
        <x:v>Erişilemedi</x:v>
      </x:c>
      <x:c r="L239" s="16" t="str">
        <x:v>Belirsiz</x:v>
      </x:c>
      <x:c r="M239" s="16" t="str">
        <x:v>Kahve ürünü</x:v>
      </x:c>
      <x:c r="N239" s="16" t="str">
        <x:v>Site haritası ürün sayfası</x:v>
      </x:c>
      <x:c r="O239" s="16" t="str">
        <x:v>Düşük</x:v>
      </x:c>
      <x:c r="P239" s="19" t="n">
        <x:v>46245</x:v>
      </x:c>
      <x:c r="Q239" s="20" t="str">
        <x:v>https://www.bravocoffeeroastery.com/kahve-1/</x:v>
      </x:c>
      <x:c r="R239" s="20" t="str">
        <x:v>Ürün kimliği korundu; eksik alanlar erişilemedi olarak işaretlenecek.</x:v>
      </x:c>
    </x:row>
    <x:row r="240" ht="40" customHeight="1">
      <x:c r="A240" s="16" t="str">
        <x:v>Bravo Coffee Roastery</x:v>
      </x:c>
      <x:c r="B240" s="16" t="str">
        <x:v>İstanbul</x:v>
      </x:c>
      <x:c r="C240" s="16" t="str">
        <x:v>Doğrulandı</x:v>
      </x:c>
      <x:c r="D240" s="16" t="str">
        <x:v>Ürün kaydı</x:v>
      </x:c>
      <x:c r="E240" s="16" t="str">
        <x:v>Kahvenin Tarihi ve Kökeni</x:v>
      </x:c>
      <x:c r="F240" s="16" t="str">
        <x:v>Menşe belirtilmemiş</x:v>
      </x:c>
      <x:c r="G240" s="17" t="str">
        <x:v>Erişilemedi</x:v>
      </x:c>
      <x:c r="H240" s="16" t="str">
        <x:v>Erişilemedi</x:v>
      </x:c>
      <x:c r="I240" s="18" t="n">
        <x:v>0</x:v>
      </x:c>
      <x:c r="J240" s="18" t="str">
        <x:v>Erişilemedi</x:v>
      </x:c>
      <x:c r="K240" s="18" t="str">
        <x:f>IF(AND(ISNUMBER(G240),ISNUMBER(I240)),I240/G240*1000,"Erişilemedi")</x:f>
        <x:v>Erişilemedi</x:v>
      </x:c>
      <x:c r="L240" s="16" t="str">
        <x:v>Belirsiz</x:v>
      </x:c>
      <x:c r="M240" s="16" t="str">
        <x:v>Kahve ürünü</x:v>
      </x:c>
      <x:c r="N240" s="16" t="str">
        <x:v>Site haritası ürün sayfası</x:v>
      </x:c>
      <x:c r="O240" s="16" t="str">
        <x:v>Düşük</x:v>
      </x:c>
      <x:c r="P240" s="19" t="n">
        <x:v>46245</x:v>
      </x:c>
      <x:c r="Q240" s="20" t="str">
        <x:v>https://www.bravocoffeeroastery.com/blog/kahvenin-tarihi-ve-kokeni/</x:v>
      </x:c>
      <x:c r="R240" s="20" t="str">
        <x:v>Ürün kimliği korundu; eksik alanlar erişilemedi olarak işaretlenecek.</x:v>
      </x:c>
    </x:row>
    <x:row r="241" ht="40" customHeight="1">
      <x:c r="A241" s="16" t="str">
        <x:v>Bravo Coffee Roastery</x:v>
      </x:c>
      <x:c r="B241" s="16" t="str">
        <x:v>İstanbul</x:v>
      </x:c>
      <x:c r="C241" s="16" t="str">
        <x:v>Doğrulandı</x:v>
      </x:c>
      <x:c r="D241" s="16" t="str">
        <x:v>Ürün kaydı</x:v>
      </x:c>
      <x:c r="E241" s="16" t="str">
        <x:v>ONLINE SHOP</x:v>
      </x:c>
      <x:c r="F241" s="16" t="str">
        <x:v>Menşe belirtilmemiş</x:v>
      </x:c>
      <x:c r="G241" s="17" t="str">
        <x:v>Erişilemedi</x:v>
      </x:c>
      <x:c r="H241" s="16" t="str">
        <x:v>Erişilemedi</x:v>
      </x:c>
      <x:c r="I241" s="18" t="n">
        <x:v>0</x:v>
      </x:c>
      <x:c r="J241" s="18" t="str">
        <x:v>Erişilemedi</x:v>
      </x:c>
      <x:c r="K241" s="18" t="str">
        <x:f>IF(AND(ISNUMBER(G241),ISNUMBER(I241)),I241/G241*1000,"Erişilemedi")</x:f>
        <x:v>Erişilemedi</x:v>
      </x:c>
      <x:c r="L241" s="16" t="str">
        <x:v>Belirsiz</x:v>
      </x:c>
      <x:c r="M241" s="16" t="str">
        <x:v>Kahve ürünü</x:v>
      </x:c>
      <x:c r="N241" s="16" t="str">
        <x:v>Site haritası ürün sayfası</x:v>
      </x:c>
      <x:c r="O241" s="16" t="str">
        <x:v>Düşük</x:v>
      </x:c>
      <x:c r="P241" s="19" t="n">
        <x:v>46245</x:v>
      </x:c>
      <x:c r="Q241" s="20" t="str">
        <x:v>https://www.bravocoffeeroastery.com/</x:v>
      </x:c>
      <x:c r="R241" s="20" t="str">
        <x:v>Ürün kimliği korundu; eksik alanlar erişilemedi olarak işaretlenecek.</x:v>
      </x:c>
    </x:row>
    <x:row r="242" ht="40" customHeight="1">
      <x:c r="A242" s="16" t="str">
        <x:v>Bravo Coffee Roastery</x:v>
      </x:c>
      <x:c r="B242" s="16" t="str">
        <x:v>İstanbul</x:v>
      </x:c>
      <x:c r="C242" s="16" t="str">
        <x:v>Doğrulandı</x:v>
      </x:c>
      <x:c r="D242" s="16" t="str">
        <x:v>Ürün kaydı</x:v>
      </x:c>
      <x:c r="E242" s="16" t="str">
        <x:v>OTURUM AÇ</x:v>
      </x:c>
      <x:c r="F242" s="16" t="str">
        <x:v>Menşe belirtilmemiş</x:v>
      </x:c>
      <x:c r="G242" s="17" t="str">
        <x:v>Erişilemedi</x:v>
      </x:c>
      <x:c r="H242" s="16" t="str">
        <x:v>Erişilemedi</x:v>
      </x:c>
      <x:c r="I242" s="18" t="n">
        <x:v>8</x:v>
      </x:c>
      <x:c r="J242" s="18" t="str">
        <x:v>Erişildi</x:v>
      </x:c>
      <x:c r="K242" s="18" t="str">
        <x:f>IF(AND(ISNUMBER(G242),ISNUMBER(I242)),I242/G242*1000,"Erişilemedi")</x:f>
        <x:v>Erişilemedi</x:v>
      </x:c>
      <x:c r="L242" s="16" t="str">
        <x:v>Belirsiz</x:v>
      </x:c>
      <x:c r="M242" s="16" t="str">
        <x:v>Kahve ürünü</x:v>
      </x:c>
      <x:c r="N242" s="16" t="str">
        <x:v>Site haritası ürün sayfası</x:v>
      </x:c>
      <x:c r="O242" s="16" t="str">
        <x:v>Düşük</x:v>
      </x:c>
      <x:c r="P242" s="19" t="n">
        <x:v>46245</x:v>
      </x:c>
      <x:c r="Q242" s="20" t="str">
        <x:v>https://www.bravocoffeeroastery.com/asama/login/</x:v>
      </x:c>
      <x:c r="R242" s="20" t="str">
        <x:v>Ürün kimliği korundu; eksik alanlar erişilemedi olarak işaretlenecek.</x:v>
      </x:c>
    </x:row>
    <x:row r="243" ht="40" customHeight="1">
      <x:c r="A243" s="16" t="str">
        <x:v>Bravo Coffee Roastery</x:v>
      </x:c>
      <x:c r="B243" s="16" t="str">
        <x:v>İstanbul</x:v>
      </x:c>
      <x:c r="C243" s="16" t="str">
        <x:v>Doğrulandı</x:v>
      </x:c>
      <x:c r="D243" s="16" t="str">
        <x:v>Ürün kaydı</x:v>
      </x:c>
      <x:c r="E243" s="16" t="str">
        <x:v>SİPARİŞ TAKİP</x:v>
      </x:c>
      <x:c r="F243" s="16" t="str">
        <x:v>Menşe belirtilmemiş</x:v>
      </x:c>
      <x:c r="G243" s="17" t="str">
        <x:v>Erişilemedi</x:v>
      </x:c>
      <x:c r="H243" s="16" t="str">
        <x:v>Erişilemedi</x:v>
      </x:c>
      <x:c r="I243" s="18" t="n">
        <x:v>1</x:v>
      </x:c>
      <x:c r="J243" s="18" t="str">
        <x:v>Erişildi</x:v>
      </x:c>
      <x:c r="K243" s="18" t="str">
        <x:f>IF(AND(ISNUMBER(G243),ISNUMBER(I243)),I243/G243*1000,"Erişilemedi")</x:f>
        <x:v>Erişilemedi</x:v>
      </x:c>
      <x:c r="L243" s="16" t="str">
        <x:v>Belirsiz</x:v>
      </x:c>
      <x:c r="M243" s="16" t="str">
        <x:v>Kahve ürünü</x:v>
      </x:c>
      <x:c r="N243" s="16" t="str">
        <x:v>Site haritası ürün sayfası</x:v>
      </x:c>
      <x:c r="O243" s="16" t="str">
        <x:v>Düşük</x:v>
      </x:c>
      <x:c r="P243" s="19" t="n">
        <x:v>46245</x:v>
      </x:c>
      <x:c r="Q243" s="20" t="str">
        <x:v>https://www.bravocoffeeroastery.com/asama/siparis-takip/</x:v>
      </x:c>
      <x:c r="R243" s="20" t="str">
        <x:v>Ürün kimliği korundu; eksik alanlar erişilemedi olarak işaretlenecek.</x:v>
      </x:c>
    </x:row>
    <x:row r="244" ht="40" customHeight="1">
      <x:c r="A244" s="16" t="str">
        <x:v>Bravo Coffee Roastery</x:v>
      </x:c>
      <x:c r="B244" s="16" t="str">
        <x:v>İstanbul</x:v>
      </x:c>
      <x:c r="C244" s="16" t="str">
        <x:v>Doğrulandı</x:v>
      </x:c>
      <x:c r="D244" s="16" t="str">
        <x:v>Ürün kaydı</x:v>
      </x:c>
      <x:c r="E244" s="16" t="str">
        <x:v>ŞİFRENİZİ SIFIRLAYIN</x:v>
      </x:c>
      <x:c r="F244" s="16" t="str">
        <x:v>Menşe belirtilmemiş</x:v>
      </x:c>
      <x:c r="G244" s="17" t="str">
        <x:v>Erişilemedi</x:v>
      </x:c>
      <x:c r="H244" s="16" t="str">
        <x:v>Erişilemedi</x:v>
      </x:c>
      <x:c r="I244" s="18" t="n">
        <x:v>7</x:v>
      </x:c>
      <x:c r="J244" s="18" t="str">
        <x:v>Erişildi</x:v>
      </x:c>
      <x:c r="K244" s="18" t="str">
        <x:f>IF(AND(ISNUMBER(G244),ISNUMBER(I244)),I244/G244*1000,"Erişilemedi")</x:f>
        <x:v>Erişilemedi</x:v>
      </x:c>
      <x:c r="L244" s="16" t="str">
        <x:v>Belirsiz</x:v>
      </x:c>
      <x:c r="M244" s="16" t="str">
        <x:v>Kahve ürünü</x:v>
      </x:c>
      <x:c r="N244" s="16" t="str">
        <x:v>Site haritası ürün sayfası</x:v>
      </x:c>
      <x:c r="O244" s="16" t="str">
        <x:v>Düşük</x:v>
      </x:c>
      <x:c r="P244" s="19" t="n">
        <x:v>46245</x:v>
      </x:c>
      <x:c r="Q244" s="20" t="str">
        <x:v>https://www.bravocoffeeroastery.com/asama/sifremi-unuttum/</x:v>
      </x:c>
      <x:c r="R244" s="20" t="str">
        <x:v>Ürün kimliği korundu; eksik alanlar erişilemedi olarak işaretlenecek.</x:v>
      </x:c>
    </x:row>
    <x:row r="245" ht="40" customHeight="1">
      <x:c r="A245" s="16" t="str">
        <x:v>Bravo Coffee Roastery</x:v>
      </x:c>
      <x:c r="B245" s="16" t="str">
        <x:v>İstanbul</x:v>
      </x:c>
      <x:c r="C245" s="16" t="str">
        <x:v>Doğrulandı</x:v>
      </x:c>
      <x:c r="D245" s="16" t="str">
        <x:v>Ürün kaydı</x:v>
      </x:c>
      <x:c r="E245" s="16" t="str">
        <x:v>Türk Kahvesi 125 Gr</x:v>
      </x:c>
      <x:c r="F245" s="16" t="str">
        <x:v>Menşe belirtilmemiş</x:v>
      </x:c>
      <x:c r="G245" s="17" t="n">
        <x:v>125</x:v>
      </x:c>
      <x:c r="H245" s="16" t="str">
        <x:v>Erişildi</x:v>
      </x:c>
      <x:c r="I245" s="18" t="n">
        <x:v>7</x:v>
      </x:c>
      <x:c r="J245" s="18" t="str">
        <x:v>Erişildi</x:v>
      </x:c>
      <x:c r="K245" s="18" t="n">
        <x:f>IF(AND(ISNUMBER(G245),ISNUMBER(I245)),I245/G245*1000,"Erişilemedi")</x:f>
        <x:v>56</x:v>
      </x:c>
      <x:c r="L245" s="16" t="str">
        <x:v>Belirsiz</x:v>
      </x:c>
      <x:c r="M245" s="16" t="str">
        <x:v>Kahve ürünü</x:v>
      </x:c>
      <x:c r="N245" s="16" t="str">
        <x:v>Site haritası ürün sayfası</x:v>
      </x:c>
      <x:c r="O245" s="16" t="str">
        <x:v>Orta</x:v>
      </x:c>
      <x:c r="P245" s="19" t="n">
        <x:v>46245</x:v>
      </x:c>
      <x:c r="Q245" s="20" t="str">
        <x:v>https://www.bravocoffeeroastery.com/kahve/turk-kahvesi-125-gr-9/</x:v>
      </x:c>
      <x:c r="R245" s="20" t="str">
        <x:v>Ürün kimliği korundu; eksik alanlar erişilemedi olarak işaretlenecek.</x:v>
      </x:c>
    </x:row>
    <x:row r="246" ht="40" customHeight="1">
      <x:c r="A246" s="16" t="str">
        <x:v>Bravo Coffee Roastery</x:v>
      </x:c>
      <x:c r="B246" s="16" t="str">
        <x:v>İstanbul</x:v>
      </x:c>
      <x:c r="C246" s="16" t="str">
        <x:v>Doğrulandı</x:v>
      </x:c>
      <x:c r="D246" s="16" t="str">
        <x:v>Ürün kaydı</x:v>
      </x:c>
      <x:c r="E246" s="16" t="str">
        <x:v>Türk Kahvesi 200 Gr</x:v>
      </x:c>
      <x:c r="F246" s="16" t="str">
        <x:v>Menşe belirtilmemiş</x:v>
      </x:c>
      <x:c r="G246" s="17" t="n">
        <x:v>200</x:v>
      </x:c>
      <x:c r="H246" s="16" t="str">
        <x:v>Erişildi</x:v>
      </x:c>
      <x:c r="I246" s="18" t="n">
        <x:v>7</x:v>
      </x:c>
      <x:c r="J246" s="18" t="str">
        <x:v>Erişildi</x:v>
      </x:c>
      <x:c r="K246" s="18" t="n">
        <x:f>IF(AND(ISNUMBER(G246),ISNUMBER(I246)),I246/G246*1000,"Erişilemedi")</x:f>
        <x:v>35</x:v>
      </x:c>
      <x:c r="L246" s="16" t="str">
        <x:v>Belirsiz</x:v>
      </x:c>
      <x:c r="M246" s="16" t="str">
        <x:v>Kahve ürünü</x:v>
      </x:c>
      <x:c r="N246" s="16" t="str">
        <x:v>Site haritası ürün sayfası</x:v>
      </x:c>
      <x:c r="O246" s="16" t="str">
        <x:v>Orta</x:v>
      </x:c>
      <x:c r="P246" s="19" t="n">
        <x:v>46245</x:v>
      </x:c>
      <x:c r="Q246" s="20" t="str">
        <x:v>https://www.bravocoffeeroastery.com/kahve/turk-kahvesi-200-gr-8/</x:v>
      </x:c>
      <x:c r="R246" s="20" t="str">
        <x:v>Ürün kimliği korundu; eksik alanlar erişilemedi olarak işaretlenecek.</x:v>
      </x:c>
    </x:row>
    <x:row r="247" ht="40" customHeight="1">
      <x:c r="A247" s="16" t="str">
        <x:v>Bu Coffee Roastery</x:v>
      </x:c>
      <x:c r="B247" s="16" t="str">
        <x:v>İstanbul / İzmir</x:v>
      </x:c>
      <x:c r="C247" s="16" t="str">
        <x:v>Doğrulandı</x:v>
      </x:c>
      <x:c r="D247" s="16" t="str">
        <x:v>Ürün kaydı</x:v>
      </x:c>
      <x:c r="E247" s="16" t="str">
        <x:v>About Us Bu Coffee Roastery</x:v>
      </x:c>
      <x:c r="F247" s="16" t="str">
        <x:v>Menşe belirtilmemiş</x:v>
      </x:c>
      <x:c r="G247" s="17" t="str">
        <x:v>Erişilemedi</x:v>
      </x:c>
      <x:c r="H247" s="16" t="str">
        <x:v>Erişilemedi</x:v>
      </x:c>
      <x:c r="I247" s="18" t="str">
        <x:v>Erişilemedi</x:v>
      </x:c>
      <x:c r="J247" s="18" t="str">
        <x:v>Erişilemedi</x:v>
      </x:c>
      <x:c r="K247" s="18" t="str">
        <x:f>IF(AND(ISNUMBER(G247),ISNUMBER(I247)),I247/G247*1000,"Erişilemedi")</x:f>
        <x:v>Erişilemedi</x:v>
      </x:c>
      <x:c r="L247" s="16" t="str">
        <x:v>Belirsiz</x:v>
      </x:c>
      <x:c r="M247" s="16" t="str">
        <x:v>Kahve ürünü</x:v>
      </x:c>
      <x:c r="N247" s="16" t="str">
        <x:v>Site haritası ürün sayfası</x:v>
      </x:c>
      <x:c r="O247" s="16" t="str">
        <x:v>Düşük</x:v>
      </x:c>
      <x:c r="P247" s="19" t="n">
        <x:v>46245</x:v>
      </x:c>
      <x:c r="Q247" s="20" t="str">
        <x:v>https://www.bucoffee.com.tr/about-us/</x:v>
      </x:c>
      <x:c r="R247" s="20" t="str">
        <x:v>Ürün kimliği korundu; eksik alanlar erişilemedi olarak işaretlenecek.</x:v>
      </x:c>
    </x:row>
    <x:row r="248" ht="40" customHeight="1">
      <x:c r="A248" s="16" t="str">
        <x:v>Bu Coffee Roastery</x:v>
      </x:c>
      <x:c r="B248" s="16" t="str">
        <x:v>İstanbul / İzmir</x:v>
      </x:c>
      <x:c r="C248" s="16" t="str">
        <x:v>Doğrulandı</x:v>
      </x:c>
      <x:c r="D248" s="16" t="str">
        <x:v>Ürün kaydı</x:v>
      </x:c>
      <x:c r="E248" s="16" t="str">
        <x:v>BRAZIL BOSSA NOVA</x:v>
      </x:c>
      <x:c r="F248" s="16" t="str">
        <x:v>Brezilya</x:v>
      </x:c>
      <x:c r="G248" s="17" t="str">
        <x:v>Erişilemedi</x:v>
      </x:c>
      <x:c r="H248" s="16" t="str">
        <x:v>Erişilemedi</x:v>
      </x:c>
      <x:c r="I248" s="18" t="str">
        <x:v>Erişilemedi</x:v>
      </x:c>
      <x:c r="J248" s="18" t="str">
        <x:v>Erişilemedi</x:v>
      </x:c>
      <x:c r="K248" s="18" t="str">
        <x:f>IF(AND(ISNUMBER(G248),ISNUMBER(I248)),I248/G248*1000,"Erişilemedi")</x:f>
        <x:v>Erişilemedi</x:v>
      </x:c>
      <x:c r="L248" s="16" t="str">
        <x:v>Belirsiz</x:v>
      </x:c>
      <x:c r="M248" s="16" t="str">
        <x:v>Kahve ürünü</x:v>
      </x:c>
      <x:c r="N248" s="16" t="str">
        <x:v>Site haritası ürün sayfası</x:v>
      </x:c>
      <x:c r="O248" s="16" t="str">
        <x:v>Düşük</x:v>
      </x:c>
      <x:c r="P248" s="19" t="n">
        <x:v>46245</x:v>
      </x:c>
      <x:c r="Q248" s="20" t="str">
        <x:v>https://www.bucoffee.com.tr/kahvelerimiz/dunya-kahveleri/brazil-bossa-nova/</x:v>
      </x:c>
      <x:c r="R248" s="20" t="str">
        <x:v>Ürün kimliği korundu; eksik alanlar erişilemedi olarak işaretlenecek.</x:v>
      </x:c>
    </x:row>
    <x:row r="249" ht="40" customHeight="1">
      <x:c r="A249" s="16" t="str">
        <x:v>Bu Coffee Roastery</x:v>
      </x:c>
      <x:c r="B249" s="16" t="str">
        <x:v>İstanbul / İzmir</x:v>
      </x:c>
      <x:c r="C249" s="16" t="str">
        <x:v>Doğrulandı</x:v>
      </x:c>
      <x:c r="D249" s="16" t="str">
        <x:v>Ürün kaydı</x:v>
      </x:c>
      <x:c r="E249" s="16" t="str">
        <x:v>BRAZIL SANTOS</x:v>
      </x:c>
      <x:c r="F249" s="16" t="str">
        <x:v>Brezilya</x:v>
      </x:c>
      <x:c r="G249" s="17" t="str">
        <x:v>Erişilemedi</x:v>
      </x:c>
      <x:c r="H249" s="16" t="str">
        <x:v>Erişilemedi</x:v>
      </x:c>
      <x:c r="I249" s="18" t="str">
        <x:v>Erişilemedi</x:v>
      </x:c>
      <x:c r="J249" s="18" t="str">
        <x:v>Erişilemedi</x:v>
      </x:c>
      <x:c r="K249" s="18" t="str">
        <x:f>IF(AND(ISNUMBER(G249),ISNUMBER(I249)),I249/G249*1000,"Erişilemedi")</x:f>
        <x:v>Erişilemedi</x:v>
      </x:c>
      <x:c r="L249" s="16" t="str">
        <x:v>Belirsiz</x:v>
      </x:c>
      <x:c r="M249" s="16" t="str">
        <x:v>Kahve ürünü</x:v>
      </x:c>
      <x:c r="N249" s="16" t="str">
        <x:v>Site haritası ürün sayfası</x:v>
      </x:c>
      <x:c r="O249" s="16" t="str">
        <x:v>Düşük</x:v>
      </x:c>
      <x:c r="P249" s="19" t="n">
        <x:v>46245</x:v>
      </x:c>
      <x:c r="Q249" s="20" t="str">
        <x:v>https://www.bucoffee.com.tr/kahvelerimiz/dunya-kahveleri/brazil-santos/</x:v>
      </x:c>
      <x:c r="R249" s="20" t="str">
        <x:v>Ürün kimliği korundu; eksik alanlar erişilemedi olarak işaretlenecek.</x:v>
      </x:c>
    </x:row>
    <x:row r="250" ht="40" customHeight="1">
      <x:c r="A250" s="16" t="str">
        <x:v>Bu Coffee Roastery</x:v>
      </x:c>
      <x:c r="B250" s="16" t="str">
        <x:v>İstanbul / İzmir</x:v>
      </x:c>
      <x:c r="C250" s="16" t="str">
        <x:v>Doğrulandı</x:v>
      </x:c>
      <x:c r="D250" s="16" t="str">
        <x:v>Ürün kaydı</x:v>
      </x:c>
      <x:c r="E250" s="16" t="str">
        <x:v>COLOMBIA DECAF</x:v>
      </x:c>
      <x:c r="F250" s="16" t="str">
        <x:v>Kolombiya</x:v>
      </x:c>
      <x:c r="G250" s="17" t="str">
        <x:v>Erişilemedi</x:v>
      </x:c>
      <x:c r="H250" s="16" t="str">
        <x:v>Erişilemedi</x:v>
      </x:c>
      <x:c r="I250" s="18" t="str">
        <x:v>Erişilemedi</x:v>
      </x:c>
      <x:c r="J250" s="18" t="str">
        <x:v>Erişilemedi</x:v>
      </x:c>
      <x:c r="K250" s="18" t="str">
        <x:f>IF(AND(ISNUMBER(G250),ISNUMBER(I250)),I250/G250*1000,"Erişilemedi")</x:f>
        <x:v>Erişilemedi</x:v>
      </x:c>
      <x:c r="L250" s="16" t="str">
        <x:v>Belirsiz</x:v>
      </x:c>
      <x:c r="M250" s="16" t="str">
        <x:v>Kahve ürünü</x:v>
      </x:c>
      <x:c r="N250" s="16" t="str">
        <x:v>Site haritası ürün sayfası</x:v>
      </x:c>
      <x:c r="O250" s="16" t="str">
        <x:v>Düşük</x:v>
      </x:c>
      <x:c r="P250" s="19" t="n">
        <x:v>46245</x:v>
      </x:c>
      <x:c r="Q250" s="20" t="str">
        <x:v>https://www.bucoffee.com.tr/kahvelerimiz/dunya-kahveleri/colombia-decaf/</x:v>
      </x:c>
      <x:c r="R250" s="20" t="str">
        <x:v>Ürün kimliği korundu; eksik alanlar erişilemedi olarak işaretlenecek.</x:v>
      </x:c>
    </x:row>
    <x:row r="251" ht="40" customHeight="1">
      <x:c r="A251" s="16" t="str">
        <x:v>Bu Coffee Roastery</x:v>
      </x:c>
      <x:c r="B251" s="16" t="str">
        <x:v>İstanbul / İzmir</x:v>
      </x:c>
      <x:c r="C251" s="16" t="str">
        <x:v>Doğrulandı</x:v>
      </x:c>
      <x:c r="D251" s="16" t="str">
        <x:v>Ürün kaydı</x:v>
      </x:c>
      <x:c r="E251" s="16" t="str">
        <x:v>COLOMBIA SUPREMO</x:v>
      </x:c>
      <x:c r="F251" s="16" t="str">
        <x:v>Kolombiya</x:v>
      </x:c>
      <x:c r="G251" s="17" t="str">
        <x:v>Erişilemedi</x:v>
      </x:c>
      <x:c r="H251" s="16" t="str">
        <x:v>Erişilemedi</x:v>
      </x:c>
      <x:c r="I251" s="18" t="str">
        <x:v>Erişilemedi</x:v>
      </x:c>
      <x:c r="J251" s="18" t="str">
        <x:v>Erişilemedi</x:v>
      </x:c>
      <x:c r="K251" s="18" t="str">
        <x:f>IF(AND(ISNUMBER(G251),ISNUMBER(I251)),I251/G251*1000,"Erişilemedi")</x:f>
        <x:v>Erişilemedi</x:v>
      </x:c>
      <x:c r="L251" s="16" t="str">
        <x:v>Belirsiz</x:v>
      </x:c>
      <x:c r="M251" s="16" t="str">
        <x:v>Kahve ürünü</x:v>
      </x:c>
      <x:c r="N251" s="16" t="str">
        <x:v>Site haritası ürün sayfası</x:v>
      </x:c>
      <x:c r="O251" s="16" t="str">
        <x:v>Düşük</x:v>
      </x:c>
      <x:c r="P251" s="19" t="n">
        <x:v>46245</x:v>
      </x:c>
      <x:c r="Q251" s="20" t="str">
        <x:v>https://www.bucoffee.com.tr/kahvelerimiz/dunya-kahveleri/colombia-supremo/</x:v>
      </x:c>
      <x:c r="R251" s="20" t="str">
        <x:v>Ürün kimliği korundu; eksik alanlar erişilemedi olarak işaretlenecek.</x:v>
      </x:c>
    </x:row>
    <x:row r="252" ht="40" customHeight="1">
      <x:c r="A252" s="16" t="str">
        <x:v>Bu Coffee Roastery</x:v>
      </x:c>
      <x:c r="B252" s="16" t="str">
        <x:v>İstanbul / İzmir</x:v>
      </x:c>
      <x:c r="C252" s="16" t="str">
        <x:v>Doğrulandı</x:v>
      </x:c>
      <x:c r="D252" s="16" t="str">
        <x:v>Ürün kaydı</x:v>
      </x:c>
      <x:c r="E252" s="16" t="str">
        <x:v>Contact Bu Coffee Roastery</x:v>
      </x:c>
      <x:c r="F252" s="16" t="str">
        <x:v>Menşe belirtilmemiş</x:v>
      </x:c>
      <x:c r="G252" s="17" t="str">
        <x:v>Erişilemedi</x:v>
      </x:c>
      <x:c r="H252" s="16" t="str">
        <x:v>Erişilemedi</x:v>
      </x:c>
      <x:c r="I252" s="18" t="str">
        <x:v>Erişilemedi</x:v>
      </x:c>
      <x:c r="J252" s="18" t="str">
        <x:v>Erişilemedi</x:v>
      </x:c>
      <x:c r="K252" s="18" t="str">
        <x:f>IF(AND(ISNUMBER(G252),ISNUMBER(I252)),I252/G252*1000,"Erişilemedi")</x:f>
        <x:v>Erişilemedi</x:v>
      </x:c>
      <x:c r="L252" s="16" t="str">
        <x:v>Belirsiz</x:v>
      </x:c>
      <x:c r="M252" s="16" t="str">
        <x:v>Kahve ürünü</x:v>
      </x:c>
      <x:c r="N252" s="16" t="str">
        <x:v>Site haritası ürün sayfası</x:v>
      </x:c>
      <x:c r="O252" s="16" t="str">
        <x:v>Düşük</x:v>
      </x:c>
      <x:c r="P252" s="19" t="n">
        <x:v>46245</x:v>
      </x:c>
      <x:c r="Q252" s="20" t="str">
        <x:v>https://www.bucoffee.com.tr/iletisim/</x:v>
      </x:c>
      <x:c r="R252" s="20" t="str">
        <x:v>Ürün kimliği korundu; eksik alanlar erişilemedi olarak işaretlenecek.</x:v>
      </x:c>
    </x:row>
    <x:row r="253" ht="40" customHeight="1">
      <x:c r="A253" s="16" t="str">
        <x:v>Bu Coffee Roastery</x:v>
      </x:c>
      <x:c r="B253" s="16" t="str">
        <x:v>İstanbul / İzmir</x:v>
      </x:c>
      <x:c r="C253" s="16" t="str">
        <x:v>Doğrulandı</x:v>
      </x:c>
      <x:c r="D253" s="16" t="str">
        <x:v>Ürün kaydı</x:v>
      </x:c>
      <x:c r="E253" s="16" t="str">
        <x:v>COSTA RICA TARRAZU SHB</x:v>
      </x:c>
      <x:c r="F253" s="16" t="str">
        <x:v>Kosta Rika</x:v>
      </x:c>
      <x:c r="G253" s="17" t="str">
        <x:v>Erişilemedi</x:v>
      </x:c>
      <x:c r="H253" s="16" t="str">
        <x:v>Erişilemedi</x:v>
      </x:c>
      <x:c r="I253" s="18" t="str">
        <x:v>Erişilemedi</x:v>
      </x:c>
      <x:c r="J253" s="18" t="str">
        <x:v>Erişilemedi</x:v>
      </x:c>
      <x:c r="K253" s="18" t="str">
        <x:f>IF(AND(ISNUMBER(G253),ISNUMBER(I253)),I253/G253*1000,"Erişilemedi")</x:f>
        <x:v>Erişilemedi</x:v>
      </x:c>
      <x:c r="L253" s="16" t="str">
        <x:v>Belirsiz</x:v>
      </x:c>
      <x:c r="M253" s="16" t="str">
        <x:v>Kahve ürünü</x:v>
      </x:c>
      <x:c r="N253" s="16" t="str">
        <x:v>Site haritası ürün sayfası</x:v>
      </x:c>
      <x:c r="O253" s="16" t="str">
        <x:v>Düşük</x:v>
      </x:c>
      <x:c r="P253" s="19" t="n">
        <x:v>46245</x:v>
      </x:c>
      <x:c r="Q253" s="20" t="str">
        <x:v>https://www.bucoffee.com.tr/kahvelerimiz/dunya-kahveleri/costa-rica-tarrazu-shb/</x:v>
      </x:c>
      <x:c r="R253" s="20" t="str">
        <x:v>Ürün kimliği korundu; eksik alanlar erişilemedi olarak işaretlenecek.</x:v>
      </x:c>
    </x:row>
    <x:row r="254" ht="40" customHeight="1">
      <x:c r="A254" s="16" t="str">
        <x:v>Bu Coffee Roastery</x:v>
      </x:c>
      <x:c r="B254" s="16" t="str">
        <x:v>İstanbul / İzmir</x:v>
      </x:c>
      <x:c r="C254" s="16" t="str">
        <x:v>Doğrulandı</x:v>
      </x:c>
      <x:c r="D254" s="16" t="str">
        <x:v>Ürün kaydı</x:v>
      </x:c>
      <x:c r="E254" s="16" t="str">
        <x:v>DAMLA SAKIZLI TÜRK KAHVESİ</x:v>
      </x:c>
      <x:c r="F254" s="16" t="str">
        <x:v>Menşe belirtilmemiş</x:v>
      </x:c>
      <x:c r="G254" s="17" t="str">
        <x:v>Erişilemedi</x:v>
      </x:c>
      <x:c r="H254" s="16" t="str">
        <x:v>Erişilemedi</x:v>
      </x:c>
      <x:c r="I254" s="18" t="str">
        <x:v>Erişilemedi</x:v>
      </x:c>
      <x:c r="J254" s="18" t="str">
        <x:v>Erişilemedi</x:v>
      </x:c>
      <x:c r="K254" s="18" t="str">
        <x:f>IF(AND(ISNUMBER(G254),ISNUMBER(I254)),I254/G254*1000,"Erişilemedi")</x:f>
        <x:v>Erişilemedi</x:v>
      </x:c>
      <x:c r="L254" s="16" t="str">
        <x:v>Belirsiz</x:v>
      </x:c>
      <x:c r="M254" s="16" t="str">
        <x:v>Kahve ürünü</x:v>
      </x:c>
      <x:c r="N254" s="16" t="str">
        <x:v>Site haritası ürün sayfası</x:v>
      </x:c>
      <x:c r="O254" s="16" t="str">
        <x:v>Düşük</x:v>
      </x:c>
      <x:c r="P254" s="19" t="n">
        <x:v>46245</x:v>
      </x:c>
      <x:c r="Q254" s="20" t="str">
        <x:v>https://www.bucoffee.com.tr/kahvelerimiz/turk-kahvesi/damla-sakizli-turk-kahvesi/</x:v>
      </x:c>
      <x:c r="R254" s="20" t="str">
        <x:v>Ürün kimliği korundu; eksik alanlar erişilemedi olarak işaretlenecek.</x:v>
      </x:c>
    </x:row>
    <x:row r="255" ht="40" customHeight="1">
      <x:c r="A255" s="16" t="str">
        <x:v>Bu Coffee Roastery</x:v>
      </x:c>
      <x:c r="B255" s="16" t="str">
        <x:v>İstanbul / İzmir</x:v>
      </x:c>
      <x:c r="C255" s="16" t="str">
        <x:v>Doğrulandı</x:v>
      </x:c>
      <x:c r="D255" s="16" t="str">
        <x:v>Ürün kaydı</x:v>
      </x:c>
      <x:c r="E255" s="16" t="str">
        <x:v>DİBEK KAHVESİ</x:v>
      </x:c>
      <x:c r="F255" s="16" t="str">
        <x:v>Menşe belirtilmemiş</x:v>
      </x:c>
      <x:c r="G255" s="17" t="str">
        <x:v>Erişilemedi</x:v>
      </x:c>
      <x:c r="H255" s="16" t="str">
        <x:v>Erişilemedi</x:v>
      </x:c>
      <x:c r="I255" s="18" t="str">
        <x:v>Erişilemedi</x:v>
      </x:c>
      <x:c r="J255" s="18" t="str">
        <x:v>Erişilemedi</x:v>
      </x:c>
      <x:c r="K255" s="18" t="str">
        <x:f>IF(AND(ISNUMBER(G255),ISNUMBER(I255)),I255/G255*1000,"Erişilemedi")</x:f>
        <x:v>Erişilemedi</x:v>
      </x:c>
      <x:c r="L255" s="16" t="str">
        <x:v>Belirsiz</x:v>
      </x:c>
      <x:c r="M255" s="16" t="str">
        <x:v>Kahve ürünü</x:v>
      </x:c>
      <x:c r="N255" s="16" t="str">
        <x:v>Site haritası ürün sayfası</x:v>
      </x:c>
      <x:c r="O255" s="16" t="str">
        <x:v>Düşük</x:v>
      </x:c>
      <x:c r="P255" s="19" t="n">
        <x:v>46245</x:v>
      </x:c>
      <x:c r="Q255" s="20" t="str">
        <x:v>https://www.bucoffee.com.tr/kahvelerimiz/turk-kahvesi/dibek-kahvesi/</x:v>
      </x:c>
      <x:c r="R255" s="20" t="str">
        <x:v>Ürün kimliği korundu; eksik alanlar erişilemedi olarak işaretlenecek.</x:v>
      </x:c>
    </x:row>
    <x:row r="256" ht="40" customHeight="1">
      <x:c r="A256" s="16" t="str">
        <x:v>Bu Coffee Roastery</x:v>
      </x:c>
      <x:c r="B256" s="16" t="str">
        <x:v>İstanbul / İzmir</x:v>
      </x:c>
      <x:c r="C256" s="16" t="str">
        <x:v>Doğrulandı</x:v>
      </x:c>
      <x:c r="D256" s="16" t="str">
        <x:v>Ürün kaydı</x:v>
      </x:c>
      <x:c r="E256" s="16" t="str">
        <x:v>Dünya Kahveleri Bu Coffee Roastery</x:v>
      </x:c>
      <x:c r="F256" s="16" t="str">
        <x:v>Menşe belirtilmemiş</x:v>
      </x:c>
      <x:c r="G256" s="17" t="str">
        <x:v>Erişilemedi</x:v>
      </x:c>
      <x:c r="H256" s="16" t="str">
        <x:v>Erişilemedi</x:v>
      </x:c>
      <x:c r="I256" s="18" t="str">
        <x:v>Erişilemedi</x:v>
      </x:c>
      <x:c r="J256" s="18" t="str">
        <x:v>Erişilemedi</x:v>
      </x:c>
      <x:c r="K256" s="18" t="str">
        <x:f>IF(AND(ISNUMBER(G256),ISNUMBER(I256)),I256/G256*1000,"Erişilemedi")</x:f>
        <x:v>Erişilemedi</x:v>
      </x:c>
      <x:c r="L256" s="16" t="str">
        <x:v>Belirsiz</x:v>
      </x:c>
      <x:c r="M256" s="16" t="str">
        <x:v>Kahve ürünü</x:v>
      </x:c>
      <x:c r="N256" s="16" t="str">
        <x:v>Site haritası ürün sayfası</x:v>
      </x:c>
      <x:c r="O256" s="16" t="str">
        <x:v>Düşük</x:v>
      </x:c>
      <x:c r="P256" s="19" t="n">
        <x:v>46245</x:v>
      </x:c>
      <x:c r="Q256" s="20" t="str">
        <x:v>https://www.bucoffee.com.tr/kahvelerimiz/dunya-kahveleri/</x:v>
      </x:c>
      <x:c r="R256" s="20" t="str">
        <x:v>Ürün kimliği korundu; eksik alanlar erişilemedi olarak işaretlenecek.</x:v>
      </x:c>
    </x:row>
    <x:row r="257" ht="40" customHeight="1">
      <x:c r="A257" s="16" t="str">
        <x:v>Bu Coffee Roastery</x:v>
      </x:c>
      <x:c r="B257" s="16" t="str">
        <x:v>İstanbul / İzmir</x:v>
      </x:c>
      <x:c r="C257" s="16" t="str">
        <x:v>Doğrulandı</x:v>
      </x:c>
      <x:c r="D257" s="16" t="str">
        <x:v>Ürün kaydı</x:v>
      </x:c>
      <x:c r="E257" s="16" t="str">
        <x:v>EL SALVADOR LA JOYA ESTATE SHG</x:v>
      </x:c>
      <x:c r="F257" s="16" t="str">
        <x:v>El Salvador</x:v>
      </x:c>
      <x:c r="G257" s="17" t="str">
        <x:v>Erişilemedi</x:v>
      </x:c>
      <x:c r="H257" s="16" t="str">
        <x:v>Erişilemedi</x:v>
      </x:c>
      <x:c r="I257" s="18" t="str">
        <x:v>Erişilemedi</x:v>
      </x:c>
      <x:c r="J257" s="18" t="str">
        <x:v>Erişilemedi</x:v>
      </x:c>
      <x:c r="K257" s="18" t="str">
        <x:f>IF(AND(ISNUMBER(G257),ISNUMBER(I257)),I257/G257*1000,"Erişilemedi")</x:f>
        <x:v>Erişilemedi</x:v>
      </x:c>
      <x:c r="L257" s="16" t="str">
        <x:v>Belirsiz</x:v>
      </x:c>
      <x:c r="M257" s="16" t="str">
        <x:v>Kahve ürünü</x:v>
      </x:c>
      <x:c r="N257" s="16" t="str">
        <x:v>Site haritası ürün sayfası</x:v>
      </x:c>
      <x:c r="O257" s="16" t="str">
        <x:v>Düşük</x:v>
      </x:c>
      <x:c r="P257" s="19" t="n">
        <x:v>46245</x:v>
      </x:c>
      <x:c r="Q257" s="20" t="str">
        <x:v>https://www.bucoffee.com.tr/kahvelerimiz/dunya-kahveleri/el-salvador-la-joya-estate-shg/</x:v>
      </x:c>
      <x:c r="R257" s="20" t="str">
        <x:v>Ürün kimliği korundu; eksik alanlar erişilemedi olarak işaretlenecek.</x:v>
      </x:c>
    </x:row>
    <x:row r="258" ht="40" customHeight="1">
      <x:c r="A258" s="16" t="str">
        <x:v>Bu Coffee Roastery</x:v>
      </x:c>
      <x:c r="B258" s="16" t="str">
        <x:v>İstanbul / İzmir</x:v>
      </x:c>
      <x:c r="C258" s="16" t="str">
        <x:v>Doğrulandı</x:v>
      </x:c>
      <x:c r="D258" s="16" t="str">
        <x:v>Ürün kaydı</x:v>
      </x:c>
      <x:c r="E258" s="16" t="str">
        <x:v>EN ÇOK SEVİLEN KAHVELERİMİZ</x:v>
      </x:c>
      <x:c r="F258" s="16" t="str">
        <x:v>Menşe belirtilmemiş</x:v>
      </x:c>
      <x:c r="G258" s="17" t="str">
        <x:v>Erişilemedi</x:v>
      </x:c>
      <x:c r="H258" s="16" t="str">
        <x:v>Erişilemedi</x:v>
      </x:c>
      <x:c r="I258" s="18" t="str">
        <x:v>Erişilemedi</x:v>
      </x:c>
      <x:c r="J258" s="18" t="str">
        <x:v>Erişilemedi</x:v>
      </x:c>
      <x:c r="K258" s="18" t="str">
        <x:f>IF(AND(ISNUMBER(G258),ISNUMBER(I258)),I258/G258*1000,"Erişilemedi")</x:f>
        <x:v>Erişilemedi</x:v>
      </x:c>
      <x:c r="L258" s="16" t="str">
        <x:v>Belirsiz</x:v>
      </x:c>
      <x:c r="M258" s="16" t="str">
        <x:v>Kahve ürünü</x:v>
      </x:c>
      <x:c r="N258" s="16" t="str">
        <x:v>Site haritası ürün sayfası</x:v>
      </x:c>
      <x:c r="O258" s="16" t="str">
        <x:v>Düşük</x:v>
      </x:c>
      <x:c r="P258" s="19" t="n">
        <x:v>46245</x:v>
      </x:c>
      <x:c r="Q258" s="20" t="str">
        <x:v>https://www.bucoffee.com.tr/</x:v>
      </x:c>
      <x:c r="R258" s="20" t="str">
        <x:v>Ürün kimliği korundu; eksik alanlar erişilemedi olarak işaretlenecek.</x:v>
      </x:c>
    </x:row>
    <x:row r="259" ht="40" customHeight="1">
      <x:c r="A259" s="16" t="str">
        <x:v>Bu Coffee Roastery</x:v>
      </x:c>
      <x:c r="B259" s="16" t="str">
        <x:v>İstanbul / İzmir</x:v>
      </x:c>
      <x:c r="C259" s="16" t="str">
        <x:v>Doğrulandı</x:v>
      </x:c>
      <x:c r="D259" s="16" t="str">
        <x:v>Ürün kaydı</x:v>
      </x:c>
      <x:c r="E259" s="16" t="str">
        <x:v>Espresso Bu Coffee Roastery</x:v>
      </x:c>
      <x:c r="F259" s="16" t="str">
        <x:v>Menşe belirtilmemiş</x:v>
      </x:c>
      <x:c r="G259" s="17" t="str">
        <x:v>Erişilemedi</x:v>
      </x:c>
      <x:c r="H259" s="16" t="str">
        <x:v>Erişilemedi</x:v>
      </x:c>
      <x:c r="I259" s="18" t="str">
        <x:v>Erişilemedi</x:v>
      </x:c>
      <x:c r="J259" s="18" t="str">
        <x:v>Erişilemedi</x:v>
      </x:c>
      <x:c r="K259" s="18" t="str">
        <x:f>IF(AND(ISNUMBER(G259),ISNUMBER(I259)),I259/G259*1000,"Erişilemedi")</x:f>
        <x:v>Erişilemedi</x:v>
      </x:c>
      <x:c r="L259" s="16" t="str">
        <x:v>Belirsiz</x:v>
      </x:c>
      <x:c r="M259" s="16" t="str">
        <x:v>Kahve ürünü</x:v>
      </x:c>
      <x:c r="N259" s="16" t="str">
        <x:v>Site haritası ürün sayfası</x:v>
      </x:c>
      <x:c r="O259" s="16" t="str">
        <x:v>Düşük</x:v>
      </x:c>
      <x:c r="P259" s="19" t="n">
        <x:v>46245</x:v>
      </x:c>
      <x:c r="Q259" s="20" t="str">
        <x:v>https://www.bucoffee.com.tr/kahvelerimiz/espresso/</x:v>
      </x:c>
      <x:c r="R259" s="20" t="str">
        <x:v>Ürün kimliği korundu; eksik alanlar erişilemedi olarak işaretlenecek.</x:v>
      </x:c>
    </x:row>
    <x:row r="260" ht="40" customHeight="1">
      <x:c r="A260" s="16" t="str">
        <x:v>Bu Coffee Roastery</x:v>
      </x:c>
      <x:c r="B260" s="16" t="str">
        <x:v>İstanbul / İzmir</x:v>
      </x:c>
      <x:c r="C260" s="16" t="str">
        <x:v>Doğrulandı</x:v>
      </x:c>
      <x:c r="D260" s="16" t="str">
        <x:v>Ürün kaydı</x:v>
      </x:c>
      <x:c r="E260" s="16" t="str">
        <x:v>ETHIOPIA YIRGACHEFFE</x:v>
      </x:c>
      <x:c r="F260" s="16" t="str">
        <x:v>Etiyopya</x:v>
      </x:c>
      <x:c r="G260" s="17" t="str">
        <x:v>Erişilemedi</x:v>
      </x:c>
      <x:c r="H260" s="16" t="str">
        <x:v>Erişilemedi</x:v>
      </x:c>
      <x:c r="I260" s="18" t="str">
        <x:v>Erişilemedi</x:v>
      </x:c>
      <x:c r="J260" s="18" t="str">
        <x:v>Erişilemedi</x:v>
      </x:c>
      <x:c r="K260" s="18" t="str">
        <x:f>IF(AND(ISNUMBER(G260),ISNUMBER(I260)),I260/G260*1000,"Erişilemedi")</x:f>
        <x:v>Erişilemedi</x:v>
      </x:c>
      <x:c r="L260" s="16" t="str">
        <x:v>Belirsiz</x:v>
      </x:c>
      <x:c r="M260" s="16" t="str">
        <x:v>Kahve ürünü</x:v>
      </x:c>
      <x:c r="N260" s="16" t="str">
        <x:v>Site haritası ürün sayfası</x:v>
      </x:c>
      <x:c r="O260" s="16" t="str">
        <x:v>Düşük</x:v>
      </x:c>
      <x:c r="P260" s="19" t="n">
        <x:v>46245</x:v>
      </x:c>
      <x:c r="Q260" s="20" t="str">
        <x:v>https://www.bucoffee.com.tr/kahvelerimiz/dunya-kahveleri/ethiopia-yirgacheffe/</x:v>
      </x:c>
      <x:c r="R260" s="20" t="str">
        <x:v>Ürün kimliği korundu; eksik alanlar erişilemedi olarak işaretlenecek.</x:v>
      </x:c>
    </x:row>
    <x:row r="261" ht="40" customHeight="1">
      <x:c r="A261" s="16" t="str">
        <x:v>Bu Coffee Roastery</x:v>
      </x:c>
      <x:c r="B261" s="16" t="str">
        <x:v>İstanbul / İzmir</x:v>
      </x:c>
      <x:c r="C261" s="16" t="str">
        <x:v>Doğrulandı</x:v>
      </x:c>
      <x:c r="D261" s="16" t="str">
        <x:v>Ürün kaydı</x:v>
      </x:c>
      <x:c r="E261" s="16" t="str">
        <x:v>Filtre Kahve Bu Coffee Roastery</x:v>
      </x:c>
      <x:c r="F261" s="16" t="str">
        <x:v>Menşe belirtilmemiş</x:v>
      </x:c>
      <x:c r="G261" s="17" t="str">
        <x:v>Erişilemedi</x:v>
      </x:c>
      <x:c r="H261" s="16" t="str">
        <x:v>Erişilemedi</x:v>
      </x:c>
      <x:c r="I261" s="18" t="str">
        <x:v>Erişilemedi</x:v>
      </x:c>
      <x:c r="J261" s="18" t="str">
        <x:v>Erişilemedi</x:v>
      </x:c>
      <x:c r="K261" s="18" t="str">
        <x:f>IF(AND(ISNUMBER(G261),ISNUMBER(I261)),I261/G261*1000,"Erişilemedi")</x:f>
        <x:v>Erişilemedi</x:v>
      </x:c>
      <x:c r="L261" s="16" t="str">
        <x:v>Belirsiz</x:v>
      </x:c>
      <x:c r="M261" s="16" t="str">
        <x:v>Kahve ürünü</x:v>
      </x:c>
      <x:c r="N261" s="16" t="str">
        <x:v>Site haritası ürün sayfası</x:v>
      </x:c>
      <x:c r="O261" s="16" t="str">
        <x:v>Düşük</x:v>
      </x:c>
      <x:c r="P261" s="19" t="n">
        <x:v>46245</x:v>
      </x:c>
      <x:c r="Q261" s="20" t="str">
        <x:v>https://www.bucoffee.com.tr/kahvelerimiz/filtre-kahve/</x:v>
      </x:c>
      <x:c r="R261" s="20" t="str">
        <x:v>Ürün kimliği korundu; eksik alanlar erişilemedi olarak işaretlenecek.</x:v>
      </x:c>
    </x:row>
    <x:row r="262" ht="40" customHeight="1">
      <x:c r="A262" s="16" t="str">
        <x:v>Bu Coffee Roastery</x:v>
      </x:c>
      <x:c r="B262" s="16" t="str">
        <x:v>İstanbul / İzmir</x:v>
      </x:c>
      <x:c r="C262" s="16" t="str">
        <x:v>Doğrulandı</x:v>
      </x:c>
      <x:c r="D262" s="16" t="str">
        <x:v>Ürün kaydı</x:v>
      </x:c>
      <x:c r="E262" s="16" t="str">
        <x:v>GRANÜL KAHVE (GOLD)</x:v>
      </x:c>
      <x:c r="F262" s="16" t="str">
        <x:v>Menşe belirtilmemiş</x:v>
      </x:c>
      <x:c r="G262" s="17" t="str">
        <x:v>Erişilemedi</x:v>
      </x:c>
      <x:c r="H262" s="16" t="str">
        <x:v>Erişilemedi</x:v>
      </x:c>
      <x:c r="I262" s="18" t="str">
        <x:v>Erişilemedi</x:v>
      </x:c>
      <x:c r="J262" s="18" t="str">
        <x:v>Erişilemedi</x:v>
      </x:c>
      <x:c r="K262" s="18" t="str">
        <x:f>IF(AND(ISNUMBER(G262),ISNUMBER(I262)),I262/G262*1000,"Erişilemedi")</x:f>
        <x:v>Erişilemedi</x:v>
      </x:c>
      <x:c r="L262" s="16" t="str">
        <x:v>Belirsiz</x:v>
      </x:c>
      <x:c r="M262" s="16" t="str">
        <x:v>Kahve ürünü</x:v>
      </x:c>
      <x:c r="N262" s="16" t="str">
        <x:v>Site haritası ürün sayfası</x:v>
      </x:c>
      <x:c r="O262" s="16" t="str">
        <x:v>Düşük</x:v>
      </x:c>
      <x:c r="P262" s="19" t="n">
        <x:v>46245</x:v>
      </x:c>
      <x:c r="Q262" s="20" t="str">
        <x:v>https://www.bucoffee.com.tr/kahvelerimiz/granul-kahve/granul-kahve-gold/</x:v>
      </x:c>
      <x:c r="R262" s="20" t="str">
        <x:v>Ürün kimliği korundu; eksik alanlar erişilemedi olarak işaretlenecek.</x:v>
      </x:c>
    </x:row>
    <x:row r="263" ht="40" customHeight="1">
      <x:c r="A263" s="16" t="str">
        <x:v>Bu Coffee Roastery</x:v>
      </x:c>
      <x:c r="B263" s="16" t="str">
        <x:v>İstanbul / İzmir</x:v>
      </x:c>
      <x:c r="C263" s="16" t="str">
        <x:v>Doğrulandı</x:v>
      </x:c>
      <x:c r="D263" s="16" t="str">
        <x:v>Ürün kaydı</x:v>
      </x:c>
      <x:c r="E263" s="16" t="str">
        <x:v>Granül Kahve Bu Coffee Roastery</x:v>
      </x:c>
      <x:c r="F263" s="16" t="str">
        <x:v>Menşe belirtilmemiş</x:v>
      </x:c>
      <x:c r="G263" s="17" t="str">
        <x:v>Erişilemedi</x:v>
      </x:c>
      <x:c r="H263" s="16" t="str">
        <x:v>Erişilemedi</x:v>
      </x:c>
      <x:c r="I263" s="18" t="str">
        <x:v>Erişilemedi</x:v>
      </x:c>
      <x:c r="J263" s="18" t="str">
        <x:v>Erişilemedi</x:v>
      </x:c>
      <x:c r="K263" s="18" t="str">
        <x:f>IF(AND(ISNUMBER(G263),ISNUMBER(I263)),I263/G263*1000,"Erişilemedi")</x:f>
        <x:v>Erişilemedi</x:v>
      </x:c>
      <x:c r="L263" s="16" t="str">
        <x:v>Belirsiz</x:v>
      </x:c>
      <x:c r="M263" s="16" t="str">
        <x:v>Kahve ürünü</x:v>
      </x:c>
      <x:c r="N263" s="16" t="str">
        <x:v>Site haritası ürün sayfası</x:v>
      </x:c>
      <x:c r="O263" s="16" t="str">
        <x:v>Düşük</x:v>
      </x:c>
      <x:c r="P263" s="19" t="n">
        <x:v>46245</x:v>
      </x:c>
      <x:c r="Q263" s="20" t="str">
        <x:v>https://www.bucoffee.com.tr/kahvelerimiz/granul-kahve/</x:v>
      </x:c>
      <x:c r="R263" s="20" t="str">
        <x:v>Ürün kimliği korundu; eksik alanlar erişilemedi olarak işaretlenecek.</x:v>
      </x:c>
    </x:row>
    <x:row r="264" ht="40" customHeight="1">
      <x:c r="A264" s="16" t="str">
        <x:v>Bu Coffee Roastery</x:v>
      </x:c>
      <x:c r="B264" s="16" t="str">
        <x:v>İstanbul / İzmir</x:v>
      </x:c>
      <x:c r="C264" s="16" t="str">
        <x:v>Doğrulandı</x:v>
      </x:c>
      <x:c r="D264" s="16" t="str">
        <x:v>Ürün kaydı</x:v>
      </x:c>
      <x:c r="E264" s="16" t="str">
        <x:v>GUATEMALA HUEHUETENANGO SHB</x:v>
      </x:c>
      <x:c r="F264" s="16" t="str">
        <x:v>Guatemala</x:v>
      </x:c>
      <x:c r="G264" s="17" t="str">
        <x:v>Erişilemedi</x:v>
      </x:c>
      <x:c r="H264" s="16" t="str">
        <x:v>Erişilemedi</x:v>
      </x:c>
      <x:c r="I264" s="18" t="str">
        <x:v>Erişilemedi</x:v>
      </x:c>
      <x:c r="J264" s="18" t="str">
        <x:v>Erişilemedi</x:v>
      </x:c>
      <x:c r="K264" s="18" t="str">
        <x:f>IF(AND(ISNUMBER(G264),ISNUMBER(I264)),I264/G264*1000,"Erişilemedi")</x:f>
        <x:v>Erişilemedi</x:v>
      </x:c>
      <x:c r="L264" s="16" t="str">
        <x:v>Belirsiz</x:v>
      </x:c>
      <x:c r="M264" s="16" t="str">
        <x:v>Kahve ürünü</x:v>
      </x:c>
      <x:c r="N264" s="16" t="str">
        <x:v>Site haritası ürün sayfası</x:v>
      </x:c>
      <x:c r="O264" s="16" t="str">
        <x:v>Düşük</x:v>
      </x:c>
      <x:c r="P264" s="19" t="n">
        <x:v>46245</x:v>
      </x:c>
      <x:c r="Q264" s="20" t="str">
        <x:v>https://www.bucoffee.com.tr/kahvelerimiz/dunya-kahveleri/guatemala-huehuetenango-shb/</x:v>
      </x:c>
      <x:c r="R264" s="20" t="str">
        <x:v>Ürün kimliği korundu; eksik alanlar erişilemedi olarak işaretlenecek.</x:v>
      </x:c>
    </x:row>
    <x:row r="265" ht="40" customHeight="1">
      <x:c r="A265" s="16" t="str">
        <x:v>Bu Coffee Roastery</x:v>
      </x:c>
      <x:c r="B265" s="16" t="str">
        <x:v>İstanbul / İzmir</x:v>
      </x:c>
      <x:c r="C265" s="16" t="str">
        <x:v>Doğrulandı</x:v>
      </x:c>
      <x:c r="D265" s="16" t="str">
        <x:v>Ürün kaydı</x:v>
      </x:c>
      <x:c r="E265" s="16" t="str">
        <x:v>HONDURAS SAN MARCOS</x:v>
      </x:c>
      <x:c r="F265" s="16" t="str">
        <x:v>Honduras</x:v>
      </x:c>
      <x:c r="G265" s="17" t="str">
        <x:v>Erişilemedi</x:v>
      </x:c>
      <x:c r="H265" s="16" t="str">
        <x:v>Erişilemedi</x:v>
      </x:c>
      <x:c r="I265" s="18" t="str">
        <x:v>Erişilemedi</x:v>
      </x:c>
      <x:c r="J265" s="18" t="str">
        <x:v>Erişilemedi</x:v>
      </x:c>
      <x:c r="K265" s="18" t="str">
        <x:f>IF(AND(ISNUMBER(G265),ISNUMBER(I265)),I265/G265*1000,"Erişilemedi")</x:f>
        <x:v>Erişilemedi</x:v>
      </x:c>
      <x:c r="L265" s="16" t="str">
        <x:v>Belirsiz</x:v>
      </x:c>
      <x:c r="M265" s="16" t="str">
        <x:v>Kahve ürünü</x:v>
      </x:c>
      <x:c r="N265" s="16" t="str">
        <x:v>Site haritası ürün sayfası</x:v>
      </x:c>
      <x:c r="O265" s="16" t="str">
        <x:v>Düşük</x:v>
      </x:c>
      <x:c r="P265" s="19" t="n">
        <x:v>46245</x:v>
      </x:c>
      <x:c r="Q265" s="20" t="str">
        <x:v>https://www.bucoffee.com.tr/kahvelerimiz/dunya-kahveleri/honduras-san-marcos/</x:v>
      </x:c>
      <x:c r="R265" s="20" t="str">
        <x:v>Ürün kimliği korundu; eksik alanlar erişilemedi olarak işaretlenecek.</x:v>
      </x:c>
    </x:row>
    <x:row r="266" ht="40" customHeight="1">
      <x:c r="A266" s="16" t="str">
        <x:v>Bu Coffee Roastery</x:v>
      </x:c>
      <x:c r="B266" s="16" t="str">
        <x:v>İstanbul / İzmir</x:v>
      </x:c>
      <x:c r="C266" s="16" t="str">
        <x:v>Doğrulandı</x:v>
      </x:c>
      <x:c r="D266" s="16" t="str">
        <x:v>Ürün kaydı</x:v>
      </x:c>
      <x:c r="E266" s="16" t="str">
        <x:v>INDONESIA SUMATRA</x:v>
      </x:c>
      <x:c r="F266" s="16" t="str">
        <x:v>Endonezya</x:v>
      </x:c>
      <x:c r="G266" s="17" t="str">
        <x:v>Erişilemedi</x:v>
      </x:c>
      <x:c r="H266" s="16" t="str">
        <x:v>Erişilemedi</x:v>
      </x:c>
      <x:c r="I266" s="18" t="str">
        <x:v>Erişilemedi</x:v>
      </x:c>
      <x:c r="J266" s="18" t="str">
        <x:v>Erişilemedi</x:v>
      </x:c>
      <x:c r="K266" s="18" t="str">
        <x:f>IF(AND(ISNUMBER(G266),ISNUMBER(I266)),I266/G266*1000,"Erişilemedi")</x:f>
        <x:v>Erişilemedi</x:v>
      </x:c>
      <x:c r="L266" s="16" t="str">
        <x:v>Belirsiz</x:v>
      </x:c>
      <x:c r="M266" s="16" t="str">
        <x:v>Kahve ürünü</x:v>
      </x:c>
      <x:c r="N266" s="16" t="str">
        <x:v>Site haritası ürün sayfası</x:v>
      </x:c>
      <x:c r="O266" s="16" t="str">
        <x:v>Düşük</x:v>
      </x:c>
      <x:c r="P266" s="19" t="n">
        <x:v>46245</x:v>
      </x:c>
      <x:c r="Q266" s="20" t="str">
        <x:v>https://www.bucoffee.com.tr/kahvelerimiz/dunya-kahveleri/indonesia-sumatra/</x:v>
      </x:c>
      <x:c r="R266" s="20" t="str">
        <x:v>Ürün kimliği korundu; eksik alanlar erişilemedi olarak işaretlenecek.</x:v>
      </x:c>
    </x:row>
    <x:row r="267" ht="40" customHeight="1">
      <x:c r="A267" s="16" t="str">
        <x:v>Bu Coffee Roastery</x:v>
      </x:c>
      <x:c r="B267" s="16" t="str">
        <x:v>İstanbul / İzmir</x:v>
      </x:c>
      <x:c r="C267" s="16" t="str">
        <x:v>Doğrulandı</x:v>
      </x:c>
      <x:c r="D267" s="16" t="str">
        <x:v>Ürün kaydı</x:v>
      </x:c>
      <x:c r="E267" s="16" t="str">
        <x:v>Kahvelerimiz Bu Coffee Roastery</x:v>
      </x:c>
      <x:c r="F267" s="16" t="str">
        <x:v>Menşe belirtilmemiş</x:v>
      </x:c>
      <x:c r="G267" s="17" t="str">
        <x:v>Erişilemedi</x:v>
      </x:c>
      <x:c r="H267" s="16" t="str">
        <x:v>Erişilemedi</x:v>
      </x:c>
      <x:c r="I267" s="18" t="str">
        <x:v>Erişilemedi</x:v>
      </x:c>
      <x:c r="J267" s="18" t="str">
        <x:v>Erişilemedi</x:v>
      </x:c>
      <x:c r="K267" s="18" t="str">
        <x:f>IF(AND(ISNUMBER(G267),ISNUMBER(I267)),I267/G267*1000,"Erişilemedi")</x:f>
        <x:v>Erişilemedi</x:v>
      </x:c>
      <x:c r="L267" s="16" t="str">
        <x:v>Belirsiz</x:v>
      </x:c>
      <x:c r="M267" s="16" t="str">
        <x:v>Kahve ürünü</x:v>
      </x:c>
      <x:c r="N267" s="16" t="str">
        <x:v>Site haritası ürün sayfası</x:v>
      </x:c>
      <x:c r="O267" s="16" t="str">
        <x:v>Düşük</x:v>
      </x:c>
      <x:c r="P267" s="19" t="n">
        <x:v>46245</x:v>
      </x:c>
      <x:c r="Q267" s="20" t="str">
        <x:v>https://www.bucoffee.com.tr/kahvelerimiz/</x:v>
      </x:c>
      <x:c r="R267" s="20" t="str">
        <x:v>Ürün kimliği korundu; eksik alanlar erişilemedi olarak işaretlenecek.</x:v>
      </x:c>
    </x:row>
    <x:row r="268" ht="40" customHeight="1">
      <x:c r="A268" s="16" t="str">
        <x:v>Bu Coffee Roastery</x:v>
      </x:c>
      <x:c r="B268" s="16" t="str">
        <x:v>İstanbul / İzmir</x:v>
      </x:c>
      <x:c r="C268" s="16" t="str">
        <x:v>Doğrulandı</x:v>
      </x:c>
      <x:c r="D268" s="16" t="str">
        <x:v>Ürün kaydı</x:v>
      </x:c>
      <x:c r="E268" s="16" t="str">
        <x:v>KAPSÜL KAHVE (HAFİF) (10'lu Paket)</x:v>
      </x:c>
      <x:c r="F268" s="16" t="str">
        <x:v>Menşe belirtilmemiş</x:v>
      </x:c>
      <x:c r="G268" s="17" t="str">
        <x:v>Erişilemedi</x:v>
      </x:c>
      <x:c r="H268" s="16" t="str">
        <x:v>Erişilemedi</x:v>
      </x:c>
      <x:c r="I268" s="18" t="str">
        <x:v>Erişilemedi</x:v>
      </x:c>
      <x:c r="J268" s="18" t="str">
        <x:v>Erişilemedi</x:v>
      </x:c>
      <x:c r="K268" s="18" t="str">
        <x:f>IF(AND(ISNUMBER(G268),ISNUMBER(I268)),I268/G268*1000,"Erişilemedi")</x:f>
        <x:v>Erişilemedi</x:v>
      </x:c>
      <x:c r="L268" s="16" t="str">
        <x:v>Belirsiz</x:v>
      </x:c>
      <x:c r="M268" s="16" t="str">
        <x:v>Kahve ürünü</x:v>
      </x:c>
      <x:c r="N268" s="16" t="str">
        <x:v>Site haritası ürün sayfası</x:v>
      </x:c>
      <x:c r="O268" s="16" t="str">
        <x:v>Düşük</x:v>
      </x:c>
      <x:c r="P268" s="19" t="n">
        <x:v>46245</x:v>
      </x:c>
      <x:c r="Q268" s="20" t="str">
        <x:v>https://www.bucoffee.com.tr/kahvelerimiz/kapsul-kahve/kapsul-kahve-hafif/</x:v>
      </x:c>
      <x:c r="R268" s="20" t="str">
        <x:v>Ürün kimliği korundu; eksik alanlar erişilemedi olarak işaretlenecek.</x:v>
      </x:c>
    </x:row>
    <x:row r="269" ht="40" customHeight="1">
      <x:c r="A269" s="16" t="str">
        <x:v>Bu Coffee Roastery</x:v>
      </x:c>
      <x:c r="B269" s="16" t="str">
        <x:v>İstanbul / İzmir</x:v>
      </x:c>
      <x:c r="C269" s="16" t="str">
        <x:v>Doğrulandı</x:v>
      </x:c>
      <x:c r="D269" s="16" t="str">
        <x:v>Ürün kaydı</x:v>
      </x:c>
      <x:c r="E269" s="16" t="str">
        <x:v>KAPSÜL KAHVE (ORTA) (10'lu Paket)</x:v>
      </x:c>
      <x:c r="F269" s="16" t="str">
        <x:v>Menşe belirtilmemiş</x:v>
      </x:c>
      <x:c r="G269" s="17" t="str">
        <x:v>Erişilemedi</x:v>
      </x:c>
      <x:c r="H269" s="16" t="str">
        <x:v>Erişilemedi</x:v>
      </x:c>
      <x:c r="I269" s="18" t="str">
        <x:v>Erişilemedi</x:v>
      </x:c>
      <x:c r="J269" s="18" t="str">
        <x:v>Erişilemedi</x:v>
      </x:c>
      <x:c r="K269" s="18" t="str">
        <x:f>IF(AND(ISNUMBER(G269),ISNUMBER(I269)),I269/G269*1000,"Erişilemedi")</x:f>
        <x:v>Erişilemedi</x:v>
      </x:c>
      <x:c r="L269" s="16" t="str">
        <x:v>Belirsiz</x:v>
      </x:c>
      <x:c r="M269" s="16" t="str">
        <x:v>Kahve ürünü</x:v>
      </x:c>
      <x:c r="N269" s="16" t="str">
        <x:v>Site haritası ürün sayfası</x:v>
      </x:c>
      <x:c r="O269" s="16" t="str">
        <x:v>Düşük</x:v>
      </x:c>
      <x:c r="P269" s="19" t="n">
        <x:v>46245</x:v>
      </x:c>
      <x:c r="Q269" s="20" t="str">
        <x:v>https://www.bucoffee.com.tr/kahvelerimiz/kapsul-kahve/kapsul-kahve-orta/</x:v>
      </x:c>
      <x:c r="R269" s="20" t="str">
        <x:v>Ürün kimliği korundu; eksik alanlar erişilemedi olarak işaretlenecek.</x:v>
      </x:c>
    </x:row>
    <x:row r="270" ht="40" customHeight="1">
      <x:c r="A270" s="16" t="str">
        <x:v>Bu Coffee Roastery</x:v>
      </x:c>
      <x:c r="B270" s="16" t="str">
        <x:v>İstanbul / İzmir</x:v>
      </x:c>
      <x:c r="C270" s="16" t="str">
        <x:v>Doğrulandı</x:v>
      </x:c>
      <x:c r="D270" s="16" t="str">
        <x:v>Ürün kaydı</x:v>
      </x:c>
      <x:c r="E270" s="16" t="str">
        <x:v>KAPSÜL KAHVE (SERT) (10'lu Paket)</x:v>
      </x:c>
      <x:c r="F270" s="16" t="str">
        <x:v>Menşe belirtilmemiş</x:v>
      </x:c>
      <x:c r="G270" s="17" t="str">
        <x:v>Erişilemedi</x:v>
      </x:c>
      <x:c r="H270" s="16" t="str">
        <x:v>Erişilemedi</x:v>
      </x:c>
      <x:c r="I270" s="18" t="str">
        <x:v>Erişilemedi</x:v>
      </x:c>
      <x:c r="J270" s="18" t="str">
        <x:v>Erişilemedi</x:v>
      </x:c>
      <x:c r="K270" s="18" t="str">
        <x:f>IF(AND(ISNUMBER(G270),ISNUMBER(I270)),I270/G270*1000,"Erişilemedi")</x:f>
        <x:v>Erişilemedi</x:v>
      </x:c>
      <x:c r="L270" s="16" t="str">
        <x:v>Belirsiz</x:v>
      </x:c>
      <x:c r="M270" s="16" t="str">
        <x:v>Kahve ürünü</x:v>
      </x:c>
      <x:c r="N270" s="16" t="str">
        <x:v>Site haritası ürün sayfası</x:v>
      </x:c>
      <x:c r="O270" s="16" t="str">
        <x:v>Düşük</x:v>
      </x:c>
      <x:c r="P270" s="19" t="n">
        <x:v>46245</x:v>
      </x:c>
      <x:c r="Q270" s="20" t="str">
        <x:v>https://www.bucoffee.com.tr/kahvelerimiz/kapsul-kahve/kapsul-kahve-sert/</x:v>
      </x:c>
      <x:c r="R270" s="20" t="str">
        <x:v>Ürün kimliği korundu; eksik alanlar erişilemedi olarak işaretlenecek.</x:v>
      </x:c>
    </x:row>
    <x:row r="271" ht="40" customHeight="1">
      <x:c r="A271" s="16" t="str">
        <x:v>Bu Coffee Roastery</x:v>
      </x:c>
      <x:c r="B271" s="16" t="str">
        <x:v>İstanbul / İzmir</x:v>
      </x:c>
      <x:c r="C271" s="16" t="str">
        <x:v>Doğrulandı</x:v>
      </x:c>
      <x:c r="D271" s="16" t="str">
        <x:v>Ürün kaydı</x:v>
      </x:c>
      <x:c r="E271" s="16" t="str">
        <x:v>Kapsül Kahve Bu Coffee Roastery</x:v>
      </x:c>
      <x:c r="F271" s="16" t="str">
        <x:v>Menşe belirtilmemiş</x:v>
      </x:c>
      <x:c r="G271" s="17" t="str">
        <x:v>Erişilemedi</x:v>
      </x:c>
      <x:c r="H271" s="16" t="str">
        <x:v>Erişilemedi</x:v>
      </x:c>
      <x:c r="I271" s="18" t="str">
        <x:v>Erişilemedi</x:v>
      </x:c>
      <x:c r="J271" s="18" t="str">
        <x:v>Erişilemedi</x:v>
      </x:c>
      <x:c r="K271" s="18" t="str">
        <x:f>IF(AND(ISNUMBER(G271),ISNUMBER(I271)),I271/G271*1000,"Erişilemedi")</x:f>
        <x:v>Erişilemedi</x:v>
      </x:c>
      <x:c r="L271" s="16" t="str">
        <x:v>Belirsiz</x:v>
      </x:c>
      <x:c r="M271" s="16" t="str">
        <x:v>Kahve ürünü</x:v>
      </x:c>
      <x:c r="N271" s="16" t="str">
        <x:v>Site haritası ürün sayfası</x:v>
      </x:c>
      <x:c r="O271" s="16" t="str">
        <x:v>Düşük</x:v>
      </x:c>
      <x:c r="P271" s="19" t="n">
        <x:v>46245</x:v>
      </x:c>
      <x:c r="Q271" s="20" t="str">
        <x:v>https://www.bucoffee.com.tr/kahvelerimiz/kapsul-kahve/</x:v>
      </x:c>
      <x:c r="R271" s="20" t="str">
        <x:v>Ürün kimliği korundu; eksik alanlar erişilemedi olarak işaretlenecek.</x:v>
      </x:c>
    </x:row>
    <x:row r="272" ht="40" customHeight="1">
      <x:c r="A272" s="16" t="str">
        <x:v>Bu Coffee Roastery</x:v>
      </x:c>
      <x:c r="B272" s="16" t="str">
        <x:v>İstanbul / İzmir</x:v>
      </x:c>
      <x:c r="C272" s="16" t="str">
        <x:v>Doğrulandı</x:v>
      </x:c>
      <x:c r="D272" s="16" t="str">
        <x:v>Ürün kaydı</x:v>
      </x:c>
      <x:c r="E272" s="16" t="str">
        <x:v>KENYA AA</x:v>
      </x:c>
      <x:c r="F272" s="16" t="str">
        <x:v>Kenya</x:v>
      </x:c>
      <x:c r="G272" s="17" t="str">
        <x:v>Erişilemedi</x:v>
      </x:c>
      <x:c r="H272" s="16" t="str">
        <x:v>Erişilemedi</x:v>
      </x:c>
      <x:c r="I272" s="18" t="str">
        <x:v>Erişilemedi</x:v>
      </x:c>
      <x:c r="J272" s="18" t="str">
        <x:v>Erişilemedi</x:v>
      </x:c>
      <x:c r="K272" s="18" t="str">
        <x:f>IF(AND(ISNUMBER(G272),ISNUMBER(I272)),I272/G272*1000,"Erişilemedi")</x:f>
        <x:v>Erişilemedi</x:v>
      </x:c>
      <x:c r="L272" s="16" t="str">
        <x:v>Belirsiz</x:v>
      </x:c>
      <x:c r="M272" s="16" t="str">
        <x:v>Kahve ürünü</x:v>
      </x:c>
      <x:c r="N272" s="16" t="str">
        <x:v>Site haritası ürün sayfası</x:v>
      </x:c>
      <x:c r="O272" s="16" t="str">
        <x:v>Düşük</x:v>
      </x:c>
      <x:c r="P272" s="19" t="n">
        <x:v>46245</x:v>
      </x:c>
      <x:c r="Q272" s="20" t="str">
        <x:v>https://www.bucoffee.com.tr/kahvelerimiz/dunya-kahveleri/kenya-aa/</x:v>
      </x:c>
      <x:c r="R272" s="20" t="str">
        <x:v>Ürün kimliği korundu; eksik alanlar erişilemedi olarak işaretlenecek.</x:v>
      </x:c>
    </x:row>
    <x:row r="273" ht="40" customHeight="1">
      <x:c r="A273" s="16" t="str">
        <x:v>Bu Coffee Roastery</x:v>
      </x:c>
      <x:c r="B273" s="16" t="str">
        <x:v>İstanbul / İzmir</x:v>
      </x:c>
      <x:c r="C273" s="16" t="str">
        <x:v>Doğrulandı</x:v>
      </x:c>
      <x:c r="D273" s="16" t="str">
        <x:v>Ürün kaydı</x:v>
      </x:c>
      <x:c r="E273" s="16" t="str">
        <x:v>MEXICO DECAF</x:v>
      </x:c>
      <x:c r="F273" s="16" t="str">
        <x:v>Meksika</x:v>
      </x:c>
      <x:c r="G273" s="17" t="str">
        <x:v>Erişilemedi</x:v>
      </x:c>
      <x:c r="H273" s="16" t="str">
        <x:v>Erişilemedi</x:v>
      </x:c>
      <x:c r="I273" s="18" t="str">
        <x:v>Erişilemedi</x:v>
      </x:c>
      <x:c r="J273" s="18" t="str">
        <x:v>Erişilemedi</x:v>
      </x:c>
      <x:c r="K273" s="18" t="str">
        <x:f>IF(AND(ISNUMBER(G273),ISNUMBER(I273)),I273/G273*1000,"Erişilemedi")</x:f>
        <x:v>Erişilemedi</x:v>
      </x:c>
      <x:c r="L273" s="16" t="str">
        <x:v>Belirsiz</x:v>
      </x:c>
      <x:c r="M273" s="16" t="str">
        <x:v>Kahve ürünü</x:v>
      </x:c>
      <x:c r="N273" s="16" t="str">
        <x:v>Site haritası ürün sayfası</x:v>
      </x:c>
      <x:c r="O273" s="16" t="str">
        <x:v>Düşük</x:v>
      </x:c>
      <x:c r="P273" s="19" t="n">
        <x:v>46245</x:v>
      </x:c>
      <x:c r="Q273" s="20" t="str">
        <x:v>https://www.bucoffee.com.tr/kahvelerimiz/dunya-kahveleri/mexico-decaf/</x:v>
      </x:c>
      <x:c r="R273" s="20" t="str">
        <x:v>Ürün kimliği korundu; eksik alanlar erişilemedi olarak işaretlenecek.</x:v>
      </x:c>
    </x:row>
    <x:row r="274" ht="40" customHeight="1">
      <x:c r="A274" s="16" t="str">
        <x:v>Bu Coffee Roastery</x:v>
      </x:c>
      <x:c r="B274" s="16" t="str">
        <x:v>İstanbul / İzmir</x:v>
      </x:c>
      <x:c r="C274" s="16" t="str">
        <x:v>Doğrulandı</x:v>
      </x:c>
      <x:c r="D274" s="16" t="str">
        <x:v>Ürün kaydı</x:v>
      </x:c>
      <x:c r="E274" s="16" t="str">
        <x:v>News Bu Coffee Roastery</x:v>
      </x:c>
      <x:c r="F274" s="16" t="str">
        <x:v>Menşe belirtilmemiş</x:v>
      </x:c>
      <x:c r="G274" s="17" t="str">
        <x:v>Erişilemedi</x:v>
      </x:c>
      <x:c r="H274" s="16" t="str">
        <x:v>Erişilemedi</x:v>
      </x:c>
      <x:c r="I274" s="18" t="str">
        <x:v>Erişilemedi</x:v>
      </x:c>
      <x:c r="J274" s="18" t="str">
        <x:v>Erişilemedi</x:v>
      </x:c>
      <x:c r="K274" s="18" t="str">
        <x:f>IF(AND(ISNUMBER(G274),ISNUMBER(I274)),I274/G274*1000,"Erişilemedi")</x:f>
        <x:v>Erişilemedi</x:v>
      </x:c>
      <x:c r="L274" s="16" t="str">
        <x:v>Belirsiz</x:v>
      </x:c>
      <x:c r="M274" s="16" t="str">
        <x:v>Kahve ürünü</x:v>
      </x:c>
      <x:c r="N274" s="16" t="str">
        <x:v>Site haritası ürün sayfası</x:v>
      </x:c>
      <x:c r="O274" s="16" t="str">
        <x:v>Düşük</x:v>
      </x:c>
      <x:c r="P274" s="19" t="n">
        <x:v>46245</x:v>
      </x:c>
      <x:c r="Q274" s="20" t="str">
        <x:v>https://www.bucoffee.com.tr/news/</x:v>
      </x:c>
      <x:c r="R274" s="20" t="str">
        <x:v>Ürün kimliği korundu; eksik alanlar erişilemedi olarak işaretlenecek.</x:v>
      </x:c>
    </x:row>
    <x:row r="275" ht="40" customHeight="1">
      <x:c r="A275" s="16" t="str">
        <x:v>Bu Coffee Roastery</x:v>
      </x:c>
      <x:c r="B275" s="16" t="str">
        <x:v>İstanbul / İzmir</x:v>
      </x:c>
      <x:c r="C275" s="16" t="str">
        <x:v>Doğrulandı</x:v>
      </x:c>
      <x:c r="D275" s="16" t="str">
        <x:v>Ürün kaydı</x:v>
      </x:c>
      <x:c r="E275" s="16" t="str">
        <x:v>OSMANLI KAHVESİ</x:v>
      </x:c>
      <x:c r="F275" s="16" t="str">
        <x:v>Menşe belirtilmemiş</x:v>
      </x:c>
      <x:c r="G275" s="17" t="str">
        <x:v>Erişilemedi</x:v>
      </x:c>
      <x:c r="H275" s="16" t="str">
        <x:v>Erişilemedi</x:v>
      </x:c>
      <x:c r="I275" s="18" t="str">
        <x:v>Erişilemedi</x:v>
      </x:c>
      <x:c r="J275" s="18" t="str">
        <x:v>Erişilemedi</x:v>
      </x:c>
      <x:c r="K275" s="18" t="str">
        <x:f>IF(AND(ISNUMBER(G275),ISNUMBER(I275)),I275/G275*1000,"Erişilemedi")</x:f>
        <x:v>Erişilemedi</x:v>
      </x:c>
      <x:c r="L275" s="16" t="str">
        <x:v>Belirsiz</x:v>
      </x:c>
      <x:c r="M275" s="16" t="str">
        <x:v>Kahve ürünü</x:v>
      </x:c>
      <x:c r="N275" s="16" t="str">
        <x:v>Site haritası ürün sayfası</x:v>
      </x:c>
      <x:c r="O275" s="16" t="str">
        <x:v>Düşük</x:v>
      </x:c>
      <x:c r="P275" s="19" t="n">
        <x:v>46245</x:v>
      </x:c>
      <x:c r="Q275" s="20" t="str">
        <x:v>https://www.bucoffee.com.tr/kahvelerimiz/turk-kahvesi/osmanli-kahvesi/</x:v>
      </x:c>
      <x:c r="R275" s="20" t="str">
        <x:v>Ürün kimliği korundu; eksik alanlar erişilemedi olarak işaretlenecek.</x:v>
      </x:c>
    </x:row>
    <x:row r="276" ht="40" customHeight="1">
      <x:c r="A276" s="16" t="str">
        <x:v>Bu Coffee Roastery</x:v>
      </x:c>
      <x:c r="B276" s="16" t="str">
        <x:v>İstanbul / İzmir</x:v>
      </x:c>
      <x:c r="C276" s="16" t="str">
        <x:v>Doğrulandı</x:v>
      </x:c>
      <x:c r="D276" s="16" t="str">
        <x:v>Ürün kaydı</x:v>
      </x:c>
      <x:c r="E276" s="16" t="str">
        <x:v>PERU</x:v>
      </x:c>
      <x:c r="F276" s="16" t="str">
        <x:v>Peru</x:v>
      </x:c>
      <x:c r="G276" s="17" t="str">
        <x:v>Erişilemedi</x:v>
      </x:c>
      <x:c r="H276" s="16" t="str">
        <x:v>Erişilemedi</x:v>
      </x:c>
      <x:c r="I276" s="18" t="str">
        <x:v>Erişilemedi</x:v>
      </x:c>
      <x:c r="J276" s="18" t="str">
        <x:v>Erişilemedi</x:v>
      </x:c>
      <x:c r="K276" s="18" t="str">
        <x:f>IF(AND(ISNUMBER(G276),ISNUMBER(I276)),I276/G276*1000,"Erişilemedi")</x:f>
        <x:v>Erişilemedi</x:v>
      </x:c>
      <x:c r="L276" s="16" t="str">
        <x:v>Belirsiz</x:v>
      </x:c>
      <x:c r="M276" s="16" t="str">
        <x:v>Kahve ürünü</x:v>
      </x:c>
      <x:c r="N276" s="16" t="str">
        <x:v>Site haritası ürün sayfası</x:v>
      </x:c>
      <x:c r="O276" s="16" t="str">
        <x:v>Düşük</x:v>
      </x:c>
      <x:c r="P276" s="19" t="n">
        <x:v>46245</x:v>
      </x:c>
      <x:c r="Q276" s="20" t="str">
        <x:v>https://www.bucoffee.com.tr/kahvelerimiz/dunya-kahveleri/peru/</x:v>
      </x:c>
      <x:c r="R276" s="20" t="str">
        <x:v>Ürün kimliği korundu; eksik alanlar erişilemedi olarak işaretlenecek.</x:v>
      </x:c>
    </x:row>
    <x:row r="277" ht="40" customHeight="1">
      <x:c r="A277" s="16" t="str">
        <x:v>Bu Coffee Roastery</x:v>
      </x:c>
      <x:c r="B277" s="16" t="str">
        <x:v>İstanbul / İzmir</x:v>
      </x:c>
      <x:c r="C277" s="16" t="str">
        <x:v>Doğrulandı</x:v>
      </x:c>
      <x:c r="D277" s="16" t="str">
        <x:v>Ürün kaydı</x:v>
      </x:c>
      <x:c r="E277" s="16" t="str">
        <x:v>Services Bu Coffee Roastery</x:v>
      </x:c>
      <x:c r="F277" s="16" t="str">
        <x:v>Menşe belirtilmemiş</x:v>
      </x:c>
      <x:c r="G277" s="17" t="str">
        <x:v>Erişilemedi</x:v>
      </x:c>
      <x:c r="H277" s="16" t="str">
        <x:v>Erişilemedi</x:v>
      </x:c>
      <x:c r="I277" s="18" t="str">
        <x:v>Erişilemedi</x:v>
      </x:c>
      <x:c r="J277" s="18" t="str">
        <x:v>Erişilemedi</x:v>
      </x:c>
      <x:c r="K277" s="18" t="str">
        <x:f>IF(AND(ISNUMBER(G277),ISNUMBER(I277)),I277/G277*1000,"Erişilemedi")</x:f>
        <x:v>Erişilemedi</x:v>
      </x:c>
      <x:c r="L277" s="16" t="str">
        <x:v>Belirsiz</x:v>
      </x:c>
      <x:c r="M277" s="16" t="str">
        <x:v>Kahve ürünü</x:v>
      </x:c>
      <x:c r="N277" s="16" t="str">
        <x:v>Site haritası ürün sayfası</x:v>
      </x:c>
      <x:c r="O277" s="16" t="str">
        <x:v>Düşük</x:v>
      </x:c>
      <x:c r="P277" s="19" t="n">
        <x:v>46245</x:v>
      </x:c>
      <x:c r="Q277" s="20" t="str">
        <x:v>https://www.bucoffee.com.tr/services/</x:v>
      </x:c>
      <x:c r="R277" s="20" t="str">
        <x:v>Ürün kimliği korundu; eksik alanlar erişilemedi olarak işaretlenecek.</x:v>
      </x:c>
    </x:row>
    <x:row r="278" ht="40" customHeight="1">
      <x:c r="A278" s="16" t="str">
        <x:v>Bu Coffee Roastery</x:v>
      </x:c>
      <x:c r="B278" s="16" t="str">
        <x:v>İstanbul / İzmir</x:v>
      </x:c>
      <x:c r="C278" s="16" t="str">
        <x:v>Doğrulandı</x:v>
      </x:c>
      <x:c r="D278" s="16" t="str">
        <x:v>Ürün kaydı</x:v>
      </x:c>
      <x:c r="E278" s="16" t="str">
        <x:v>TOPTAN SATIŞ Bu Coffee Roastery</x:v>
      </x:c>
      <x:c r="F278" s="16" t="str">
        <x:v>Menşe belirtilmemiş</x:v>
      </x:c>
      <x:c r="G278" s="17" t="str">
        <x:v>Erişilemedi</x:v>
      </x:c>
      <x:c r="H278" s="16" t="str">
        <x:v>Erişilemedi</x:v>
      </x:c>
      <x:c r="I278" s="18" t="str">
        <x:v>Erişilemedi</x:v>
      </x:c>
      <x:c r="J278" s="18" t="str">
        <x:v>Erişilemedi</x:v>
      </x:c>
      <x:c r="K278" s="18" t="str">
        <x:f>IF(AND(ISNUMBER(G278),ISNUMBER(I278)),I278/G278*1000,"Erişilemedi")</x:f>
        <x:v>Erişilemedi</x:v>
      </x:c>
      <x:c r="L278" s="16" t="str">
        <x:v>Belirsiz</x:v>
      </x:c>
      <x:c r="M278" s="16" t="str">
        <x:v>Kahve ürünü</x:v>
      </x:c>
      <x:c r="N278" s="16" t="str">
        <x:v>Site haritası ürün sayfası</x:v>
      </x:c>
      <x:c r="O278" s="16" t="str">
        <x:v>Düşük</x:v>
      </x:c>
      <x:c r="P278" s="19" t="n">
        <x:v>46245</x:v>
      </x:c>
      <x:c r="Q278" s="20" t="str">
        <x:v>https://www.bucoffee.com.tr/toptan-satis/</x:v>
      </x:c>
      <x:c r="R278" s="20" t="str">
        <x:v>Ürün kimliği korundu; eksik alanlar erişilemedi olarak işaretlenecek.</x:v>
      </x:c>
    </x:row>
    <x:row r="279" ht="40" customHeight="1">
      <x:c r="A279" s="16" t="str">
        <x:v>Bu Coffee Roastery</x:v>
      </x:c>
      <x:c r="B279" s="16" t="str">
        <x:v>İstanbul / İzmir</x:v>
      </x:c>
      <x:c r="C279" s="16" t="str">
        <x:v>Doğrulandı</x:v>
      </x:c>
      <x:c r="D279" s="16" t="str">
        <x:v>Ürün kaydı</x:v>
      </x:c>
      <x:c r="E279" s="16" t="str">
        <x:v>TÜRK KAHVESİ</x:v>
      </x:c>
      <x:c r="F279" s="16" t="str">
        <x:v>Menşe belirtilmemiş</x:v>
      </x:c>
      <x:c r="G279" s="17" t="str">
        <x:v>Erişilemedi</x:v>
      </x:c>
      <x:c r="H279" s="16" t="str">
        <x:v>Erişilemedi</x:v>
      </x:c>
      <x:c r="I279" s="18" t="str">
        <x:v>Erişilemedi</x:v>
      </x:c>
      <x:c r="J279" s="18" t="str">
        <x:v>Erişilemedi</x:v>
      </x:c>
      <x:c r="K279" s="18" t="str">
        <x:f>IF(AND(ISNUMBER(G279),ISNUMBER(I279)),I279/G279*1000,"Erişilemedi")</x:f>
        <x:v>Erişilemedi</x:v>
      </x:c>
      <x:c r="L279" s="16" t="str">
        <x:v>Belirsiz</x:v>
      </x:c>
      <x:c r="M279" s="16" t="str">
        <x:v>Kahve ürünü</x:v>
      </x:c>
      <x:c r="N279" s="16" t="str">
        <x:v>Site haritası ürün sayfası</x:v>
      </x:c>
      <x:c r="O279" s="16" t="str">
        <x:v>Düşük</x:v>
      </x:c>
      <x:c r="P279" s="19" t="n">
        <x:v>46245</x:v>
      </x:c>
      <x:c r="Q279" s="20" t="str">
        <x:v>https://www.bucoffee.com.tr/kahvelerimiz/turk-kahvesi/turk-kahvesi/</x:v>
      </x:c>
      <x:c r="R279" s="20" t="str">
        <x:v>Ürün kimliği korundu; eksik alanlar erişilemedi olarak işaretlenecek.</x:v>
      </x:c>
    </x:row>
    <x:row r="280" ht="40" customHeight="1">
      <x:c r="A280" s="16" t="str">
        <x:v>Bu Coffee Roastery</x:v>
      </x:c>
      <x:c r="B280" s="16" t="str">
        <x:v>İstanbul / İzmir</x:v>
      </x:c>
      <x:c r="C280" s="16" t="str">
        <x:v>Doğrulandı</x:v>
      </x:c>
      <x:c r="D280" s="16" t="str">
        <x:v>Ürün kaydı</x:v>
      </x:c>
      <x:c r="E280" s="16" t="str">
        <x:v>Türk Kahvesi Bu Coffee Roastery</x:v>
      </x:c>
      <x:c r="F280" s="16" t="str">
        <x:v>Menşe belirtilmemiş</x:v>
      </x:c>
      <x:c r="G280" s="17" t="str">
        <x:v>Erişilemedi</x:v>
      </x:c>
      <x:c r="H280" s="16" t="str">
        <x:v>Erişilemedi</x:v>
      </x:c>
      <x:c r="I280" s="18" t="str">
        <x:v>Erişilemedi</x:v>
      </x:c>
      <x:c r="J280" s="18" t="str">
        <x:v>Erişilemedi</x:v>
      </x:c>
      <x:c r="K280" s="18" t="str">
        <x:f>IF(AND(ISNUMBER(G280),ISNUMBER(I280)),I280/G280*1000,"Erişilemedi")</x:f>
        <x:v>Erişilemedi</x:v>
      </x:c>
      <x:c r="L280" s="16" t="str">
        <x:v>Belirsiz</x:v>
      </x:c>
      <x:c r="M280" s="16" t="str">
        <x:v>Kahve ürünü</x:v>
      </x:c>
      <x:c r="N280" s="16" t="str">
        <x:v>Site haritası ürün sayfası</x:v>
      </x:c>
      <x:c r="O280" s="16" t="str">
        <x:v>Düşük</x:v>
      </x:c>
      <x:c r="P280" s="19" t="n">
        <x:v>46245</x:v>
      </x:c>
      <x:c r="Q280" s="20" t="str">
        <x:v>https://www.bucoffee.com.tr/kahvelerimiz/turk-kahvesi/</x:v>
      </x:c>
      <x:c r="R280" s="20" t="str">
        <x:v>Ürün kimliği korundu; eksik alanlar erişilemedi olarak işaretlenecek.</x:v>
      </x:c>
    </x:row>
    <x:row r="281" ht="40" customHeight="1">
      <x:c r="A281" s="16" t="str">
        <x:v>cafeMU</x:v>
      </x:c>
      <x:c r="B281" s="16" t="str">
        <x:v>İstanbul</x:v>
      </x:c>
      <x:c r="C281" s="16" t="str">
        <x:v>Doğrulandı</x:v>
      </x:c>
      <x:c r="D281" s="16" t="str">
        <x:v>Ürün kaydı</x:v>
      </x:c>
      <x:c r="E281" s="16" t="str">
        <x:v>Brezilya Santos</x:v>
      </x:c>
      <x:c r="F281" s="16" t="str">
        <x:v>Brezilya</x:v>
      </x:c>
      <x:c r="G281" s="17" t="str">
        <x:v>Erişilemedi</x:v>
      </x:c>
      <x:c r="H281" s="16" t="str">
        <x:v>Erişilemedi</x:v>
      </x:c>
      <x:c r="I281" s="18" t="n">
        <x:v>450</x:v>
      </x:c>
      <x:c r="J281" s="18" t="str">
        <x:v>Erişildi</x:v>
      </x:c>
      <x:c r="K281" s="18" t="str">
        <x:f>IF(AND(ISNUMBER(G281),ISNUMBER(I281)),I281/G281*1000,"Erişilemedi")</x:f>
        <x:v>Erişilemedi</x:v>
      </x:c>
      <x:c r="L281" s="16" t="str">
        <x:v>Stokta</x:v>
      </x:c>
      <x:c r="M281" s="16" t="str">
        <x:v>Kahve ürünü</x:v>
      </x:c>
      <x:c r="N281" s="16" t="str">
        <x:v>WooCommerce Store API</x:v>
      </x:c>
      <x:c r="O281" s="16" t="str">
        <x:v>Orta</x:v>
      </x:c>
      <x:c r="P281" s="19" t="n">
        <x:v>46245</x:v>
      </x:c>
      <x:c r="Q281" s="20" t="str">
        <x:v>https://cafemu.com.tr/urun/brezilya-santos/</x:v>
      </x:c>
      <x:c r="R281" s="20" t="str">
        <x:v>Fiyat veya gramaj eksik olsa da ürün korundu.</x:v>
      </x:c>
    </x:row>
    <x:row r="282" ht="40" customHeight="1">
      <x:c r="A282" s="16" t="str">
        <x:v>cafeMU</x:v>
      </x:c>
      <x:c r="B282" s="16" t="str">
        <x:v>İstanbul</x:v>
      </x:c>
      <x:c r="C282" s="16" t="str">
        <x:v>Doğrulandı</x:v>
      </x:c>
      <x:c r="D282" s="16" t="str">
        <x:v>Ürün kaydı</x:v>
      </x:c>
      <x:c r="E282" s="16" t="str">
        <x:v>Coffee Filters 4 Numara Brown Filtre Kahve Kağıdı</x:v>
      </x:c>
      <x:c r="F282" s="16" t="str">
        <x:v>Menşe belirtilmemiş</x:v>
      </x:c>
      <x:c r="G282" s="17" t="str">
        <x:v>Erişilemedi</x:v>
      </x:c>
      <x:c r="H282" s="16" t="str">
        <x:v>Erişilemedi</x:v>
      </x:c>
      <x:c r="I282" s="18" t="n">
        <x:v>0</x:v>
      </x:c>
      <x:c r="J282" s="18" t="str">
        <x:v>Erişilemedi</x:v>
      </x:c>
      <x:c r="K282" s="18" t="str">
        <x:f>IF(AND(ISNUMBER(G282),ISNUMBER(I282)),I282/G282*1000,"Erişilemedi")</x:f>
        <x:v>Erişilemedi</x:v>
      </x:c>
      <x:c r="L282" s="16" t="str">
        <x:v>Stokta yok</x:v>
      </x:c>
      <x:c r="M282" s="16" t="str">
        <x:v>Kahve ürünü</x:v>
      </x:c>
      <x:c r="N282" s="16" t="str">
        <x:v>WooCommerce Store API</x:v>
      </x:c>
      <x:c r="O282" s="16" t="str">
        <x:v>Orta</x:v>
      </x:c>
      <x:c r="P282" s="19" t="n">
        <x:v>46245</x:v>
      </x:c>
      <x:c r="Q282" s="20" t="str">
        <x:v>https://cafemu.com.tr/urun/coffee-filters-4-numara-brown-filtre-kahve-kagidi/</x:v>
      </x:c>
      <x:c r="R282" s="20" t="str">
        <x:v>Fiyat veya gramaj eksik olsa da ürün korundu.</x:v>
      </x:c>
    </x:row>
    <x:row r="283" ht="40" customHeight="1">
      <x:c r="A283" s="16" t="str">
        <x:v>cafeMU</x:v>
      </x:c>
      <x:c r="B283" s="16" t="str">
        <x:v>İstanbul</x:v>
      </x:c>
      <x:c r="C283" s="16" t="str">
        <x:v>Doğrulandı</x:v>
      </x:c>
      <x:c r="D283" s="16" t="str">
        <x:v>Ürün kaydı</x:v>
      </x:c>
      <x:c r="E283" s="16" t="str">
        <x:v>Etiyopya Lekempti</x:v>
      </x:c>
      <x:c r="F283" s="16" t="str">
        <x:v>Etiyopya</x:v>
      </x:c>
      <x:c r="G283" s="17" t="str">
        <x:v>Erişilemedi</x:v>
      </x:c>
      <x:c r="H283" s="16" t="str">
        <x:v>Erişilemedi</x:v>
      </x:c>
      <x:c r="I283" s="18" t="n">
        <x:v>450</x:v>
      </x:c>
      <x:c r="J283" s="18" t="str">
        <x:v>Erişildi</x:v>
      </x:c>
      <x:c r="K283" s="18" t="str">
        <x:f>IF(AND(ISNUMBER(G283),ISNUMBER(I283)),I283/G283*1000,"Erişilemedi")</x:f>
        <x:v>Erişilemedi</x:v>
      </x:c>
      <x:c r="L283" s="16" t="str">
        <x:v>Stokta</x:v>
      </x:c>
      <x:c r="M283" s="16" t="str">
        <x:v>Kahve ürünü</x:v>
      </x:c>
      <x:c r="N283" s="16" t="str">
        <x:v>WooCommerce Store API</x:v>
      </x:c>
      <x:c r="O283" s="16" t="str">
        <x:v>Orta</x:v>
      </x:c>
      <x:c r="P283" s="19" t="n">
        <x:v>46245</x:v>
      </x:c>
      <x:c r="Q283" s="20" t="str">
        <x:v>https://cafemu.com.tr/urun/etiyopya-lekempti/</x:v>
      </x:c>
      <x:c r="R283" s="20" t="str">
        <x:v>Fiyat veya gramaj eksik olsa da ürün korundu.</x:v>
      </x:c>
    </x:row>
    <x:row r="284" ht="40" customHeight="1">
      <x:c r="A284" s="16" t="str">
        <x:v>cafeMU</x:v>
      </x:c>
      <x:c r="B284" s="16" t="str">
        <x:v>İstanbul</x:v>
      </x:c>
      <x:c r="C284" s="16" t="str">
        <x:v>Doğrulandı</x:v>
      </x:c>
      <x:c r="D284" s="16" t="str">
        <x:v>Ürün kaydı</x:v>
      </x:c>
      <x:c r="E284" s="16" t="str">
        <x:v>Etiyopya Yirgacheffe</x:v>
      </x:c>
      <x:c r="F284" s="16" t="str">
        <x:v>Etiyopya</x:v>
      </x:c>
      <x:c r="G284" s="17" t="str">
        <x:v>Erişilemedi</x:v>
      </x:c>
      <x:c r="H284" s="16" t="str">
        <x:v>Erişilemedi</x:v>
      </x:c>
      <x:c r="I284" s="18" t="n">
        <x:v>0</x:v>
      </x:c>
      <x:c r="J284" s="18" t="str">
        <x:v>Erişilemedi</x:v>
      </x:c>
      <x:c r="K284" s="18" t="str">
        <x:f>IF(AND(ISNUMBER(G284),ISNUMBER(I284)),I284/G284*1000,"Erişilemedi")</x:f>
        <x:v>Erişilemedi</x:v>
      </x:c>
      <x:c r="L284" s="16" t="str">
        <x:v>Stokta yok</x:v>
      </x:c>
      <x:c r="M284" s="16" t="str">
        <x:v>Kahve ürünü</x:v>
      </x:c>
      <x:c r="N284" s="16" t="str">
        <x:v>WooCommerce Store API</x:v>
      </x:c>
      <x:c r="O284" s="16" t="str">
        <x:v>Orta</x:v>
      </x:c>
      <x:c r="P284" s="19" t="n">
        <x:v>46245</x:v>
      </x:c>
      <x:c r="Q284" s="20" t="str">
        <x:v>https://cafemu.com.tr/urun/etiyopya-yirgacheffe/</x:v>
      </x:c>
      <x:c r="R284" s="20" t="str">
        <x:v>Fiyat veya gramaj eksik olsa da ürün korundu.</x:v>
      </x:c>
    </x:row>
    <x:row r="285" ht="40" customHeight="1">
      <x:c r="A285" s="16" t="str">
        <x:v>cafeMU</x:v>
      </x:c>
      <x:c r="B285" s="16" t="str">
        <x:v>İstanbul</x:v>
      </x:c>
      <x:c r="C285" s="16" t="str">
        <x:v>Doğrulandı</x:v>
      </x:c>
      <x:c r="D285" s="16" t="str">
        <x:v>Ürün kaydı</x:v>
      </x:c>
      <x:c r="E285" s="16" t="str">
        <x:v>Guatemala Huehuetenango</x:v>
      </x:c>
      <x:c r="F285" s="16" t="str">
        <x:v>Guatemala</x:v>
      </x:c>
      <x:c r="G285" s="17" t="str">
        <x:v>Erişilemedi</x:v>
      </x:c>
      <x:c r="H285" s="16" t="str">
        <x:v>Erişilemedi</x:v>
      </x:c>
      <x:c r="I285" s="18" t="n">
        <x:v>450</x:v>
      </x:c>
      <x:c r="J285" s="18" t="str">
        <x:v>Erişildi</x:v>
      </x:c>
      <x:c r="K285" s="18" t="str">
        <x:f>IF(AND(ISNUMBER(G285),ISNUMBER(I285)),I285/G285*1000,"Erişilemedi")</x:f>
        <x:v>Erişilemedi</x:v>
      </x:c>
      <x:c r="L285" s="16" t="str">
        <x:v>Stokta</x:v>
      </x:c>
      <x:c r="M285" s="16" t="str">
        <x:v>Kahve ürünü</x:v>
      </x:c>
      <x:c r="N285" s="16" t="str">
        <x:v>WooCommerce Store API</x:v>
      </x:c>
      <x:c r="O285" s="16" t="str">
        <x:v>Orta</x:v>
      </x:c>
      <x:c r="P285" s="19" t="n">
        <x:v>46245</x:v>
      </x:c>
      <x:c r="Q285" s="20" t="str">
        <x:v>https://cafemu.com.tr/urun/guatemala/</x:v>
      </x:c>
      <x:c r="R285" s="20" t="str">
        <x:v>Fiyat veya gramaj eksik olsa da ürün korundu.</x:v>
      </x:c>
    </x:row>
    <x:row r="286" ht="40" customHeight="1">
      <x:c r="A286" s="16" t="str">
        <x:v>cafeMU</x:v>
      </x:c>
      <x:c r="B286" s="16" t="str">
        <x:v>İstanbul</x:v>
      </x:c>
      <x:c r="C286" s="16" t="str">
        <x:v>Doğrulandı</x:v>
      </x:c>
      <x:c r="D286" s="16" t="str">
        <x:v>Ürün kaydı</x:v>
      </x:c>
      <x:c r="E286" s="16" t="str">
        <x:v>Honduras</x:v>
      </x:c>
      <x:c r="F286" s="16" t="str">
        <x:v>Honduras</x:v>
      </x:c>
      <x:c r="G286" s="17" t="str">
        <x:v>Erişilemedi</x:v>
      </x:c>
      <x:c r="H286" s="16" t="str">
        <x:v>Erişilemedi</x:v>
      </x:c>
      <x:c r="I286" s="18" t="n">
        <x:v>450</x:v>
      </x:c>
      <x:c r="J286" s="18" t="str">
        <x:v>Erişildi</x:v>
      </x:c>
      <x:c r="K286" s="18" t="str">
        <x:f>IF(AND(ISNUMBER(G286),ISNUMBER(I286)),I286/G286*1000,"Erişilemedi")</x:f>
        <x:v>Erişilemedi</x:v>
      </x:c>
      <x:c r="L286" s="16" t="str">
        <x:v>Stokta</x:v>
      </x:c>
      <x:c r="M286" s="16" t="str">
        <x:v>Kahve ürünü</x:v>
      </x:c>
      <x:c r="N286" s="16" t="str">
        <x:v>WooCommerce Store API</x:v>
      </x:c>
      <x:c r="O286" s="16" t="str">
        <x:v>Orta</x:v>
      </x:c>
      <x:c r="P286" s="19" t="n">
        <x:v>46245</x:v>
      </x:c>
      <x:c r="Q286" s="20" t="str">
        <x:v>https://cafemu.com.tr/urun/honduras/</x:v>
      </x:c>
      <x:c r="R286" s="20" t="str">
        <x:v>Fiyat veya gramaj eksik olsa da ürün korundu.</x:v>
      </x:c>
    </x:row>
    <x:row r="287" ht="40" customHeight="1">
      <x:c r="A287" s="16" t="str">
        <x:v>cafeMU</x:v>
      </x:c>
      <x:c r="B287" s="16" t="str">
        <x:v>İstanbul</x:v>
      </x:c>
      <x:c r="C287" s="16" t="str">
        <x:v>Doğrulandı</x:v>
      </x:c>
      <x:c r="D287" s="16" t="str">
        <x:v>Ürün kaydı</x:v>
      </x:c>
      <x:c r="E287" s="16" t="str">
        <x:v>Kenya Natural</x:v>
      </x:c>
      <x:c r="F287" s="16" t="str">
        <x:v>Kenya</x:v>
      </x:c>
      <x:c r="G287" s="17" t="str">
        <x:v>Erişilemedi</x:v>
      </x:c>
      <x:c r="H287" s="16" t="str">
        <x:v>Erişilemedi</x:v>
      </x:c>
      <x:c r="I287" s="18" t="n">
        <x:v>450</x:v>
      </x:c>
      <x:c r="J287" s="18" t="str">
        <x:v>Erişildi</x:v>
      </x:c>
      <x:c r="K287" s="18" t="str">
        <x:f>IF(AND(ISNUMBER(G287),ISNUMBER(I287)),I287/G287*1000,"Erişilemedi")</x:f>
        <x:v>Erişilemedi</x:v>
      </x:c>
      <x:c r="L287" s="16" t="str">
        <x:v>Stokta</x:v>
      </x:c>
      <x:c r="M287" s="16" t="str">
        <x:v>Kahve ürünü</x:v>
      </x:c>
      <x:c r="N287" s="16" t="str">
        <x:v>WooCommerce Store API</x:v>
      </x:c>
      <x:c r="O287" s="16" t="str">
        <x:v>Orta</x:v>
      </x:c>
      <x:c r="P287" s="19" t="n">
        <x:v>46245</x:v>
      </x:c>
      <x:c r="Q287" s="20" t="str">
        <x:v>https://cafemu.com.tr/urun/kenya/</x:v>
      </x:c>
      <x:c r="R287" s="20" t="str">
        <x:v>Fiyat veya gramaj eksik olsa da ürün korundu.</x:v>
      </x:c>
    </x:row>
    <x:row r="288" ht="40" customHeight="1">
      <x:c r="A288" s="16" t="str">
        <x:v>cafeMU</x:v>
      </x:c>
      <x:c r="B288" s="16" t="str">
        <x:v>İstanbul</x:v>
      </x:c>
      <x:c r="C288" s="16" t="str">
        <x:v>Doğrulandı</x:v>
      </x:c>
      <x:c r="D288" s="16" t="str">
        <x:v>Ürün kaydı</x:v>
      </x:c>
      <x:c r="E288" s="16" t="str">
        <x:v>Kolombiya Supremo</x:v>
      </x:c>
      <x:c r="F288" s="16" t="str">
        <x:v>Kolombiya</x:v>
      </x:c>
      <x:c r="G288" s="17" t="str">
        <x:v>Erişilemedi</x:v>
      </x:c>
      <x:c r="H288" s="16" t="str">
        <x:v>Erişilemedi</x:v>
      </x:c>
      <x:c r="I288" s="18" t="n">
        <x:v>450</x:v>
      </x:c>
      <x:c r="J288" s="18" t="str">
        <x:v>Erişildi</x:v>
      </x:c>
      <x:c r="K288" s="18" t="str">
        <x:f>IF(AND(ISNUMBER(G288),ISNUMBER(I288)),I288/G288*1000,"Erişilemedi")</x:f>
        <x:v>Erişilemedi</x:v>
      </x:c>
      <x:c r="L288" s="16" t="str">
        <x:v>Stokta</x:v>
      </x:c>
      <x:c r="M288" s="16" t="str">
        <x:v>Kahve ürünü</x:v>
      </x:c>
      <x:c r="N288" s="16" t="str">
        <x:v>WooCommerce Store API</x:v>
      </x:c>
      <x:c r="O288" s="16" t="str">
        <x:v>Orta</x:v>
      </x:c>
      <x:c r="P288" s="19" t="n">
        <x:v>46245</x:v>
      </x:c>
      <x:c r="Q288" s="20" t="str">
        <x:v>https://cafemu.com.tr/urun/kolombiya/</x:v>
      </x:c>
      <x:c r="R288" s="20" t="str">
        <x:v>Fiyat veya gramaj eksik olsa da ürün korundu.</x:v>
      </x:c>
    </x:row>
    <x:row r="289" ht="40" customHeight="1">
      <x:c r="A289" s="16" t="str">
        <x:v>cafeMU</x:v>
      </x:c>
      <x:c r="B289" s="16" t="str">
        <x:v>İstanbul</x:v>
      </x:c>
      <x:c r="C289" s="16" t="str">
        <x:v>Doğrulandı</x:v>
      </x:c>
      <x:c r="D289" s="16" t="str">
        <x:v>Ürün kaydı</x:v>
      </x:c>
      <x:c r="E289" s="16" t="str">
        <x:v>Sumatra</x:v>
      </x:c>
      <x:c r="F289" s="16" t="str">
        <x:v>Endonezya</x:v>
      </x:c>
      <x:c r="G289" s="17" t="str">
        <x:v>Erişilemedi</x:v>
      </x:c>
      <x:c r="H289" s="16" t="str">
        <x:v>Erişilemedi</x:v>
      </x:c>
      <x:c r="I289" s="18" t="n">
        <x:v>0</x:v>
      </x:c>
      <x:c r="J289" s="18" t="str">
        <x:v>Erişilemedi</x:v>
      </x:c>
      <x:c r="K289" s="18" t="str">
        <x:f>IF(AND(ISNUMBER(G289),ISNUMBER(I289)),I289/G289*1000,"Erişilemedi")</x:f>
        <x:v>Erişilemedi</x:v>
      </x:c>
      <x:c r="L289" s="16" t="str">
        <x:v>Stokta yok</x:v>
      </x:c>
      <x:c r="M289" s="16" t="str">
        <x:v>Kahve ürünü</x:v>
      </x:c>
      <x:c r="N289" s="16" t="str">
        <x:v>WooCommerce Store API</x:v>
      </x:c>
      <x:c r="O289" s="16" t="str">
        <x:v>Orta</x:v>
      </x:c>
      <x:c r="P289" s="19" t="n">
        <x:v>46245</x:v>
      </x:c>
      <x:c r="Q289" s="20" t="str">
        <x:v>https://cafemu.com.tr/urun/sumatra/</x:v>
      </x:c>
      <x:c r="R289" s="20" t="str">
        <x:v>Fiyat veya gramaj eksik olsa da ürün korundu.</x:v>
      </x:c>
    </x:row>
    <x:row r="290" ht="40" customHeight="1">
      <x:c r="A290" s="16" t="str">
        <x:v>cafeMU</x:v>
      </x:c>
      <x:c r="B290" s="16" t="str">
        <x:v>İstanbul</x:v>
      </x:c>
      <x:c r="C290" s="16" t="str">
        <x:v>Doğrulandı</x:v>
      </x:c>
      <x:c r="D290" s="16" t="str">
        <x:v>Ürün kaydı</x:v>
      </x:c>
      <x:c r="E290" s="16" t="str">
        <x:v>Türk Kahvesi</x:v>
      </x:c>
      <x:c r="F290" s="16" t="str">
        <x:v>Brezilya</x:v>
      </x:c>
      <x:c r="G290" s="17" t="str">
        <x:v>Erişilemedi</x:v>
      </x:c>
      <x:c r="H290" s="16" t="str">
        <x:v>Erişilemedi</x:v>
      </x:c>
      <x:c r="I290" s="18" t="n">
        <x:v>300</x:v>
      </x:c>
      <x:c r="J290" s="18" t="str">
        <x:v>Erişildi</x:v>
      </x:c>
      <x:c r="K290" s="18" t="str">
        <x:f>IF(AND(ISNUMBER(G290),ISNUMBER(I290)),I290/G290*1000,"Erişilemedi")</x:f>
        <x:v>Erişilemedi</x:v>
      </x:c>
      <x:c r="L290" s="16" t="str">
        <x:v>Stokta</x:v>
      </x:c>
      <x:c r="M290" s="16" t="str">
        <x:v>Türk kahvesi</x:v>
      </x:c>
      <x:c r="N290" s="16" t="str">
        <x:v>WooCommerce Store API</x:v>
      </x:c>
      <x:c r="O290" s="16" t="str">
        <x:v>Orta</x:v>
      </x:c>
      <x:c r="P290" s="19" t="n">
        <x:v>46245</x:v>
      </x:c>
      <x:c r="Q290" s="20" t="str">
        <x:v>https://cafemu.com.tr/urun/turk-kahvesi/</x:v>
      </x:c>
      <x:c r="R290" s="20" t="str">
        <x:v>Fiyat veya gramaj eksik olsa da ürün korundu.</x:v>
      </x:c>
    </x:row>
    <x:row r="291" ht="40" customHeight="1">
      <x:c r="A291" s="16" t="str">
        <x:v>Calibre Coffee</x:v>
      </x:c>
      <x:c r="B291" s="16" t="str">
        <x:v>İstanbul</x:v>
      </x:c>
      <x:c r="C291" s="16" t="str">
        <x:v>Kısmi doğrulama</x:v>
      </x:c>
      <x:c r="D291" s="16" t="str">
        <x:v>Katalog takip kaydı</x:v>
      </x:c>
      <x:c r="E291" s="16" t="str">
        <x:v>Ürün kataloğu — ayrıntılı ürün verisine erişilemedi</x:v>
      </x:c>
      <x:c r="F291" s="16" t="str">
        <x:v>Erişilemedi</x:v>
      </x:c>
      <x:c r="G291" s="17" t="str">
        <x:v>Erişilemedi</x:v>
      </x:c>
      <x:c r="H291" s="16" t="str">
        <x:v>Erişilemedi</x:v>
      </x:c>
      <x:c r="I291" s="18" t="str">
        <x:v>Erişilemedi</x:v>
      </x:c>
      <x:c r="J291" s="18" t="str">
        <x:v>Erişilemedi</x:v>
      </x:c>
      <x:c r="K291" s="18" t="str">
        <x:f>IF(AND(ISNUMBER(G291),ISNUMBER(I291)),I291/G291*1000,"Erişilemedi")</x:f>
        <x:v>Erişilemedi</x:v>
      </x:c>
      <x:c r="L291" s="16" t="str">
        <x:v>Erişilemedi</x:v>
      </x:c>
      <x:c r="M291" s="16" t="str">
        <x:v>Katalog/takip kaydı</x:v>
      </x:c>
      <x:c r="N291" s="16" t="str">
        <x:v>Instagram veya mevcut kaynak</x:v>
      </x:c>
      <x:c r="O291" s="16" t="str">
        <x:v>Takip gerekli</x:v>
      </x:c>
      <x:c r="P291" s="19" t="n">
        <x:v>46245</x:v>
      </x:c>
      <x:c r="Q291" s="20" t="str">
        <x:v>Erişilemedi</x:v>
      </x:c>
      <x:c r="R291" s="20" t="str">
        <x:v>Ürün adı, gramaj ve fiyat birlikte çıkarılamadı. Bağlantı manuel inceleme için korundu.</x:v>
      </x:c>
    </x:row>
    <x:row r="292" ht="40" customHeight="1">
      <x:c r="A292" s="16" t="str">
        <x:v>Celsius Coffee</x:v>
      </x:c>
      <x:c r="B292" s="16" t="str">
        <x:v>Ankara</x:v>
      </x:c>
      <x:c r="C292" s="16" t="str">
        <x:v>Kısmi doğrulama</x:v>
      </x:c>
      <x:c r="D292" s="16" t="str">
        <x:v>Katalog takip kaydı</x:v>
      </x:c>
      <x:c r="E292" s="16" t="str">
        <x:v>Ürün kataloğu — ayrıntılı ürün verisine erişilemedi</x:v>
      </x:c>
      <x:c r="F292" s="16" t="str">
        <x:v>Erişilemedi</x:v>
      </x:c>
      <x:c r="G292" s="17" t="str">
        <x:v>Erişilemedi</x:v>
      </x:c>
      <x:c r="H292" s="16" t="str">
        <x:v>Erişilemedi</x:v>
      </x:c>
      <x:c r="I292" s="18" t="str">
        <x:v>Erişilemedi</x:v>
      </x:c>
      <x:c r="J292" s="18" t="str">
        <x:v>Erişilemedi</x:v>
      </x:c>
      <x:c r="K292" s="18" t="str">
        <x:f>IF(AND(ISNUMBER(G292),ISNUMBER(I292)),I292/G292*1000,"Erişilemedi")</x:f>
        <x:v>Erişilemedi</x:v>
      </x:c>
      <x:c r="L292" s="16" t="str">
        <x:v>Erişilemedi</x:v>
      </x:c>
      <x:c r="M292" s="16" t="str">
        <x:v>Katalog/takip kaydı</x:v>
      </x:c>
      <x:c r="N292" s="16" t="str">
        <x:v>Instagram veya mevcut kaynak</x:v>
      </x:c>
      <x:c r="O292" s="16" t="str">
        <x:v>Takip gerekli</x:v>
      </x:c>
      <x:c r="P292" s="19" t="n">
        <x:v>46245</x:v>
      </x:c>
      <x:c r="Q292" s="20" t="str">
        <x:v>Erişilemedi</x:v>
      </x:c>
      <x:c r="R292" s="20" t="str">
        <x:v>Ürün adı, gramaj ve fiyat birlikte çıkarılamadı. Bağlantı manuel inceleme için korundu.</x:v>
      </x:c>
    </x:row>
    <x:row r="293" ht="40" customHeight="1">
      <x:c r="A293" s="16" t="str">
        <x:v>Cho Coffee Roastery</x:v>
      </x:c>
      <x:c r="B293" s="16" t="str">
        <x:v>İstanbul</x:v>
      </x:c>
      <x:c r="C293" s="16" t="str">
        <x:v>Kısmi doğrulama</x:v>
      </x:c>
      <x:c r="D293" s="16" t="str">
        <x:v>Ürün kaydı</x:v>
      </x:c>
      <x:c r="E293" s="16" t="str">
        <x:v>&amp;#x27;brezilya&amp;#x27; ile etiketlenen &amp;#xFC;r&amp;#xFC;nler</x:v>
      </x:c>
      <x:c r="F293" s="16" t="str">
        <x:v>Brezilya</x:v>
      </x:c>
      <x:c r="G293" s="17" t="str">
        <x:v>Erişilemedi</x:v>
      </x:c>
      <x:c r="H293" s="16" t="str">
        <x:v>Erişilemedi</x:v>
      </x:c>
      <x:c r="I293" s="18" t="str">
        <x:v>Erişilemedi</x:v>
      </x:c>
      <x:c r="J293" s="18" t="str">
        <x:v>Erişilemedi</x:v>
      </x:c>
      <x:c r="K293" s="18" t="str">
        <x:f>IF(AND(ISNUMBER(G293),ISNUMBER(I293)),I293/G293*1000,"Erişilemedi")</x:f>
        <x:v>Erişilemedi</x:v>
      </x:c>
      <x:c r="L293" s="16" t="str">
        <x:v>Belirsiz</x:v>
      </x:c>
      <x:c r="M293" s="16" t="str">
        <x:v>Kahve ürünü</x:v>
      </x:c>
      <x:c r="N293" s="16" t="str">
        <x:v>Site haritası ürün sayfası</x:v>
      </x:c>
      <x:c r="O293" s="16" t="str">
        <x:v>Düşük</x:v>
      </x:c>
      <x:c r="P293" s="19" t="n">
        <x:v>46245</x:v>
      </x:c>
      <x:c r="Q293" s="20" t="str">
        <x:v>https://chocoffeeroastery.com/tr/brezilya</x:v>
      </x:c>
      <x:c r="R293" s="20" t="str">
        <x:v>Ürün kimliği korundu; eksik alanlar erişilemedi olarak işaretlenecek.</x:v>
      </x:c>
    </x:row>
    <x:row r="294" ht="40" customHeight="1">
      <x:c r="A294" s="16" t="str">
        <x:v>Cho Coffee Roastery</x:v>
      </x:c>
      <x:c r="B294" s="16" t="str">
        <x:v>İstanbul</x:v>
      </x:c>
      <x:c r="C294" s="16" t="str">
        <x:v>Kısmi doğrulama</x:v>
      </x:c>
      <x:c r="D294" s="16" t="str">
        <x:v>Ürün kaydı</x:v>
      </x:c>
      <x:c r="E294" s="16" t="str">
        <x:v>&amp;#x27;colombia&amp;#x27; ile etiketlenen &amp;#xFC;r&amp;#xFC;nler</x:v>
      </x:c>
      <x:c r="F294" s="16" t="str">
        <x:v>Kolombiya</x:v>
      </x:c>
      <x:c r="G294" s="17" t="str">
        <x:v>Erişilemedi</x:v>
      </x:c>
      <x:c r="H294" s="16" t="str">
        <x:v>Erişilemedi</x:v>
      </x:c>
      <x:c r="I294" s="18" t="str">
        <x:v>Erişilemedi</x:v>
      </x:c>
      <x:c r="J294" s="18" t="str">
        <x:v>Erişilemedi</x:v>
      </x:c>
      <x:c r="K294" s="18" t="str">
        <x:f>IF(AND(ISNUMBER(G294),ISNUMBER(I294)),I294/G294*1000,"Erişilemedi")</x:f>
        <x:v>Erişilemedi</x:v>
      </x:c>
      <x:c r="L294" s="16" t="str">
        <x:v>Belirsiz</x:v>
      </x:c>
      <x:c r="M294" s="16" t="str">
        <x:v>Kahve ürünü</x:v>
      </x:c>
      <x:c r="N294" s="16" t="str">
        <x:v>Site haritası ürün sayfası</x:v>
      </x:c>
      <x:c r="O294" s="16" t="str">
        <x:v>Düşük</x:v>
      </x:c>
      <x:c r="P294" s="19" t="n">
        <x:v>46245</x:v>
      </x:c>
      <x:c r="Q294" s="20" t="str">
        <x:v>https://chocoffeeroastery.com/tr/colombia</x:v>
      </x:c>
      <x:c r="R294" s="20" t="str">
        <x:v>Ürün kimliği korundu; eksik alanlar erişilemedi olarak işaretlenecek.</x:v>
      </x:c>
    </x:row>
    <x:row r="295" ht="40" customHeight="1">
      <x:c r="A295" s="16" t="str">
        <x:v>Cho Coffee Roastery</x:v>
      </x:c>
      <x:c r="B295" s="16" t="str">
        <x:v>İstanbul</x:v>
      </x:c>
      <x:c r="C295" s="16" t="str">
        <x:v>Kısmi doğrulama</x:v>
      </x:c>
      <x:c r="D295" s="16" t="str">
        <x:v>Ürün kaydı</x:v>
      </x:c>
      <x:c r="E295" s="16" t="str">
        <x:v>&amp;#x27;costarica&amp;#x27; ile etiketlenen &amp;#xFC;r&amp;#xFC;nler</x:v>
      </x:c>
      <x:c r="F295" s="16" t="str">
        <x:v>Menşe belirtilmemiş</x:v>
      </x:c>
      <x:c r="G295" s="17" t="str">
        <x:v>Erişilemedi</x:v>
      </x:c>
      <x:c r="H295" s="16" t="str">
        <x:v>Erişilemedi</x:v>
      </x:c>
      <x:c r="I295" s="18" t="str">
        <x:v>Erişilemedi</x:v>
      </x:c>
      <x:c r="J295" s="18" t="str">
        <x:v>Erişilemedi</x:v>
      </x:c>
      <x:c r="K295" s="18" t="str">
        <x:f>IF(AND(ISNUMBER(G295),ISNUMBER(I295)),I295/G295*1000,"Erişilemedi")</x:f>
        <x:v>Erişilemedi</x:v>
      </x:c>
      <x:c r="L295" s="16" t="str">
        <x:v>Belirsiz</x:v>
      </x:c>
      <x:c r="M295" s="16" t="str">
        <x:v>Kahve ürünü</x:v>
      </x:c>
      <x:c r="N295" s="16" t="str">
        <x:v>Site haritası ürün sayfası</x:v>
      </x:c>
      <x:c r="O295" s="16" t="str">
        <x:v>Düşük</x:v>
      </x:c>
      <x:c r="P295" s="19" t="n">
        <x:v>46245</x:v>
      </x:c>
      <x:c r="Q295" s="20" t="str">
        <x:v>https://chocoffeeroastery.com/tr/costarica</x:v>
      </x:c>
      <x:c r="R295" s="20" t="str">
        <x:v>Ürün kimliği korundu; eksik alanlar erişilemedi olarak işaretlenecek.</x:v>
      </x:c>
    </x:row>
    <x:row r="296" ht="40" customHeight="1">
      <x:c r="A296" s="16" t="str">
        <x:v>Cho Coffee Roastery</x:v>
      </x:c>
      <x:c r="B296" s="16" t="str">
        <x:v>İstanbul</x:v>
      </x:c>
      <x:c r="C296" s="16" t="str">
        <x:v>Kısmi doğrulama</x:v>
      </x:c>
      <x:c r="D296" s="16" t="str">
        <x:v>Ürün kaydı</x:v>
      </x:c>
      <x:c r="E296" s="16" t="str">
        <x:v>&amp;#x27;endonezya&amp;#x27; ile etiketlenen &amp;#xFC;r&amp;#xFC;nler</x:v>
      </x:c>
      <x:c r="F296" s="16" t="str">
        <x:v>Endonezya</x:v>
      </x:c>
      <x:c r="G296" s="17" t="str">
        <x:v>Erişilemedi</x:v>
      </x:c>
      <x:c r="H296" s="16" t="str">
        <x:v>Erişilemedi</x:v>
      </x:c>
      <x:c r="I296" s="18" t="str">
        <x:v>Erişilemedi</x:v>
      </x:c>
      <x:c r="J296" s="18" t="str">
        <x:v>Erişilemedi</x:v>
      </x:c>
      <x:c r="K296" s="18" t="str">
        <x:f>IF(AND(ISNUMBER(G296),ISNUMBER(I296)),I296/G296*1000,"Erişilemedi")</x:f>
        <x:v>Erişilemedi</x:v>
      </x:c>
      <x:c r="L296" s="16" t="str">
        <x:v>Belirsiz</x:v>
      </x:c>
      <x:c r="M296" s="16" t="str">
        <x:v>Kahve ürünü</x:v>
      </x:c>
      <x:c r="N296" s="16" t="str">
        <x:v>Site haritası ürün sayfası</x:v>
      </x:c>
      <x:c r="O296" s="16" t="str">
        <x:v>Düşük</x:v>
      </x:c>
      <x:c r="P296" s="19" t="n">
        <x:v>46245</x:v>
      </x:c>
      <x:c r="Q296" s="20" t="str">
        <x:v>https://chocoffeeroastery.com/tr/endonezya</x:v>
      </x:c>
      <x:c r="R296" s="20" t="str">
        <x:v>Ürün kimliği korundu; eksik alanlar erişilemedi olarak işaretlenecek.</x:v>
      </x:c>
    </x:row>
    <x:row r="297" ht="40" customHeight="1">
      <x:c r="A297" s="16" t="str">
        <x:v>Cho Coffee Roastery</x:v>
      </x:c>
      <x:c r="B297" s="16" t="str">
        <x:v>İstanbul</x:v>
      </x:c>
      <x:c r="C297" s="16" t="str">
        <x:v>Kısmi doğrulama</x:v>
      </x:c>
      <x:c r="D297" s="16" t="str">
        <x:v>Ürün kaydı</x:v>
      </x:c>
      <x:c r="E297" s="16" t="str">
        <x:v>&amp;#x27;espresso&amp;#x27; ile etiketlenen &amp;#xFC;r&amp;#xFC;nler</x:v>
      </x:c>
      <x:c r="F297" s="16" t="str">
        <x:v>Menşe belirtilmemiş</x:v>
      </x:c>
      <x:c r="G297" s="17" t="str">
        <x:v>Erişilemedi</x:v>
      </x:c>
      <x:c r="H297" s="16" t="str">
        <x:v>Erişilemedi</x:v>
      </x:c>
      <x:c r="I297" s="18" t="str">
        <x:v>Erişilemedi</x:v>
      </x:c>
      <x:c r="J297" s="18" t="str">
        <x:v>Erişilemedi</x:v>
      </x:c>
      <x:c r="K297" s="18" t="str">
        <x:f>IF(AND(ISNUMBER(G297),ISNUMBER(I297)),I297/G297*1000,"Erişilemedi")</x:f>
        <x:v>Erişilemedi</x:v>
      </x:c>
      <x:c r="L297" s="16" t="str">
        <x:v>Belirsiz</x:v>
      </x:c>
      <x:c r="M297" s="16" t="str">
        <x:v>Kahve ürünü</x:v>
      </x:c>
      <x:c r="N297" s="16" t="str">
        <x:v>Site haritası ürün sayfası</x:v>
      </x:c>
      <x:c r="O297" s="16" t="str">
        <x:v>Düşük</x:v>
      </x:c>
      <x:c r="P297" s="19" t="n">
        <x:v>46245</x:v>
      </x:c>
      <x:c r="Q297" s="20" t="str">
        <x:v>https://chocoffeeroastery.com/tr/espresso</x:v>
      </x:c>
      <x:c r="R297" s="20" t="str">
        <x:v>Ürün kimliği korundu; eksik alanlar erişilemedi olarak işaretlenecek.</x:v>
      </x:c>
    </x:row>
    <x:row r="298" ht="40" customHeight="1">
      <x:c r="A298" s="16" t="str">
        <x:v>Cho Coffee Roastery</x:v>
      </x:c>
      <x:c r="B298" s="16" t="str">
        <x:v>İstanbul</x:v>
      </x:c>
      <x:c r="C298" s="16" t="str">
        <x:v>Kısmi doğrulama</x:v>
      </x:c>
      <x:c r="D298" s="16" t="str">
        <x:v>Ürün kaydı</x:v>
      </x:c>
      <x:c r="E298" s="16" t="str">
        <x:v>&amp;#x27;ethiopia&amp;#x27; ile etiketlenen &amp;#xFC;r&amp;#xFC;nler</x:v>
      </x:c>
      <x:c r="F298" s="16" t="str">
        <x:v>Etiyopya</x:v>
      </x:c>
      <x:c r="G298" s="17" t="str">
        <x:v>Erişilemedi</x:v>
      </x:c>
      <x:c r="H298" s="16" t="str">
        <x:v>Erişilemedi</x:v>
      </x:c>
      <x:c r="I298" s="18" t="str">
        <x:v>Erişilemedi</x:v>
      </x:c>
      <x:c r="J298" s="18" t="str">
        <x:v>Erişilemedi</x:v>
      </x:c>
      <x:c r="K298" s="18" t="str">
        <x:f>IF(AND(ISNUMBER(G298),ISNUMBER(I298)),I298/G298*1000,"Erişilemedi")</x:f>
        <x:v>Erişilemedi</x:v>
      </x:c>
      <x:c r="L298" s="16" t="str">
        <x:v>Belirsiz</x:v>
      </x:c>
      <x:c r="M298" s="16" t="str">
        <x:v>Kahve ürünü</x:v>
      </x:c>
      <x:c r="N298" s="16" t="str">
        <x:v>Site haritası ürün sayfası</x:v>
      </x:c>
      <x:c r="O298" s="16" t="str">
        <x:v>Düşük</x:v>
      </x:c>
      <x:c r="P298" s="19" t="n">
        <x:v>46245</x:v>
      </x:c>
      <x:c r="Q298" s="20" t="str">
        <x:v>https://chocoffeeroastery.com/tr/ethiopia</x:v>
      </x:c>
      <x:c r="R298" s="20" t="str">
        <x:v>Ürün kimliği korundu; eksik alanlar erişilemedi olarak işaretlenecek.</x:v>
      </x:c>
    </x:row>
    <x:row r="299" ht="40" customHeight="1">
      <x:c r="A299" s="16" t="str">
        <x:v>Cho Coffee Roastery</x:v>
      </x:c>
      <x:c r="B299" s="16" t="str">
        <x:v>İstanbul</x:v>
      </x:c>
      <x:c r="C299" s="16" t="str">
        <x:v>Kısmi doğrulama</x:v>
      </x:c>
      <x:c r="D299" s="16" t="str">
        <x:v>Ürün kaydı</x:v>
      </x:c>
      <x:c r="E299" s="16" t="str">
        <x:v>&amp;#x27;filtrecoffee&amp;#x27; ile etiketlenen &amp;#xFC;r&amp;#xFC;nler</x:v>
      </x:c>
      <x:c r="F299" s="16" t="str">
        <x:v>Menşe belirtilmemiş</x:v>
      </x:c>
      <x:c r="G299" s="17" t="str">
        <x:v>Erişilemedi</x:v>
      </x:c>
      <x:c r="H299" s="16" t="str">
        <x:v>Erişilemedi</x:v>
      </x:c>
      <x:c r="I299" s="18" t="str">
        <x:v>Erişilemedi</x:v>
      </x:c>
      <x:c r="J299" s="18" t="str">
        <x:v>Erişilemedi</x:v>
      </x:c>
      <x:c r="K299" s="18" t="str">
        <x:f>IF(AND(ISNUMBER(G299),ISNUMBER(I299)),I299/G299*1000,"Erişilemedi")</x:f>
        <x:v>Erişilemedi</x:v>
      </x:c>
      <x:c r="L299" s="16" t="str">
        <x:v>Belirsiz</x:v>
      </x:c>
      <x:c r="M299" s="16" t="str">
        <x:v>Kahve ürünü</x:v>
      </x:c>
      <x:c r="N299" s="16" t="str">
        <x:v>Site haritası ürün sayfası</x:v>
      </x:c>
      <x:c r="O299" s="16" t="str">
        <x:v>Düşük</x:v>
      </x:c>
      <x:c r="P299" s="19" t="n">
        <x:v>46245</x:v>
      </x:c>
      <x:c r="Q299" s="20" t="str">
        <x:v>https://chocoffeeroastery.com/tr/filtrecoffee</x:v>
      </x:c>
      <x:c r="R299" s="20" t="str">
        <x:v>Ürün kimliği korundu; eksik alanlar erişilemedi olarak işaretlenecek.</x:v>
      </x:c>
    </x:row>
    <x:row r="300" ht="40" customHeight="1">
      <x:c r="A300" s="16" t="str">
        <x:v>Cho Coffee Roastery</x:v>
      </x:c>
      <x:c r="B300" s="16" t="str">
        <x:v>İstanbul</x:v>
      </x:c>
      <x:c r="C300" s="16" t="str">
        <x:v>Kısmi doğrulama</x:v>
      </x:c>
      <x:c r="D300" s="16" t="str">
        <x:v>Ürün kaydı</x:v>
      </x:c>
      <x:c r="E300" s="16" t="str">
        <x:v>BREZILYA SANTUARIO SUL GEISHA LUIZ PAULO</x:v>
      </x:c>
      <x:c r="F300" s="16" t="str">
        <x:v>Brezilya</x:v>
      </x:c>
      <x:c r="G300" s="17" t="str">
        <x:v>Erişilemedi</x:v>
      </x:c>
      <x:c r="H300" s="16" t="str">
        <x:v>Erişilemedi</x:v>
      </x:c>
      <x:c r="I300" s="18" t="n">
        <x:v>450</x:v>
      </x:c>
      <x:c r="J300" s="18" t="str">
        <x:v>Erişildi</x:v>
      </x:c>
      <x:c r="K300" s="18" t="str">
        <x:f>IF(AND(ISNUMBER(G300),ISNUMBER(I300)),I300/G300*1000,"Erişilemedi")</x:f>
        <x:v>Erişilemedi</x:v>
      </x:c>
      <x:c r="L300" s="16" t="str">
        <x:v>Belirsiz</x:v>
      </x:c>
      <x:c r="M300" s="16" t="str">
        <x:v>Kahve ürünü</x:v>
      </x:c>
      <x:c r="N300" s="16" t="str">
        <x:v>Site haritası ürün sayfası</x:v>
      </x:c>
      <x:c r="O300" s="16" t="str">
        <x:v>Düşük</x:v>
      </x:c>
      <x:c r="P300" s="19" t="n">
        <x:v>46245</x:v>
      </x:c>
      <x:c r="Q300" s="20" t="str">
        <x:v>https://chocoffeeroastery.com/tr/brezilya-santuario-sul-geisha</x:v>
      </x:c>
      <x:c r="R300" s="20" t="str">
        <x:v>Ürün kimliği korundu; eksik alanlar erişilemedi olarak işaretlenecek.</x:v>
      </x:c>
    </x:row>
    <x:row r="301" ht="40" customHeight="1">
      <x:c r="A301" s="16" t="str">
        <x:v>Cho Coffee Roastery</x:v>
      </x:c>
      <x:c r="B301" s="16" t="str">
        <x:v>İstanbul</x:v>
      </x:c>
      <x:c r="C301" s="16" t="str">
        <x:v>Kısmi doğrulama</x:v>
      </x:c>
      <x:c r="D301" s="16" t="str">
        <x:v>Ürün kaydı</x:v>
      </x:c>
      <x:c r="E301" s="16" t="str">
        <x:v>BREZILYA SANTUARIO SUL STARMAYA</x:v>
      </x:c>
      <x:c r="F301" s="16" t="str">
        <x:v>Brezilya</x:v>
      </x:c>
      <x:c r="G301" s="17" t="str">
        <x:v>Erişilemedi</x:v>
      </x:c>
      <x:c r="H301" s="16" t="str">
        <x:v>Erişilemedi</x:v>
      </x:c>
      <x:c r="I301" s="18" t="n">
        <x:v>300</x:v>
      </x:c>
      <x:c r="J301" s="18" t="str">
        <x:v>Erişildi</x:v>
      </x:c>
      <x:c r="K301" s="18" t="str">
        <x:f>IF(AND(ISNUMBER(G301),ISNUMBER(I301)),I301/G301*1000,"Erişilemedi")</x:f>
        <x:v>Erişilemedi</x:v>
      </x:c>
      <x:c r="L301" s="16" t="str">
        <x:v>Belirsiz</x:v>
      </x:c>
      <x:c r="M301" s="16" t="str">
        <x:v>Kahve ürünü</x:v>
      </x:c>
      <x:c r="N301" s="16" t="str">
        <x:v>Site haritası ürün sayfası</x:v>
      </x:c>
      <x:c r="O301" s="16" t="str">
        <x:v>Düşük</x:v>
      </x:c>
      <x:c r="P301" s="19" t="n">
        <x:v>46245</x:v>
      </x:c>
      <x:c r="Q301" s="20" t="str">
        <x:v>https://chocoffeeroastery.com/tr/brezilya-santuario-sul-starmaya-2</x:v>
      </x:c>
      <x:c r="R301" s="20" t="str">
        <x:v>Ürün kimliği korundu; eksik alanlar erişilemedi olarak işaretlenecek.</x:v>
      </x:c>
    </x:row>
    <x:row r="302" ht="40" customHeight="1">
      <x:c r="A302" s="16" t="str">
        <x:v>Cho Coffee Roastery</x:v>
      </x:c>
      <x:c r="B302" s="16" t="str">
        <x:v>İstanbul</x:v>
      </x:c>
      <x:c r="C302" s="16" t="str">
        <x:v>Kısmi doğrulama</x:v>
      </x:c>
      <x:c r="D302" s="16" t="str">
        <x:v>Ürün kaydı</x:v>
      </x:c>
      <x:c r="E302" s="16" t="str">
        <x:v>Cafec TH-3 Filtre Kahve Ka&amp;#x11F;&amp;#x131;d&amp;#x131;</x:v>
      </x:c>
      <x:c r="F302" s="16" t="str">
        <x:v>Menşe belirtilmemiş</x:v>
      </x:c>
      <x:c r="G302" s="17" t="str">
        <x:v>Erişilemedi</x:v>
      </x:c>
      <x:c r="H302" s="16" t="str">
        <x:v>Erişilemedi</x:v>
      </x:c>
      <x:c r="I302" s="18" t="n">
        <x:v>585</x:v>
      </x:c>
      <x:c r="J302" s="18" t="str">
        <x:v>Erişildi</x:v>
      </x:c>
      <x:c r="K302" s="18" t="str">
        <x:f>IF(AND(ISNUMBER(G302),ISNUMBER(I302)),I302/G302*1000,"Erişilemedi")</x:f>
        <x:v>Erişilemedi</x:v>
      </x:c>
      <x:c r="L302" s="16" t="str">
        <x:v>Belirsiz</x:v>
      </x:c>
      <x:c r="M302" s="16" t="str">
        <x:v>Kahve ürünü</x:v>
      </x:c>
      <x:c r="N302" s="16" t="str">
        <x:v>Site haritası ürün sayfası</x:v>
      </x:c>
      <x:c r="O302" s="16" t="str">
        <x:v>Düşük</x:v>
      </x:c>
      <x:c r="P302" s="19" t="n">
        <x:v>46245</x:v>
      </x:c>
      <x:c r="Q302" s="20" t="str">
        <x:v>https://chocoffeeroastery.com/tr/cafec-th-3-filtre-kagidi</x:v>
      </x:c>
      <x:c r="R302" s="20" t="str">
        <x:v>Ürün kimliği korundu; eksik alanlar erişilemedi olarak işaretlenecek.</x:v>
      </x:c>
    </x:row>
    <x:row r="303" ht="40" customHeight="1">
      <x:c r="A303" s="16" t="str">
        <x:v>Cho Coffee Roastery</x:v>
      </x:c>
      <x:c r="B303" s="16" t="str">
        <x:v>İstanbul</x:v>
      </x:c>
      <x:c r="C303" s="16" t="str">
        <x:v>Kısmi doğrulama</x:v>
      </x:c>
      <x:c r="D303" s="16" t="str">
        <x:v>Ürün kaydı</x:v>
      </x:c>
      <x:c r="E303" s="16" t="str">
        <x:v>Cho Coffee Roastery. &amp;#xC7;&amp;#x130;KOLATA</x:v>
      </x:c>
      <x:c r="F303" s="16" t="str">
        <x:v>Menşe belirtilmemiş</x:v>
      </x:c>
      <x:c r="G303" s="17" t="str">
        <x:v>Erişilemedi</x:v>
      </x:c>
      <x:c r="H303" s="16" t="str">
        <x:v>Erişilemedi</x:v>
      </x:c>
      <x:c r="I303" s="18" t="str">
        <x:v>Erişilemedi</x:v>
      </x:c>
      <x:c r="J303" s="18" t="str">
        <x:v>Erişilemedi</x:v>
      </x:c>
      <x:c r="K303" s="18" t="str">
        <x:f>IF(AND(ISNUMBER(G303),ISNUMBER(I303)),I303/G303*1000,"Erişilemedi")</x:f>
        <x:v>Erişilemedi</x:v>
      </x:c>
      <x:c r="L303" s="16" t="str">
        <x:v>Belirsiz</x:v>
      </x:c>
      <x:c r="M303" s="16" t="str">
        <x:v>Kahve ürünü</x:v>
      </x:c>
      <x:c r="N303" s="16" t="str">
        <x:v>Site haritası ürün sayfası</x:v>
      </x:c>
      <x:c r="O303" s="16" t="str">
        <x:v>Düşük</x:v>
      </x:c>
      <x:c r="P303" s="19" t="n">
        <x:v>46245</x:v>
      </x:c>
      <x:c r="Q303" s="20" t="str">
        <x:v>https://chocoffeeroastery.com/tr/cikolata-2</x:v>
      </x:c>
      <x:c r="R303" s="20" t="str">
        <x:v>Ürün kimliği korundu; eksik alanlar erişilemedi olarak işaretlenecek.</x:v>
      </x:c>
    </x:row>
    <x:row r="304" ht="40" customHeight="1">
      <x:c r="A304" s="16" t="str">
        <x:v>Cho Coffee Roastery</x:v>
      </x:c>
      <x:c r="B304" s="16" t="str">
        <x:v>İstanbul</x:v>
      </x:c>
      <x:c r="C304" s="16" t="str">
        <x:v>Kısmi doğrulama</x:v>
      </x:c>
      <x:c r="D304" s="16" t="str">
        <x:v>Ürün kaydı</x:v>
      </x:c>
      <x:c r="E304" s="16" t="str">
        <x:v>Cho Coffee Roastery. Bizimle iletisime ge&amp;#xE7;in</x:v>
      </x:c>
      <x:c r="F304" s="16" t="str">
        <x:v>Menşe belirtilmemiş</x:v>
      </x:c>
      <x:c r="G304" s="17" t="str">
        <x:v>Erişilemedi</x:v>
      </x:c>
      <x:c r="H304" s="16" t="str">
        <x:v>Erişilemedi</x:v>
      </x:c>
      <x:c r="I304" s="18" t="str">
        <x:v>Erişilemedi</x:v>
      </x:c>
      <x:c r="J304" s="18" t="str">
        <x:v>Erişilemedi</x:v>
      </x:c>
      <x:c r="K304" s="18" t="str">
        <x:f>IF(AND(ISNUMBER(G304),ISNUMBER(I304)),I304/G304*1000,"Erişilemedi")</x:f>
        <x:v>Erişilemedi</x:v>
      </x:c>
      <x:c r="L304" s="16" t="str">
        <x:v>Belirsiz</x:v>
      </x:c>
      <x:c r="M304" s="16" t="str">
        <x:v>Kahve ürünü</x:v>
      </x:c>
      <x:c r="N304" s="16" t="str">
        <x:v>Site haritası ürün sayfası</x:v>
      </x:c>
      <x:c r="O304" s="16" t="str">
        <x:v>Düşük</x:v>
      </x:c>
      <x:c r="P304" s="19" t="n">
        <x:v>46245</x:v>
      </x:c>
      <x:c r="Q304" s="20" t="str">
        <x:v>https://chocoffeeroastery.com/tr/contactus</x:v>
      </x:c>
      <x:c r="R304" s="20" t="str">
        <x:v>Ürün kimliği korundu; eksik alanlar erişilemedi olarak işaretlenecek.</x:v>
      </x:c>
    </x:row>
    <x:row r="305" ht="40" customHeight="1">
      <x:c r="A305" s="16" t="str">
        <x:v>Cho Coffee Roastery</x:v>
      </x:c>
      <x:c r="B305" s="16" t="str">
        <x:v>İstanbul</x:v>
      </x:c>
      <x:c r="C305" s="16" t="str">
        <x:v>Kısmi doğrulama</x:v>
      </x:c>
      <x:c r="D305" s="16" t="str">
        <x:v>Ürün kaydı</x:v>
      </x:c>
      <x:c r="E305" s="16" t="str">
        <x:v>Cho Coffee Roastery. CAFEC</x:v>
      </x:c>
      <x:c r="F305" s="16" t="str">
        <x:v>Menşe belirtilmemiş</x:v>
      </x:c>
      <x:c r="G305" s="17" t="str">
        <x:v>Erişilemedi</x:v>
      </x:c>
      <x:c r="H305" s="16" t="str">
        <x:v>Erişilemedi</x:v>
      </x:c>
      <x:c r="I305" s="18" t="str">
        <x:v>Erişilemedi</x:v>
      </x:c>
      <x:c r="J305" s="18" t="str">
        <x:v>Erişilemedi</x:v>
      </x:c>
      <x:c r="K305" s="18" t="str">
        <x:f>IF(AND(ISNUMBER(G305),ISNUMBER(I305)),I305/G305*1000,"Erişilemedi")</x:f>
        <x:v>Erişilemedi</x:v>
      </x:c>
      <x:c r="L305" s="16" t="str">
        <x:v>Belirsiz</x:v>
      </x:c>
      <x:c r="M305" s="16" t="str">
        <x:v>Kahve ürünü</x:v>
      </x:c>
      <x:c r="N305" s="16" t="str">
        <x:v>Site haritası ürün sayfası</x:v>
      </x:c>
      <x:c r="O305" s="16" t="str">
        <x:v>Düşük</x:v>
      </x:c>
      <x:c r="P305" s="19" t="n">
        <x:v>46245</x:v>
      </x:c>
      <x:c r="Q305" s="20" t="str">
        <x:v>https://chocoffeeroastery.com/tr/cafec</x:v>
      </x:c>
      <x:c r="R305" s="20" t="str">
        <x:v>Ürün kimliği korundu; eksik alanlar erişilemedi olarak işaretlenecek.</x:v>
      </x:c>
    </x:row>
    <x:row r="306" ht="40" customHeight="1">
      <x:c r="A306" s="16" t="str">
        <x:v>Cho Coffee Roastery</x:v>
      </x:c>
      <x:c r="B306" s="16" t="str">
        <x:v>İstanbul</x:v>
      </x:c>
      <x:c r="C306" s="16" t="str">
        <x:v>Kısmi doğrulama</x:v>
      </x:c>
      <x:c r="D306" s="16" t="str">
        <x:v>Ürün kaydı</x:v>
      </x:c>
      <x:c r="E306" s="16" t="str">
        <x:v>Cho Coffee Roastery. Cho Coffee Roastery</x:v>
      </x:c>
      <x:c r="F306" s="16" t="str">
        <x:v>Menşe belirtilmemiş</x:v>
      </x:c>
      <x:c r="G306" s="17" t="str">
        <x:v>Erişilemedi</x:v>
      </x:c>
      <x:c r="H306" s="16" t="str">
        <x:v>Erişilemedi</x:v>
      </x:c>
      <x:c r="I306" s="18" t="str">
        <x:v>Erişilemedi</x:v>
      </x:c>
      <x:c r="J306" s="18" t="str">
        <x:v>Erişilemedi</x:v>
      </x:c>
      <x:c r="K306" s="18" t="str">
        <x:f>IF(AND(ISNUMBER(G306),ISNUMBER(I306)),I306/G306*1000,"Erişilemedi")</x:f>
        <x:v>Erişilemedi</x:v>
      </x:c>
      <x:c r="L306" s="16" t="str">
        <x:v>Belirsiz</x:v>
      </x:c>
      <x:c r="M306" s="16" t="str">
        <x:v>Kahve ürünü</x:v>
      </x:c>
      <x:c r="N306" s="16" t="str">
        <x:v>Site haritası ürün sayfası</x:v>
      </x:c>
      <x:c r="O306" s="16" t="str">
        <x:v>Düşük</x:v>
      </x:c>
      <x:c r="P306" s="19" t="n">
        <x:v>46245</x:v>
      </x:c>
      <x:c r="Q306" s="20" t="str">
        <x:v>https://chocoffeeroastery.com/tr</x:v>
      </x:c>
      <x:c r="R306" s="20" t="str">
        <x:v>Ürün kimliği korundu; eksik alanlar erişilemedi olarak işaretlenecek.</x:v>
      </x:c>
    </x:row>
    <x:row r="307" ht="40" customHeight="1">
      <x:c r="A307" s="16" t="str">
        <x:v>Cho Coffee Roastery</x:v>
      </x:c>
      <x:c r="B307" s="16" t="str">
        <x:v>İstanbul</x:v>
      </x:c>
      <x:c r="C307" s="16" t="str">
        <x:v>Kısmi doğrulama</x:v>
      </x:c>
      <x:c r="D307" s="16" t="str">
        <x:v>Ürün kaydı</x:v>
      </x:c>
      <x:c r="E307" s="16" t="str">
        <x:v>Cho Coffee Roastery. FELLOW</x:v>
      </x:c>
      <x:c r="F307" s="16" t="str">
        <x:v>Menşe belirtilmemiş</x:v>
      </x:c>
      <x:c r="G307" s="17" t="str">
        <x:v>Erişilemedi</x:v>
      </x:c>
      <x:c r="H307" s="16" t="str">
        <x:v>Erişilemedi</x:v>
      </x:c>
      <x:c r="I307" s="18" t="str">
        <x:v>Erişilemedi</x:v>
      </x:c>
      <x:c r="J307" s="18" t="str">
        <x:v>Erişilemedi</x:v>
      </x:c>
      <x:c r="K307" s="18" t="str">
        <x:f>IF(AND(ISNUMBER(G307),ISNUMBER(I307)),I307/G307*1000,"Erişilemedi")</x:f>
        <x:v>Erişilemedi</x:v>
      </x:c>
      <x:c r="L307" s="16" t="str">
        <x:v>Belirsiz</x:v>
      </x:c>
      <x:c r="M307" s="16" t="str">
        <x:v>Kahve ürünü</x:v>
      </x:c>
      <x:c r="N307" s="16" t="str">
        <x:v>Site haritası ürün sayfası</x:v>
      </x:c>
      <x:c r="O307" s="16" t="str">
        <x:v>Düşük</x:v>
      </x:c>
      <x:c r="P307" s="19" t="n">
        <x:v>46245</x:v>
      </x:c>
      <x:c r="Q307" s="20" t="str">
        <x:v>https://chocoffeeroastery.com/tr/fellow</x:v>
      </x:c>
      <x:c r="R307" s="20" t="str">
        <x:v>Ürün kimliği korundu; eksik alanlar erişilemedi olarak işaretlenecek.</x:v>
      </x:c>
    </x:row>
    <x:row r="308" ht="40" customHeight="1">
      <x:c r="A308" s="16" t="str">
        <x:v>Cho Coffee Roastery</x:v>
      </x:c>
      <x:c r="B308" s="16" t="str">
        <x:v>İstanbul</x:v>
      </x:c>
      <x:c r="C308" s="16" t="str">
        <x:v>Kısmi doğrulama</x:v>
      </x:c>
      <x:c r="D308" s="16" t="str">
        <x:v>Ürün kaydı</x:v>
      </x:c>
      <x:c r="E308" s="16" t="str">
        <x:v>Cho Coffee Roastery. HARIO</x:v>
      </x:c>
      <x:c r="F308" s="16" t="str">
        <x:v>Menşe belirtilmemiş</x:v>
      </x:c>
      <x:c r="G308" s="17" t="str">
        <x:v>Erişilemedi</x:v>
      </x:c>
      <x:c r="H308" s="16" t="str">
        <x:v>Erişilemedi</x:v>
      </x:c>
      <x:c r="I308" s="18" t="str">
        <x:v>Erişilemedi</x:v>
      </x:c>
      <x:c r="J308" s="18" t="str">
        <x:v>Erişilemedi</x:v>
      </x:c>
      <x:c r="K308" s="18" t="str">
        <x:f>IF(AND(ISNUMBER(G308),ISNUMBER(I308)),I308/G308*1000,"Erişilemedi")</x:f>
        <x:v>Erişilemedi</x:v>
      </x:c>
      <x:c r="L308" s="16" t="str">
        <x:v>Belirsiz</x:v>
      </x:c>
      <x:c r="M308" s="16" t="str">
        <x:v>Kahve ürünü</x:v>
      </x:c>
      <x:c r="N308" s="16" t="str">
        <x:v>Site haritası ürün sayfası</x:v>
      </x:c>
      <x:c r="O308" s="16" t="str">
        <x:v>Düşük</x:v>
      </x:c>
      <x:c r="P308" s="19" t="n">
        <x:v>46245</x:v>
      </x:c>
      <x:c r="Q308" s="20" t="str">
        <x:v>https://chocoffeeroastery.com/tr/hario</x:v>
      </x:c>
      <x:c r="R308" s="20" t="str">
        <x:v>Ürün kimliği korundu; eksik alanlar erişilemedi olarak işaretlenecek.</x:v>
      </x:c>
    </x:row>
    <x:row r="309" ht="40" customHeight="1">
      <x:c r="A309" s="16" t="str">
        <x:v>Cho Coffee Roastery</x:v>
      </x:c>
      <x:c r="B309" s="16" t="str">
        <x:v>İstanbul</x:v>
      </x:c>
      <x:c r="C309" s="16" t="str">
        <x:v>Kısmi doğrulama</x:v>
      </x:c>
      <x:c r="D309" s="16" t="str">
        <x:v>Ürün kaydı</x:v>
      </x:c>
      <x:c r="E309" s="16" t="str">
        <x:v>Cho Coffee Roastery. Limited Edition</x:v>
      </x:c>
      <x:c r="F309" s="16" t="str">
        <x:v>Menşe belirtilmemiş</x:v>
      </x:c>
      <x:c r="G309" s="17" t="str">
        <x:v>Erişilemedi</x:v>
      </x:c>
      <x:c r="H309" s="16" t="str">
        <x:v>Erişilemedi</x:v>
      </x:c>
      <x:c r="I309" s="18" t="str">
        <x:v>Erişilemedi</x:v>
      </x:c>
      <x:c r="J309" s="18" t="str">
        <x:v>Erişilemedi</x:v>
      </x:c>
      <x:c r="K309" s="18" t="str">
        <x:f>IF(AND(ISNUMBER(G309),ISNUMBER(I309)),I309/G309*1000,"Erişilemedi")</x:f>
        <x:v>Erişilemedi</x:v>
      </x:c>
      <x:c r="L309" s="16" t="str">
        <x:v>Belirsiz</x:v>
      </x:c>
      <x:c r="M309" s="16" t="str">
        <x:v>Kahve ürünü</x:v>
      </x:c>
      <x:c r="N309" s="16" t="str">
        <x:v>Site haritası ürün sayfası</x:v>
      </x:c>
      <x:c r="O309" s="16" t="str">
        <x:v>Düşük</x:v>
      </x:c>
      <x:c r="P309" s="19" t="n">
        <x:v>46245</x:v>
      </x:c>
      <x:c r="Q309" s="20" t="str">
        <x:v>https://chocoffeeroastery.com/tr/limited-edition</x:v>
      </x:c>
      <x:c r="R309" s="20" t="str">
        <x:v>Ürün kimliği korundu; eksik alanlar erişilemedi olarak işaretlenecek.</x:v>
      </x:c>
    </x:row>
    <x:row r="310" ht="40" customHeight="1">
      <x:c r="A310" s="16" t="str">
        <x:v>Cho Coffee Roastery</x:v>
      </x:c>
      <x:c r="B310" s="16" t="str">
        <x:v>İstanbul</x:v>
      </x:c>
      <x:c r="C310" s="16" t="str">
        <x:v>Kısmi doğrulama</x:v>
      </x:c>
      <x:c r="D310" s="16" t="str">
        <x:v>Ürün kaydı</x:v>
      </x:c>
      <x:c r="E310" s="16" t="str">
        <x:v>Cho Coffee Roastery. MOCCAMASTER</x:v>
      </x:c>
      <x:c r="F310" s="16" t="str">
        <x:v>Menşe belirtilmemiş</x:v>
      </x:c>
      <x:c r="G310" s="17" t="str">
        <x:v>Erişilemedi</x:v>
      </x:c>
      <x:c r="H310" s="16" t="str">
        <x:v>Erişilemedi</x:v>
      </x:c>
      <x:c r="I310" s="18" t="str">
        <x:v>Erişilemedi</x:v>
      </x:c>
      <x:c r="J310" s="18" t="str">
        <x:v>Erişilemedi</x:v>
      </x:c>
      <x:c r="K310" s="18" t="str">
        <x:f>IF(AND(ISNUMBER(G310),ISNUMBER(I310)),I310/G310*1000,"Erişilemedi")</x:f>
        <x:v>Erişilemedi</x:v>
      </x:c>
      <x:c r="L310" s="16" t="str">
        <x:v>Belirsiz</x:v>
      </x:c>
      <x:c r="M310" s="16" t="str">
        <x:v>Kahve ürünü</x:v>
      </x:c>
      <x:c r="N310" s="16" t="str">
        <x:v>Site haritası ürün sayfası</x:v>
      </x:c>
      <x:c r="O310" s="16" t="str">
        <x:v>Düşük</x:v>
      </x:c>
      <x:c r="P310" s="19" t="n">
        <x:v>46245</x:v>
      </x:c>
      <x:c r="Q310" s="20" t="str">
        <x:v>https://chocoffeeroastery.com/tr/moccamaster</x:v>
      </x:c>
      <x:c r="R310" s="20" t="str">
        <x:v>Ürün kimliği korundu; eksik alanlar erişilemedi olarak işaretlenecek.</x:v>
      </x:c>
    </x:row>
    <x:row r="311" ht="40" customHeight="1">
      <x:c r="A311" s="16" t="str">
        <x:v>Cho Coffee Roastery</x:v>
      </x:c>
      <x:c r="B311" s="16" t="str">
        <x:v>İstanbul</x:v>
      </x:c>
      <x:c r="C311" s="16" t="str">
        <x:v>Kısmi doğrulama</x:v>
      </x:c>
      <x:c r="D311" s="16" t="str">
        <x:v>Ürün kaydı</x:v>
      </x:c>
      <x:c r="E311" s="16" t="str">
        <x:v>Cho Coffee Roastery. MORNING</x:v>
      </x:c>
      <x:c r="F311" s="16" t="str">
        <x:v>Menşe belirtilmemiş</x:v>
      </x:c>
      <x:c r="G311" s="17" t="str">
        <x:v>Erişilemedi</x:v>
      </x:c>
      <x:c r="H311" s="16" t="str">
        <x:v>Erişilemedi</x:v>
      </x:c>
      <x:c r="I311" s="18" t="str">
        <x:v>Erişilemedi</x:v>
      </x:c>
      <x:c r="J311" s="18" t="str">
        <x:v>Erişilemedi</x:v>
      </x:c>
      <x:c r="K311" s="18" t="str">
        <x:f>IF(AND(ISNUMBER(G311),ISNUMBER(I311)),I311/G311*1000,"Erişilemedi")</x:f>
        <x:v>Erişilemedi</x:v>
      </x:c>
      <x:c r="L311" s="16" t="str">
        <x:v>Belirsiz</x:v>
      </x:c>
      <x:c r="M311" s="16" t="str">
        <x:v>Kahve ürünü</x:v>
      </x:c>
      <x:c r="N311" s="16" t="str">
        <x:v>Site haritası ürün sayfası</x:v>
      </x:c>
      <x:c r="O311" s="16" t="str">
        <x:v>Düşük</x:v>
      </x:c>
      <x:c r="P311" s="19" t="n">
        <x:v>46245</x:v>
      </x:c>
      <x:c r="Q311" s="20" t="str">
        <x:v>https://chocoffeeroastery.com/tr/morning</x:v>
      </x:c>
      <x:c r="R311" s="20" t="str">
        <x:v>Ürün kimliği korundu; eksik alanlar erişilemedi olarak işaretlenecek.</x:v>
      </x:c>
    </x:row>
    <x:row r="312" ht="40" customHeight="1">
      <x:c r="A312" s="16" t="str">
        <x:v>Cho Coffee Roastery</x:v>
      </x:c>
      <x:c r="B312" s="16" t="str">
        <x:v>İstanbul</x:v>
      </x:c>
      <x:c r="C312" s="16" t="str">
        <x:v>Kısmi doğrulama</x:v>
      </x:c>
      <x:c r="D312" s="16" t="str">
        <x:v>Ürün kaydı</x:v>
      </x:c>
      <x:c r="E312" s="16" t="str">
        <x:v>Cho Coffee Roastery. SEZONSAL KAHVELER</x:v>
      </x:c>
      <x:c r="F312" s="16" t="str">
        <x:v>Menşe belirtilmemiş</x:v>
      </x:c>
      <x:c r="G312" s="17" t="str">
        <x:v>Erişilemedi</x:v>
      </x:c>
      <x:c r="H312" s="16" t="str">
        <x:v>Erişilemedi</x:v>
      </x:c>
      <x:c r="I312" s="18" t="str">
        <x:v>Erişilemedi</x:v>
      </x:c>
      <x:c r="J312" s="18" t="str">
        <x:v>Erişilemedi</x:v>
      </x:c>
      <x:c r="K312" s="18" t="str">
        <x:f>IF(AND(ISNUMBER(G312),ISNUMBER(I312)),I312/G312*1000,"Erişilemedi")</x:f>
        <x:v>Erişilemedi</x:v>
      </x:c>
      <x:c r="L312" s="16" t="str">
        <x:v>Belirsiz</x:v>
      </x:c>
      <x:c r="M312" s="16" t="str">
        <x:v>Kahve ürünü</x:v>
      </x:c>
      <x:c r="N312" s="16" t="str">
        <x:v>Site haritası ürün sayfası</x:v>
      </x:c>
      <x:c r="O312" s="16" t="str">
        <x:v>Düşük</x:v>
      </x:c>
      <x:c r="P312" s="19" t="n">
        <x:v>46245</x:v>
      </x:c>
      <x:c r="Q312" s="20" t="str">
        <x:v>https://chocoffeeroastery.com/tr/sezonsal-kahveler</x:v>
      </x:c>
      <x:c r="R312" s="20" t="str">
        <x:v>Ürün kimliği korundu; eksik alanlar erişilemedi olarak işaretlenecek.</x:v>
      </x:c>
    </x:row>
    <x:row r="313" ht="40" customHeight="1">
      <x:c r="A313" s="16" t="str">
        <x:v>Cho Coffee Roastery</x:v>
      </x:c>
      <x:c r="B313" s="16" t="str">
        <x:v>İstanbul</x:v>
      </x:c>
      <x:c r="C313" s="16" t="str">
        <x:v>Kısmi doğrulama</x:v>
      </x:c>
      <x:c r="D313" s="16" t="str">
        <x:v>Ürün kaydı</x:v>
      </x:c>
      <x:c r="E313" s="16" t="str">
        <x:v>Cho Coffee Roastery. T&amp;#xFC;rk Kahvesi</x:v>
      </x:c>
      <x:c r="F313" s="16" t="str">
        <x:v>Menşe belirtilmemiş</x:v>
      </x:c>
      <x:c r="G313" s="17" t="str">
        <x:v>Erişilemedi</x:v>
      </x:c>
      <x:c r="H313" s="16" t="str">
        <x:v>Erişilemedi</x:v>
      </x:c>
      <x:c r="I313" s="18" t="str">
        <x:v>Erişilemedi</x:v>
      </x:c>
      <x:c r="J313" s="18" t="str">
        <x:v>Erişilemedi</x:v>
      </x:c>
      <x:c r="K313" s="18" t="str">
        <x:f>IF(AND(ISNUMBER(G313),ISNUMBER(I313)),I313/G313*1000,"Erişilemedi")</x:f>
        <x:v>Erişilemedi</x:v>
      </x:c>
      <x:c r="L313" s="16" t="str">
        <x:v>Belirsiz</x:v>
      </x:c>
      <x:c r="M313" s="16" t="str">
        <x:v>Kahve ürünü</x:v>
      </x:c>
      <x:c r="N313" s="16" t="str">
        <x:v>Site haritası ürün sayfası</x:v>
      </x:c>
      <x:c r="O313" s="16" t="str">
        <x:v>Düşük</x:v>
      </x:c>
      <x:c r="P313" s="19" t="n">
        <x:v>46245</x:v>
      </x:c>
      <x:c r="Q313" s="20" t="str">
        <x:v>https://chocoffeeroastery.com/tr/turk-kahvesi</x:v>
      </x:c>
      <x:c r="R313" s="20" t="str">
        <x:v>Ürün kimliği korundu; eksik alanlar erişilemedi olarak işaretlenecek.</x:v>
      </x:c>
    </x:row>
    <x:row r="314" ht="40" customHeight="1">
      <x:c r="A314" s="16" t="str">
        <x:v>Cho Coffee Roastery</x:v>
      </x:c>
      <x:c r="B314" s="16" t="str">
        <x:v>İstanbul</x:v>
      </x:c>
      <x:c r="C314" s="16" t="str">
        <x:v>Kısmi doğrulama</x:v>
      </x:c>
      <x:c r="D314" s="16" t="str">
        <x:v>Ürün kaydı</x:v>
      </x:c>
      <x:c r="E314" s="16" t="str">
        <x:v>Cho Coffee Roastery. TIMEMORE</x:v>
      </x:c>
      <x:c r="F314" s="16" t="str">
        <x:v>Menşe belirtilmemiş</x:v>
      </x:c>
      <x:c r="G314" s="17" t="str">
        <x:v>Erişilemedi</x:v>
      </x:c>
      <x:c r="H314" s="16" t="str">
        <x:v>Erişilemedi</x:v>
      </x:c>
      <x:c r="I314" s="18" t="str">
        <x:v>Erişilemedi</x:v>
      </x:c>
      <x:c r="J314" s="18" t="str">
        <x:v>Erişilemedi</x:v>
      </x:c>
      <x:c r="K314" s="18" t="str">
        <x:f>IF(AND(ISNUMBER(G314),ISNUMBER(I314)),I314/G314*1000,"Erişilemedi")</x:f>
        <x:v>Erişilemedi</x:v>
      </x:c>
      <x:c r="L314" s="16" t="str">
        <x:v>Belirsiz</x:v>
      </x:c>
      <x:c r="M314" s="16" t="str">
        <x:v>Kahve ürünü</x:v>
      </x:c>
      <x:c r="N314" s="16" t="str">
        <x:v>Site haritası ürün sayfası</x:v>
      </x:c>
      <x:c r="O314" s="16" t="str">
        <x:v>Düşük</x:v>
      </x:c>
      <x:c r="P314" s="19" t="n">
        <x:v>46245</x:v>
      </x:c>
      <x:c r="Q314" s="20" t="str">
        <x:v>https://chocoffeeroastery.com/tr/timemore</x:v>
      </x:c>
      <x:c r="R314" s="20" t="str">
        <x:v>Ürün kimliği korundu; eksik alanlar erişilemedi olarak işaretlenecek.</x:v>
      </x:c>
    </x:row>
    <x:row r="315" ht="40" customHeight="1">
      <x:c r="A315" s="16" t="str">
        <x:v>Cho Coffee Roastery</x:v>
      </x:c>
      <x:c r="B315" s="16" t="str">
        <x:v>İstanbul</x:v>
      </x:c>
      <x:c r="C315" s="16" t="str">
        <x:v>Kısmi doğrulama</x:v>
      </x:c>
      <x:c r="D315" s="16" t="str">
        <x:v>Ürün kaydı</x:v>
      </x:c>
      <x:c r="E315" s="16" t="str">
        <x:v>Cho Coffee Roastery. WILFA</x:v>
      </x:c>
      <x:c r="F315" s="16" t="str">
        <x:v>Menşe belirtilmemiş</x:v>
      </x:c>
      <x:c r="G315" s="17" t="str">
        <x:v>Erişilemedi</x:v>
      </x:c>
      <x:c r="H315" s="16" t="str">
        <x:v>Erişilemedi</x:v>
      </x:c>
      <x:c r="I315" s="18" t="str">
        <x:v>Erişilemedi</x:v>
      </x:c>
      <x:c r="J315" s="18" t="str">
        <x:v>Erişilemedi</x:v>
      </x:c>
      <x:c r="K315" s="18" t="str">
        <x:f>IF(AND(ISNUMBER(G315),ISNUMBER(I315)),I315/G315*1000,"Erişilemedi")</x:f>
        <x:v>Erişilemedi</x:v>
      </x:c>
      <x:c r="L315" s="16" t="str">
        <x:v>Belirsiz</x:v>
      </x:c>
      <x:c r="M315" s="16" t="str">
        <x:v>Kahve ürünü</x:v>
      </x:c>
      <x:c r="N315" s="16" t="str">
        <x:v>Site haritası ürün sayfası</x:v>
      </x:c>
      <x:c r="O315" s="16" t="str">
        <x:v>Düşük</x:v>
      </x:c>
      <x:c r="P315" s="19" t="n">
        <x:v>46245</x:v>
      </x:c>
      <x:c r="Q315" s="20" t="str">
        <x:v>https://chocoffeeroastery.com/tr/wilfa</x:v>
      </x:c>
      <x:c r="R315" s="20" t="str">
        <x:v>Ürün kimliği korundu; eksik alanlar erişilemedi olarak işaretlenecek.</x:v>
      </x:c>
    </x:row>
    <x:row r="316" ht="40" customHeight="1">
      <x:c r="A316" s="16" t="str">
        <x:v>Cho Coffee Roastery</x:v>
      </x:c>
      <x:c r="B316" s="16" t="str">
        <x:v>İstanbul</x:v>
      </x:c>
      <x:c r="C316" s="16" t="str">
        <x:v>Kısmi doğrulama</x:v>
      </x:c>
      <x:c r="D316" s="16" t="str">
        <x:v>Ürün kaydı</x:v>
      </x:c>
      <x:c r="E316" s="16" t="str">
        <x:v>CHO NOCTURNE ESPRESSO</x:v>
      </x:c>
      <x:c r="F316" s="16" t="str">
        <x:v>Menşe belirtilmemiş</x:v>
      </x:c>
      <x:c r="G316" s="17" t="str">
        <x:v>Erişilemedi</x:v>
      </x:c>
      <x:c r="H316" s="16" t="str">
        <x:v>Erişilemedi</x:v>
      </x:c>
      <x:c r="I316" s="18" t="n">
        <x:v>450</x:v>
      </x:c>
      <x:c r="J316" s="18" t="str">
        <x:v>Erişildi</x:v>
      </x:c>
      <x:c r="K316" s="18" t="str">
        <x:f>IF(AND(ISNUMBER(G316),ISNUMBER(I316)),I316/G316*1000,"Erişilemedi")</x:f>
        <x:v>Erişilemedi</x:v>
      </x:c>
      <x:c r="L316" s="16" t="str">
        <x:v>Belirsiz</x:v>
      </x:c>
      <x:c r="M316" s="16" t="str">
        <x:v>Kahve ürünü</x:v>
      </x:c>
      <x:c r="N316" s="16" t="str">
        <x:v>Site haritası ürün sayfası</x:v>
      </x:c>
      <x:c r="O316" s="16" t="str">
        <x:v>Düşük</x:v>
      </x:c>
      <x:c r="P316" s="19" t="n">
        <x:v>46245</x:v>
      </x:c>
      <x:c r="Q316" s="20" t="str">
        <x:v>https://chocoffeeroastery.com/tr/cho-nocture-espresso</x:v>
      </x:c>
      <x:c r="R316" s="20" t="str">
        <x:v>Ürün kimliği korundu; eksik alanlar erişilemedi olarak işaretlenecek.</x:v>
      </x:c>
    </x:row>
    <x:row r="317" ht="40" customHeight="1">
      <x:c r="A317" s="16" t="str">
        <x:v>Cho Coffee Roastery</x:v>
      </x:c>
      <x:c r="B317" s="16" t="str">
        <x:v>İstanbul</x:v>
      </x:c>
      <x:c r="C317" s="16" t="str">
        <x:v>Kısmi doğrulama</x:v>
      </x:c>
      <x:c r="D317" s="16" t="str">
        <x:v>Ürün kaydı</x:v>
      </x:c>
      <x:c r="E317" s="16" t="str">
        <x:v>CHO SIGNATURE ESPRESSO</x:v>
      </x:c>
      <x:c r="F317" s="16" t="str">
        <x:v>Menşe belirtilmemiş</x:v>
      </x:c>
      <x:c r="G317" s="17" t="str">
        <x:v>Erişilemedi</x:v>
      </x:c>
      <x:c r="H317" s="16" t="str">
        <x:v>Erişilemedi</x:v>
      </x:c>
      <x:c r="I317" s="18" t="n">
        <x:v>400</x:v>
      </x:c>
      <x:c r="J317" s="18" t="str">
        <x:v>Erişildi</x:v>
      </x:c>
      <x:c r="K317" s="18" t="str">
        <x:f>IF(AND(ISNUMBER(G317),ISNUMBER(I317)),I317/G317*1000,"Erişilemedi")</x:f>
        <x:v>Erişilemedi</x:v>
      </x:c>
      <x:c r="L317" s="16" t="str">
        <x:v>Belirsiz</x:v>
      </x:c>
      <x:c r="M317" s="16" t="str">
        <x:v>Kahve ürünü</x:v>
      </x:c>
      <x:c r="N317" s="16" t="str">
        <x:v>Site haritası ürün sayfası</x:v>
      </x:c>
      <x:c r="O317" s="16" t="str">
        <x:v>Düşük</x:v>
      </x:c>
      <x:c r="P317" s="19" t="n">
        <x:v>46245</x:v>
      </x:c>
      <x:c r="Q317" s="20" t="str">
        <x:v>https://chocoffeeroastery.com/tr/cho-signature-espresso</x:v>
      </x:c>
      <x:c r="R317" s="20" t="str">
        <x:v>Ürün kimliği korundu; eksik alanlar erişilemedi olarak işaretlenecek.</x:v>
      </x:c>
    </x:row>
    <x:row r="318" ht="40" customHeight="1">
      <x:c r="A318" s="16" t="str">
        <x:v>Cho Coffee Roastery</x:v>
      </x:c>
      <x:c r="B318" s="16" t="str">
        <x:v>İstanbul</x:v>
      </x:c>
      <x:c r="C318" s="16" t="str">
        <x:v>Kısmi doğrulama</x:v>
      </x:c>
      <x:c r="D318" s="16" t="str">
        <x:v>Ürün kaydı</x:v>
      </x:c>
      <x:c r="E318" s="16" t="str">
        <x:v>CHO SINGNATURE GELENEKSEL T&amp;#xDC;RK KAHVES&amp;#x130;</x:v>
      </x:c>
      <x:c r="F318" s="16" t="str">
        <x:v>Menşe belirtilmemiş</x:v>
      </x:c>
      <x:c r="G318" s="17" t="str">
        <x:v>Erişilemedi</x:v>
      </x:c>
      <x:c r="H318" s="16" t="str">
        <x:v>Erişilemedi</x:v>
      </x:c>
      <x:c r="I318" s="18" t="n">
        <x:v>300</x:v>
      </x:c>
      <x:c r="J318" s="18" t="str">
        <x:v>Erişildi</x:v>
      </x:c>
      <x:c r="K318" s="18" t="str">
        <x:f>IF(AND(ISNUMBER(G318),ISNUMBER(I318)),I318/G318*1000,"Erişilemedi")</x:f>
        <x:v>Erişilemedi</x:v>
      </x:c>
      <x:c r="L318" s="16" t="str">
        <x:v>Belirsiz</x:v>
      </x:c>
      <x:c r="M318" s="16" t="str">
        <x:v>Kahve ürünü</x:v>
      </x:c>
      <x:c r="N318" s="16" t="str">
        <x:v>Site haritası ürün sayfası</x:v>
      </x:c>
      <x:c r="O318" s="16" t="str">
        <x:v>Düşük</x:v>
      </x:c>
      <x:c r="P318" s="19" t="n">
        <x:v>46245</x:v>
      </x:c>
      <x:c r="Q318" s="20" t="str">
        <x:v>https://chocoffeeroastery.com/tr/cho-signature-geleneksel-turk-kahvesi</x:v>
      </x:c>
      <x:c r="R318" s="20" t="str">
        <x:v>Ürün kimliği korundu; eksik alanlar erişilemedi olarak işaretlenecek.</x:v>
      </x:c>
    </x:row>
    <x:row r="319" ht="40" customHeight="1">
      <x:c r="A319" s="16" t="str">
        <x:v>Cho Coffee Roastery</x:v>
      </x:c>
      <x:c r="B319" s="16" t="str">
        <x:v>İstanbul</x:v>
      </x:c>
      <x:c r="C319" s="16" t="str">
        <x:v>Kısmi doğrulama</x:v>
      </x:c>
      <x:c r="D319" s="16" t="str">
        <x:v>Ürün kaydı</x:v>
      </x:c>
      <x:c r="E319" s="16" t="str">
        <x:v>COLOMBIA EDUARDO ARMERO MARTINEZ / LA ARGENTINA</x:v>
      </x:c>
      <x:c r="F319" s="16" t="str">
        <x:v>Kolombiya</x:v>
      </x:c>
      <x:c r="G319" s="17" t="str">
        <x:v>Erişilemedi</x:v>
      </x:c>
      <x:c r="H319" s="16" t="str">
        <x:v>Erişilemedi</x:v>
      </x:c>
      <x:c r="I319" s="18" t="n">
        <x:v>350</x:v>
      </x:c>
      <x:c r="J319" s="18" t="str">
        <x:v>Erişildi</x:v>
      </x:c>
      <x:c r="K319" s="18" t="str">
        <x:f>IF(AND(ISNUMBER(G319),ISNUMBER(I319)),I319/G319*1000,"Erişilemedi")</x:f>
        <x:v>Erişilemedi</x:v>
      </x:c>
      <x:c r="L319" s="16" t="str">
        <x:v>Belirsiz</x:v>
      </x:c>
      <x:c r="M319" s="16" t="str">
        <x:v>Kahve ürünü</x:v>
      </x:c>
      <x:c r="N319" s="16" t="str">
        <x:v>Site haritası ürün sayfası</x:v>
      </x:c>
      <x:c r="O319" s="16" t="str">
        <x:v>Düşük</x:v>
      </x:c>
      <x:c r="P319" s="19" t="n">
        <x:v>46245</x:v>
      </x:c>
      <x:c r="Q319" s="20" t="str">
        <x:v>https://chocoffeeroastery.com/tr/colombia-eduardo-armero-martinez-la-argentina</x:v>
      </x:c>
      <x:c r="R319" s="20" t="str">
        <x:v>Ürün kimliği korundu; eksik alanlar erişilemedi olarak işaretlenecek.</x:v>
      </x:c>
    </x:row>
    <x:row r="320" ht="40" customHeight="1">
      <x:c r="A320" s="16" t="str">
        <x:v>Cho Coffee Roastery</x:v>
      </x:c>
      <x:c r="B320" s="16" t="str">
        <x:v>İstanbul</x:v>
      </x:c>
      <x:c r="C320" s="16" t="str">
        <x:v>Kısmi doğrulama</x:v>
      </x:c>
      <x:c r="D320" s="16" t="str">
        <x:v>Ürün kaydı</x:v>
      </x:c>
      <x:c r="E320" s="16" t="str">
        <x:v>COLOMBIA NASA WEX</x:v>
      </x:c>
      <x:c r="F320" s="16" t="str">
        <x:v>Kolombiya</x:v>
      </x:c>
      <x:c r="G320" s="17" t="str">
        <x:v>Erişilemedi</x:v>
      </x:c>
      <x:c r="H320" s="16" t="str">
        <x:v>Erişilemedi</x:v>
      </x:c>
      <x:c r="I320" s="18" t="n">
        <x:v>350</x:v>
      </x:c>
      <x:c r="J320" s="18" t="str">
        <x:v>Erişildi</x:v>
      </x:c>
      <x:c r="K320" s="18" t="str">
        <x:f>IF(AND(ISNUMBER(G320),ISNUMBER(I320)),I320/G320*1000,"Erişilemedi")</x:f>
        <x:v>Erişilemedi</x:v>
      </x:c>
      <x:c r="L320" s="16" t="str">
        <x:v>Belirsiz</x:v>
      </x:c>
      <x:c r="M320" s="16" t="str">
        <x:v>Kahve ürünü</x:v>
      </x:c>
      <x:c r="N320" s="16" t="str">
        <x:v>Site haritası ürün sayfası</x:v>
      </x:c>
      <x:c r="O320" s="16" t="str">
        <x:v>Düşük</x:v>
      </x:c>
      <x:c r="P320" s="19" t="n">
        <x:v>46245</x:v>
      </x:c>
      <x:c r="Q320" s="20" t="str">
        <x:v>https://chocoffeeroastery.com/tr/colombia-nasa-wex</x:v>
      </x:c>
      <x:c r="R320" s="20" t="str">
        <x:v>Ürün kimliği korundu; eksik alanlar erişilemedi olarak işaretlenecek.</x:v>
      </x:c>
    </x:row>
    <x:row r="321" ht="40" customHeight="1">
      <x:c r="A321" s="16" t="str">
        <x:v>Cho Coffee Roastery</x:v>
      </x:c>
      <x:c r="B321" s="16" t="str">
        <x:v>İstanbul</x:v>
      </x:c>
      <x:c r="C321" s="16" t="str">
        <x:v>Kısmi doğrulama</x:v>
      </x:c>
      <x:c r="D321" s="16" t="str">
        <x:v>Ürün kaydı</x:v>
      </x:c>
      <x:c r="E321" s="16" t="str">
        <x:v>COLOMBIA RISARALDA CATIOPE NITRO WASHED</x:v>
      </x:c>
      <x:c r="F321" s="16" t="str">
        <x:v>Kolombiya</x:v>
      </x:c>
      <x:c r="G321" s="17" t="str">
        <x:v>Erişilemedi</x:v>
      </x:c>
      <x:c r="H321" s="16" t="str">
        <x:v>Erişilemedi</x:v>
      </x:c>
      <x:c r="I321" s="18" t="n">
        <x:v>450</x:v>
      </x:c>
      <x:c r="J321" s="18" t="str">
        <x:v>Erişildi</x:v>
      </x:c>
      <x:c r="K321" s="18" t="str">
        <x:f>IF(AND(ISNUMBER(G321),ISNUMBER(I321)),I321/G321*1000,"Erişilemedi")</x:f>
        <x:v>Erişilemedi</x:v>
      </x:c>
      <x:c r="L321" s="16" t="str">
        <x:v>Belirsiz</x:v>
      </x:c>
      <x:c r="M321" s="16" t="str">
        <x:v>Kahve ürünü</x:v>
      </x:c>
      <x:c r="N321" s="16" t="str">
        <x:v>Site haritası ürün sayfası</x:v>
      </x:c>
      <x:c r="O321" s="16" t="str">
        <x:v>Düşük</x:v>
      </x:c>
      <x:c r="P321" s="19" t="n">
        <x:v>46245</x:v>
      </x:c>
      <x:c r="Q321" s="20" t="str">
        <x:v>https://chocoffeeroastery.com/tr/colombia-riasaralda-catiope-nitro-washed-by-julio-cesar-madrid</x:v>
      </x:c>
      <x:c r="R321" s="20" t="str">
        <x:v>Ürün kimliği korundu; eksik alanlar erişilemedi olarak işaretlenecek.</x:v>
      </x:c>
    </x:row>
    <x:row r="322" ht="40" customHeight="1">
      <x:c r="A322" s="16" t="str">
        <x:v>Cho Coffee Roastery</x:v>
      </x:c>
      <x:c r="B322" s="16" t="str">
        <x:v>İstanbul</x:v>
      </x:c>
      <x:c r="C322" s="16" t="str">
        <x:v>Kısmi doğrulama</x:v>
      </x:c>
      <x:c r="D322" s="16" t="str">
        <x:v>Ürün kaydı</x:v>
      </x:c>
      <x:c r="E322" s="16" t="str">
        <x:v>COSTA RICA EL MANGO</x:v>
      </x:c>
      <x:c r="F322" s="16" t="str">
        <x:v>Kosta Rika</x:v>
      </x:c>
      <x:c r="G322" s="17" t="str">
        <x:v>Erişilemedi</x:v>
      </x:c>
      <x:c r="H322" s="16" t="str">
        <x:v>Erişilemedi</x:v>
      </x:c>
      <x:c r="I322" s="18" t="n">
        <x:v>350</x:v>
      </x:c>
      <x:c r="J322" s="18" t="str">
        <x:v>Erişildi</x:v>
      </x:c>
      <x:c r="K322" s="18" t="str">
        <x:f>IF(AND(ISNUMBER(G322),ISNUMBER(I322)),I322/G322*1000,"Erişilemedi")</x:f>
        <x:v>Erişilemedi</x:v>
      </x:c>
      <x:c r="L322" s="16" t="str">
        <x:v>Belirsiz</x:v>
      </x:c>
      <x:c r="M322" s="16" t="str">
        <x:v>Kahve ürünü</x:v>
      </x:c>
      <x:c r="N322" s="16" t="str">
        <x:v>Site haritası ürün sayfası</x:v>
      </x:c>
      <x:c r="O322" s="16" t="str">
        <x:v>Düşük</x:v>
      </x:c>
      <x:c r="P322" s="19" t="n">
        <x:v>46245</x:v>
      </x:c>
      <x:c r="Q322" s="20" t="str">
        <x:v>https://chocoffeeroastery.com/tr/costa-rica-el-mango</x:v>
      </x:c>
      <x:c r="R322" s="20" t="str">
        <x:v>Ürün kimliği korundu; eksik alanlar erişilemedi olarak işaretlenecek.</x:v>
      </x:c>
    </x:row>
    <x:row r="323" ht="40" customHeight="1">
      <x:c r="A323" s="16" t="str">
        <x:v>Cho Coffee Roastery</x:v>
      </x:c>
      <x:c r="B323" s="16" t="str">
        <x:v>İstanbul</x:v>
      </x:c>
      <x:c r="C323" s="16" t="str">
        <x:v>Kısmi doğrulama</x:v>
      </x:c>
      <x:c r="D323" s="16" t="str">
        <x:v>Ürün kaydı</x:v>
      </x:c>
      <x:c r="E323" s="16" t="str">
        <x:v>COSTA RICA LAS TORRES / REGULO URENA ISABEL ROJAS</x:v>
      </x:c>
      <x:c r="F323" s="16" t="str">
        <x:v>Kosta Rika</x:v>
      </x:c>
      <x:c r="G323" s="17" t="str">
        <x:v>Erişilemedi</x:v>
      </x:c>
      <x:c r="H323" s="16" t="str">
        <x:v>Erişilemedi</x:v>
      </x:c>
      <x:c r="I323" s="18" t="n">
        <x:v>480</x:v>
      </x:c>
      <x:c r="J323" s="18" t="str">
        <x:v>Erişildi</x:v>
      </x:c>
      <x:c r="K323" s="18" t="str">
        <x:f>IF(AND(ISNUMBER(G323),ISNUMBER(I323)),I323/G323*1000,"Erişilemedi")</x:f>
        <x:v>Erişilemedi</x:v>
      </x:c>
      <x:c r="L323" s="16" t="str">
        <x:v>Belirsiz</x:v>
      </x:c>
      <x:c r="M323" s="16" t="str">
        <x:v>Kahve ürünü</x:v>
      </x:c>
      <x:c r="N323" s="16" t="str">
        <x:v>Site haritası ürün sayfası</x:v>
      </x:c>
      <x:c r="O323" s="16" t="str">
        <x:v>Düşük</x:v>
      </x:c>
      <x:c r="P323" s="19" t="n">
        <x:v>46245</x:v>
      </x:c>
      <x:c r="Q323" s="20" t="str">
        <x:v>https://chocoffeeroastery.com/tr/costa-rica-las-torres</x:v>
      </x:c>
      <x:c r="R323" s="20" t="str">
        <x:v>Ürün kimliği korundu; eksik alanlar erişilemedi olarak işaretlenecek.</x:v>
      </x:c>
    </x:row>
    <x:row r="324" ht="40" customHeight="1">
      <x:c r="A324" s="16" t="str">
        <x:v>Cho Coffee Roastery</x:v>
      </x:c>
      <x:c r="B324" s="16" t="str">
        <x:v>İstanbul</x:v>
      </x:c>
      <x:c r="C324" s="16" t="str">
        <x:v>Kısmi doğrulama</x:v>
      </x:c>
      <x:c r="D324" s="16" t="str">
        <x:v>Ürün kaydı</x:v>
      </x:c>
      <x:c r="E324" s="16" t="str">
        <x:v>EL SALVADOR CHIQUIHUAT</x:v>
      </x:c>
      <x:c r="F324" s="16" t="str">
        <x:v>El Salvador</x:v>
      </x:c>
      <x:c r="G324" s="17" t="str">
        <x:v>Erişilemedi</x:v>
      </x:c>
      <x:c r="H324" s="16" t="str">
        <x:v>Erişilemedi</x:v>
      </x:c>
      <x:c r="I324" s="18" t="n">
        <x:v>200</x:v>
      </x:c>
      <x:c r="J324" s="18" t="str">
        <x:v>Erişildi</x:v>
      </x:c>
      <x:c r="K324" s="18" t="str">
        <x:f>IF(AND(ISNUMBER(G324),ISNUMBER(I324)),I324/G324*1000,"Erişilemedi")</x:f>
        <x:v>Erişilemedi</x:v>
      </x:c>
      <x:c r="L324" s="16" t="str">
        <x:v>Belirsiz</x:v>
      </x:c>
      <x:c r="M324" s="16" t="str">
        <x:v>Kahve ürünü</x:v>
      </x:c>
      <x:c r="N324" s="16" t="str">
        <x:v>Site haritası ürün sayfası</x:v>
      </x:c>
      <x:c r="O324" s="16" t="str">
        <x:v>Düşük</x:v>
      </x:c>
      <x:c r="P324" s="19" t="n">
        <x:v>46245</x:v>
      </x:c>
      <x:c r="Q324" s="20" t="str">
        <x:v>https://chocoffeeroastery.com/tr/el-salvador-chiquihuat-2</x:v>
      </x:c>
      <x:c r="R324" s="20" t="str">
        <x:v>Ürün kimliği korundu; eksik alanlar erişilemedi olarak işaretlenecek.</x:v>
      </x:c>
    </x:row>
    <x:row r="325" ht="40" customHeight="1">
      <x:c r="A325" s="16" t="str">
        <x:v>Cho Coffee Roastery</x:v>
      </x:c>
      <x:c r="B325" s="16" t="str">
        <x:v>İstanbul</x:v>
      </x:c>
      <x:c r="C325" s="16" t="str">
        <x:v>Kısmi doğrulama</x:v>
      </x:c>
      <x:c r="D325" s="16" t="str">
        <x:v>Ürün kaydı</x:v>
      </x:c>
      <x:c r="E325" s="16" t="str">
        <x:v>EL SALVADOR FINCA GABRIELLA FAMILIA ALVAREZ</x:v>
      </x:c>
      <x:c r="F325" s="16" t="str">
        <x:v>El Salvador</x:v>
      </x:c>
      <x:c r="G325" s="17" t="str">
        <x:v>Erişilemedi</x:v>
      </x:c>
      <x:c r="H325" s="16" t="str">
        <x:v>Erişilemedi</x:v>
      </x:c>
      <x:c r="I325" s="18" t="n">
        <x:v>4</x:v>
      </x:c>
      <x:c r="J325" s="18" t="str">
        <x:v>Erişildi</x:v>
      </x:c>
      <x:c r="K325" s="18" t="str">
        <x:f>IF(AND(ISNUMBER(G325),ISNUMBER(I325)),I325/G325*1000,"Erişilemedi")</x:f>
        <x:v>Erişilemedi</x:v>
      </x:c>
      <x:c r="L325" s="16" t="str">
        <x:v>Belirsiz</x:v>
      </x:c>
      <x:c r="M325" s="16" t="str">
        <x:v>Kahve ürünü</x:v>
      </x:c>
      <x:c r="N325" s="16" t="str">
        <x:v>Site haritası ürün sayfası</x:v>
      </x:c>
      <x:c r="O325" s="16" t="str">
        <x:v>Düşük</x:v>
      </x:c>
      <x:c r="P325" s="19" t="n">
        <x:v>46245</x:v>
      </x:c>
      <x:c r="Q325" s="20" t="str">
        <x:v>https://chocoffeeroastery.com/tr/el-salvador-finca-gabriella-familia-alvarez</x:v>
      </x:c>
      <x:c r="R325" s="20" t="str">
        <x:v>Ürün kimliği korundu; eksik alanlar erişilemedi olarak işaretlenecek.</x:v>
      </x:c>
    </x:row>
    <x:row r="326" ht="40" customHeight="1">
      <x:c r="A326" s="16" t="str">
        <x:v>Cho Coffee Roastery</x:v>
      </x:c>
      <x:c r="B326" s="16" t="str">
        <x:v>İstanbul</x:v>
      </x:c>
      <x:c r="C326" s="16" t="str">
        <x:v>Kısmi doğrulama</x:v>
      </x:c>
      <x:c r="D326" s="16" t="str">
        <x:v>Ürün kaydı</x:v>
      </x:c>
      <x:c r="E326" s="16" t="str">
        <x:v>EL SALVADOR LA CARRERA</x:v>
      </x:c>
      <x:c r="F326" s="16" t="str">
        <x:v>El Salvador</x:v>
      </x:c>
      <x:c r="G326" s="17" t="str">
        <x:v>Erişilemedi</x:v>
      </x:c>
      <x:c r="H326" s="16" t="str">
        <x:v>Erişilemedi</x:v>
      </x:c>
      <x:c r="I326" s="18" t="n">
        <x:v>120</x:v>
      </x:c>
      <x:c r="J326" s="18" t="str">
        <x:v>Erişildi</x:v>
      </x:c>
      <x:c r="K326" s="18" t="str">
        <x:f>IF(AND(ISNUMBER(G326),ISNUMBER(I326)),I326/G326*1000,"Erişilemedi")</x:f>
        <x:v>Erişilemedi</x:v>
      </x:c>
      <x:c r="L326" s="16" t="str">
        <x:v>Belirsiz</x:v>
      </x:c>
      <x:c r="M326" s="16" t="str">
        <x:v>Kahve ürünü</x:v>
      </x:c>
      <x:c r="N326" s="16" t="str">
        <x:v>Site haritası ürün sayfası</x:v>
      </x:c>
      <x:c r="O326" s="16" t="str">
        <x:v>Düşük</x:v>
      </x:c>
      <x:c r="P326" s="19" t="n">
        <x:v>46245</x:v>
      </x:c>
      <x:c r="Q326" s="20" t="str">
        <x:v>https://chocoffeeroastery.com/tr/el-salvador-chiquihuat</x:v>
      </x:c>
      <x:c r="R326" s="20" t="str">
        <x:v>Ürün kimliği korundu; eksik alanlar erişilemedi olarak işaretlenecek.</x:v>
      </x:c>
    </x:row>
    <x:row r="327" ht="40" customHeight="1">
      <x:c r="A327" s="16" t="str">
        <x:v>Cho Coffee Roastery</x:v>
      </x:c>
      <x:c r="B327" s="16" t="str">
        <x:v>İstanbul</x:v>
      </x:c>
      <x:c r="C327" s="16" t="str">
        <x:v>Kısmi doğrulama</x:v>
      </x:c>
      <x:c r="D327" s="16" t="str">
        <x:v>Ürün kaydı</x:v>
      </x:c>
      <x:c r="E327" s="16" t="str">
        <x:v>ETHIOPIA LALESA RED HONEY</x:v>
      </x:c>
      <x:c r="F327" s="16" t="str">
        <x:v>Etiyopya</x:v>
      </x:c>
      <x:c r="G327" s="17" t="str">
        <x:v>Erişilemedi</x:v>
      </x:c>
      <x:c r="H327" s="16" t="str">
        <x:v>Erişilemedi</x:v>
      </x:c>
      <x:c r="I327" s="18" t="n">
        <x:v>500</x:v>
      </x:c>
      <x:c r="J327" s="18" t="str">
        <x:v>Erişildi</x:v>
      </x:c>
      <x:c r="K327" s="18" t="str">
        <x:f>IF(AND(ISNUMBER(G327),ISNUMBER(I327)),I327/G327*1000,"Erişilemedi")</x:f>
        <x:v>Erişilemedi</x:v>
      </x:c>
      <x:c r="L327" s="16" t="str">
        <x:v>Belirsiz</x:v>
      </x:c>
      <x:c r="M327" s="16" t="str">
        <x:v>Kahve ürünü</x:v>
      </x:c>
      <x:c r="N327" s="16" t="str">
        <x:v>Site haritası ürün sayfası</x:v>
      </x:c>
      <x:c r="O327" s="16" t="str">
        <x:v>Düşük</x:v>
      </x:c>
      <x:c r="P327" s="19" t="n">
        <x:v>46245</x:v>
      </x:c>
      <x:c r="Q327" s="20" t="str">
        <x:v>https://chocoffeeroastery.com/tr/lalesa-red-honey</x:v>
      </x:c>
      <x:c r="R327" s="20" t="str">
        <x:v>Ürün kimliği korundu; eksik alanlar erişilemedi olarak işaretlenecek.</x:v>
      </x:c>
    </x:row>
    <x:row r="328" ht="40" customHeight="1">
      <x:c r="A328" s="16" t="str">
        <x:v>Cho Coffee Roastery</x:v>
      </x:c>
      <x:c r="B328" s="16" t="str">
        <x:v>İstanbul</x:v>
      </x:c>
      <x:c r="C328" s="16" t="str">
        <x:v>Kısmi doğrulama</x:v>
      </x:c>
      <x:c r="D328" s="16" t="str">
        <x:v>Ürün kaydı</x:v>
      </x:c>
      <x:c r="E328" s="16" t="str">
        <x:v>ETHIOPIA SIDAMA BENSA LOGITA AVOCADO</x:v>
      </x:c>
      <x:c r="F328" s="16" t="str">
        <x:v>Etiyopya</x:v>
      </x:c>
      <x:c r="G328" s="17" t="str">
        <x:v>Erişilemedi</x:v>
      </x:c>
      <x:c r="H328" s="16" t="str">
        <x:v>Erişilemedi</x:v>
      </x:c>
      <x:c r="I328" s="18" t="n">
        <x:v>600</x:v>
      </x:c>
      <x:c r="J328" s="18" t="str">
        <x:v>Erişildi</x:v>
      </x:c>
      <x:c r="K328" s="18" t="str">
        <x:f>IF(AND(ISNUMBER(G328),ISNUMBER(I328)),I328/G328*1000,"Erişilemedi")</x:f>
        <x:v>Erişilemedi</x:v>
      </x:c>
      <x:c r="L328" s="16" t="str">
        <x:v>Belirsiz</x:v>
      </x:c>
      <x:c r="M328" s="16" t="str">
        <x:v>Kahve ürünü</x:v>
      </x:c>
      <x:c r="N328" s="16" t="str">
        <x:v>Site haritası ürün sayfası</x:v>
      </x:c>
      <x:c r="O328" s="16" t="str">
        <x:v>Düşük</x:v>
      </x:c>
      <x:c r="P328" s="19" t="n">
        <x:v>46245</x:v>
      </x:c>
      <x:c r="Q328" s="20" t="str">
        <x:v>https://chocoffeeroastery.com/tr/ethiopia-sidama-bensa-logita-avocado</x:v>
      </x:c>
      <x:c r="R328" s="20" t="str">
        <x:v>Ürün kimliği korundu; eksik alanlar erişilemedi olarak işaretlenecek.</x:v>
      </x:c>
    </x:row>
    <x:row r="329" ht="40" customHeight="1">
      <x:c r="A329" s="16" t="str">
        <x:v>Cho Coffee Roastery</x:v>
      </x:c>
      <x:c r="B329" s="16" t="str">
        <x:v>İstanbul</x:v>
      </x:c>
      <x:c r="C329" s="16" t="str">
        <x:v>Kısmi doğrulama</x:v>
      </x:c>
      <x:c r="D329" s="16" t="str">
        <x:v>Ürün kaydı</x:v>
      </x:c>
      <x:c r="E329" s="16" t="str">
        <x:v>JAIRO ARCILA SANTA MONICA / WINE YEAST PASSION FRUIT COLOMBIA</x:v>
      </x:c>
      <x:c r="F329" s="16" t="str">
        <x:v>Kolombiya</x:v>
      </x:c>
      <x:c r="G329" s="17" t="str">
        <x:v>Erişilemedi</x:v>
      </x:c>
      <x:c r="H329" s="16" t="str">
        <x:v>Erişilemedi</x:v>
      </x:c>
      <x:c r="I329" s="18" t="n">
        <x:v>500</x:v>
      </x:c>
      <x:c r="J329" s="18" t="str">
        <x:v>Erişildi</x:v>
      </x:c>
      <x:c r="K329" s="18" t="str">
        <x:f>IF(AND(ISNUMBER(G329),ISNUMBER(I329)),I329/G329*1000,"Erişilemedi")</x:f>
        <x:v>Erişilemedi</x:v>
      </x:c>
      <x:c r="L329" s="16" t="str">
        <x:v>Belirsiz</x:v>
      </x:c>
      <x:c r="M329" s="16" t="str">
        <x:v>Kahve ürünü</x:v>
      </x:c>
      <x:c r="N329" s="16" t="str">
        <x:v>Site haritası ürün sayfası</x:v>
      </x:c>
      <x:c r="O329" s="16" t="str">
        <x:v>Düşük</x:v>
      </x:c>
      <x:c r="P329" s="19" t="n">
        <x:v>46245</x:v>
      </x:c>
      <x:c r="Q329" s="20" t="str">
        <x:v>https://chocoffeeroastery.com/tr/jairo-arcila-santa-monica-wine-yeast-red-fruits-colombia</x:v>
      </x:c>
      <x:c r="R329" s="20" t="str">
        <x:v>Ürün kimliği korundu; eksik alanlar erişilemedi olarak işaretlenecek.</x:v>
      </x:c>
    </x:row>
    <x:row r="330" ht="40" customHeight="1">
      <x:c r="A330" s="16" t="str">
        <x:v>Cho Coffee Roastery</x:v>
      </x:c>
      <x:c r="B330" s="16" t="str">
        <x:v>İstanbul</x:v>
      </x:c>
      <x:c r="C330" s="16" t="str">
        <x:v>Kısmi doğrulama</x:v>
      </x:c>
      <x:c r="D330" s="16" t="str">
        <x:v>Ürün kaydı</x:v>
      </x:c>
      <x:c r="E330" s="16" t="str">
        <x:v>SELVA CENTRAL PERU ALPACA</x:v>
      </x:c>
      <x:c r="F330" s="16" t="str">
        <x:v>Peru</x:v>
      </x:c>
      <x:c r="G330" s="17" t="str">
        <x:v>Erişilemedi</x:v>
      </x:c>
      <x:c r="H330" s="16" t="str">
        <x:v>Erişilemedi</x:v>
      </x:c>
      <x:c r="I330" s="18" t="n">
        <x:v>300</x:v>
      </x:c>
      <x:c r="J330" s="18" t="str">
        <x:v>Erişildi</x:v>
      </x:c>
      <x:c r="K330" s="18" t="str">
        <x:f>IF(AND(ISNUMBER(G330),ISNUMBER(I330)),I330/G330*1000,"Erişilemedi")</x:f>
        <x:v>Erişilemedi</x:v>
      </x:c>
      <x:c r="L330" s="16" t="str">
        <x:v>Belirsiz</x:v>
      </x:c>
      <x:c r="M330" s="16" t="str">
        <x:v>Kahve ürünü</x:v>
      </x:c>
      <x:c r="N330" s="16" t="str">
        <x:v>Site haritası ürün sayfası</x:v>
      </x:c>
      <x:c r="O330" s="16" t="str">
        <x:v>Düşük</x:v>
      </x:c>
      <x:c r="P330" s="19" t="n">
        <x:v>46245</x:v>
      </x:c>
      <x:c r="Q330" s="20" t="str">
        <x:v>https://chocoffeeroastery.com/tr/selva-central-peru-alpaca</x:v>
      </x:c>
      <x:c r="R330" s="20" t="str">
        <x:v>Ürün kimliği korundu; eksik alanlar erişilemedi olarak işaretlenecek.</x:v>
      </x:c>
    </x:row>
    <x:row r="331" ht="40" customHeight="1">
      <x:c r="A331" s="16" t="str">
        <x:v>Clean Cup Coffee</x:v>
      </x:c>
      <x:c r="B331" s="16" t="str">
        <x:v>İstanbul</x:v>
      </x:c>
      <x:c r="C331" s="16" t="str">
        <x:v>Kısmi doğrulama</x:v>
      </x:c>
      <x:c r="D331" s="16" t="str">
        <x:v>Katalog takip kaydı</x:v>
      </x:c>
      <x:c r="E331" s="16" t="str">
        <x:v>Ürün kataloğu — ayrıntılı ürün verisine erişilemedi</x:v>
      </x:c>
      <x:c r="F331" s="16" t="str">
        <x:v>Erişilemedi</x:v>
      </x:c>
      <x:c r="G331" s="17" t="str">
        <x:v>Erişilemedi</x:v>
      </x:c>
      <x:c r="H331" s="16" t="str">
        <x:v>Erişilemedi</x:v>
      </x:c>
      <x:c r="I331" s="18" t="str">
        <x:v>Erişilemedi</x:v>
      </x:c>
      <x:c r="J331" s="18" t="str">
        <x:v>Erişilemedi</x:v>
      </x:c>
      <x:c r="K331" s="18" t="str">
        <x:f>IF(AND(ISNUMBER(G331),ISNUMBER(I331)),I331/G331*1000,"Erişilemedi")</x:f>
        <x:v>Erişilemedi</x:v>
      </x:c>
      <x:c r="L331" s="16" t="str">
        <x:v>Erişilemedi</x:v>
      </x:c>
      <x:c r="M331" s="16" t="str">
        <x:v>Katalog/takip kaydı</x:v>
      </x:c>
      <x:c r="N331" s="16" t="str">
        <x:v>Instagram veya mevcut kaynak</x:v>
      </x:c>
      <x:c r="O331" s="16" t="str">
        <x:v>Takip gerekli</x:v>
      </x:c>
      <x:c r="P331" s="19" t="n">
        <x:v>46245</x:v>
      </x:c>
      <x:c r="Q331" s="20" t="str">
        <x:v>Erişilemedi</x:v>
      </x:c>
      <x:c r="R331" s="20" t="str">
        <x:v>Ürün adı, gramaj ve fiyat birlikte çıkarılamadı. Bağlantı manuel inceleme için korundu.</x:v>
      </x:c>
    </x:row>
    <x:row r="332" ht="40" customHeight="1">
      <x:c r="A332" s="16" t="str">
        <x:v>Coach Coffee Company</x:v>
      </x:c>
      <x:c r="B332" s="16" t="str">
        <x:v>İstanbul</x:v>
      </x:c>
      <x:c r="C332" s="16" t="str">
        <x:v>Kısmi doğrulama</x:v>
      </x:c>
      <x:c r="D332" s="16" t="str">
        <x:v>Ürün kaydı</x:v>
      </x:c>
      <x:c r="E332" s="16" t="str">
        <x:v>3'lü Forte | Coach Nespresso® Uyumlu Kahve Kapsülü Paketi</x:v>
      </x:c>
      <x:c r="F332" s="16" t="str">
        <x:v>Menşe belirtilmemiş</x:v>
      </x:c>
      <x:c r="G332" s="17" t="str">
        <x:v>Erişilemedi</x:v>
      </x:c>
      <x:c r="H332" s="16" t="str">
        <x:v>Erişilemedi</x:v>
      </x:c>
      <x:c r="I332" s="18" t="n">
        <x:v>949.99</x:v>
      </x:c>
      <x:c r="J332" s="18" t="str">
        <x:v>Erişildi</x:v>
      </x:c>
      <x:c r="K332" s="18" t="str">
        <x:f>IF(AND(ISNUMBER(G332),ISNUMBER(I332)),I332/G332*1000,"Erişilemedi")</x:f>
        <x:v>Erişilemedi</x:v>
      </x:c>
      <x:c r="L332" s="16" t="str">
        <x:v>Stokta</x:v>
      </x:c>
      <x:c r="M332" s="16" t="str">
        <x:v>Kahve ürünü</x:v>
      </x:c>
      <x:c r="N332" s="16" t="str">
        <x:v>Shopify ürün akışı</x:v>
      </x:c>
      <x:c r="O332" s="16" t="str">
        <x:v>Orta</x:v>
      </x:c>
      <x:c r="P332" s="19" t="n">
        <x:v>46245</x:v>
      </x:c>
      <x:c r="Q332" s="20" t="str">
        <x:v>https://coachcoffeeco.com/products/3lu-forte-coach-nespresso®-uyumlu-kahve-kapsulu-paketi</x:v>
      </x:c>
      <x:c r="R332" s="20" t="str">
        <x:v>Öğütüm seçenekleri tekilleştirildi.</x:v>
      </x:c>
    </x:row>
    <x:row r="333" ht="40" customHeight="1">
      <x:c r="A333" s="16" t="str">
        <x:v>Coach Coffee Company</x:v>
      </x:c>
      <x:c r="B333" s="16" t="str">
        <x:v>İstanbul</x:v>
      </x:c>
      <x:c r="C333" s="16" t="str">
        <x:v>Kısmi doğrulama</x:v>
      </x:c>
      <x:c r="D333" s="16" t="str">
        <x:v>Ürün kaydı</x:v>
      </x:c>
      <x:c r="E333" s="16" t="str">
        <x:v>3'lü Kapsül Paketi | Coach Nespresso® Uyumlu Deneme Paketi</x:v>
      </x:c>
      <x:c r="F333" s="16" t="str">
        <x:v>Menşe belirtilmemiş</x:v>
      </x:c>
      <x:c r="G333" s="17" t="str">
        <x:v>Erişilemedi</x:v>
      </x:c>
      <x:c r="H333" s="16" t="str">
        <x:v>Erişilemedi</x:v>
      </x:c>
      <x:c r="I333" s="18" t="n">
        <x:v>949.99</x:v>
      </x:c>
      <x:c r="J333" s="18" t="str">
        <x:v>Erişildi</x:v>
      </x:c>
      <x:c r="K333" s="18" t="str">
        <x:f>IF(AND(ISNUMBER(G333),ISNUMBER(I333)),I333/G333*1000,"Erişilemedi")</x:f>
        <x:v>Erişilemedi</x:v>
      </x:c>
      <x:c r="L333" s="16" t="str">
        <x:v>Stokta</x:v>
      </x:c>
      <x:c r="M333" s="16" t="str">
        <x:v>Kahve ürünü</x:v>
      </x:c>
      <x:c r="N333" s="16" t="str">
        <x:v>Shopify ürün akışı</x:v>
      </x:c>
      <x:c r="O333" s="16" t="str">
        <x:v>Orta</x:v>
      </x:c>
      <x:c r="P333" s="19" t="n">
        <x:v>46245</x:v>
      </x:c>
      <x:c r="Q333" s="20" t="str">
        <x:v>https://coachcoffeeco.com/products/3lu-kapsul-paketi-coach-nespresso®-uyumlu-deneme-paketi</x:v>
      </x:c>
      <x:c r="R333" s="20" t="str">
        <x:v>Öğütüm seçenekleri tekilleştirildi.</x:v>
      </x:c>
    </x:row>
    <x:row r="334" ht="40" customHeight="1">
      <x:c r="A334" s="16" t="str">
        <x:v>Coach Coffee Company</x:v>
      </x:c>
      <x:c r="B334" s="16" t="str">
        <x:v>İstanbul</x:v>
      </x:c>
      <x:c r="C334" s="16" t="str">
        <x:v>Kısmi doğrulama</x:v>
      </x:c>
      <x:c r="D334" s="16" t="str">
        <x:v>Ürün kaydı</x:v>
      </x:c>
      <x:c r="E334" s="16" t="str">
        <x:v>3'lü Lumo | Coach Nespresso® Uyumlu Kahve Kapsülü Paketi</x:v>
      </x:c>
      <x:c r="F334" s="16" t="str">
        <x:v>Harman – menşe belirtilmemiş</x:v>
      </x:c>
      <x:c r="G334" s="17" t="str">
        <x:v>Erişilemedi</x:v>
      </x:c>
      <x:c r="H334" s="16" t="str">
        <x:v>Erişilemedi</x:v>
      </x:c>
      <x:c r="I334" s="18" t="n">
        <x:v>949.99</x:v>
      </x:c>
      <x:c r="J334" s="18" t="str">
        <x:v>Erişildi</x:v>
      </x:c>
      <x:c r="K334" s="18" t="str">
        <x:f>IF(AND(ISNUMBER(G334),ISNUMBER(I334)),I334/G334*1000,"Erişilemedi")</x:f>
        <x:v>Erişilemedi</x:v>
      </x:c>
      <x:c r="L334" s="16" t="str">
        <x:v>Stokta</x:v>
      </x:c>
      <x:c r="M334" s="16" t="str">
        <x:v>Harman</x:v>
      </x:c>
      <x:c r="N334" s="16" t="str">
        <x:v>Shopify ürün akışı</x:v>
      </x:c>
      <x:c r="O334" s="16" t="str">
        <x:v>Orta</x:v>
      </x:c>
      <x:c r="P334" s="19" t="n">
        <x:v>46245</x:v>
      </x:c>
      <x:c r="Q334" s="20" t="str">
        <x:v>https://coachcoffeeco.com/products/3lu-lumo-coach-nespresso®-uyumlu-kahve-kapsulu-paketi</x:v>
      </x:c>
      <x:c r="R334" s="20" t="str">
        <x:v>Öğütüm seçenekleri tekilleştirildi.</x:v>
      </x:c>
    </x:row>
    <x:row r="335" ht="40" customHeight="1">
      <x:c r="A335" s="16" t="str">
        <x:v>Coach Coffee Company</x:v>
      </x:c>
      <x:c r="B335" s="16" t="str">
        <x:v>İstanbul</x:v>
      </x:c>
      <x:c r="C335" s="16" t="str">
        <x:v>Kısmi doğrulama</x:v>
      </x:c>
      <x:c r="D335" s="16" t="str">
        <x:v>Ürün kaydı</x:v>
      </x:c>
      <x:c r="E335" s="16" t="str">
        <x:v>3'lü Vero | Coach Nespresso® Uyumlu Kahve Kapsülü Paketi</x:v>
      </x:c>
      <x:c r="F335" s="16" t="str">
        <x:v>Menşe belirtilmemiş</x:v>
      </x:c>
      <x:c r="G335" s="17" t="str">
        <x:v>Erişilemedi</x:v>
      </x:c>
      <x:c r="H335" s="16" t="str">
        <x:v>Erişilemedi</x:v>
      </x:c>
      <x:c r="I335" s="18" t="n">
        <x:v>949.99</x:v>
      </x:c>
      <x:c r="J335" s="18" t="str">
        <x:v>Erişildi</x:v>
      </x:c>
      <x:c r="K335" s="18" t="str">
        <x:f>IF(AND(ISNUMBER(G335),ISNUMBER(I335)),I335/G335*1000,"Erişilemedi")</x:f>
        <x:v>Erişilemedi</x:v>
      </x:c>
      <x:c r="L335" s="16" t="str">
        <x:v>Stokta</x:v>
      </x:c>
      <x:c r="M335" s="16" t="str">
        <x:v>Kahve ürünü</x:v>
      </x:c>
      <x:c r="N335" s="16" t="str">
        <x:v>Shopify ürün akışı</x:v>
      </x:c>
      <x:c r="O335" s="16" t="str">
        <x:v>Orta</x:v>
      </x:c>
      <x:c r="P335" s="19" t="n">
        <x:v>46245</x:v>
      </x:c>
      <x:c r="Q335" s="20" t="str">
        <x:v>https://coachcoffeeco.com/products/3lu-vero-coach-nespresso®-uyumlu-kahve-kapsulu-paketi</x:v>
      </x:c>
      <x:c r="R335" s="20" t="str">
        <x:v>Öğütüm seçenekleri tekilleştirildi.</x:v>
      </x:c>
    </x:row>
    <x:row r="336" ht="40" customHeight="1">
      <x:c r="A336" s="16" t="str">
        <x:v>Coach Coffee Company</x:v>
      </x:c>
      <x:c r="B336" s="16" t="str">
        <x:v>İstanbul</x:v>
      </x:c>
      <x:c r="C336" s="16" t="str">
        <x:v>Kısmi doğrulama</x:v>
      </x:c>
      <x:c r="D336" s="16" t="str">
        <x:v>Ürün kaydı</x:v>
      </x:c>
      <x:c r="E336" s="16" t="str">
        <x:v>Coach Coffee Colombia Hulia – Lucero</x:v>
      </x:c>
      <x:c r="F336" s="16" t="str">
        <x:v>Kolombiya</x:v>
      </x:c>
      <x:c r="G336" s="17" t="n">
        <x:v>250</x:v>
      </x:c>
      <x:c r="H336" s="16" t="str">
        <x:v>Erişildi</x:v>
      </x:c>
      <x:c r="I336" s="18" t="n">
        <x:v>570</x:v>
      </x:c>
      <x:c r="J336" s="18" t="str">
        <x:v>Erişildi</x:v>
      </x:c>
      <x:c r="K336" s="18" t="n">
        <x:f>IF(AND(ISNUMBER(G336),ISNUMBER(I336)),I336/G336*1000,"Erişilemedi")</x:f>
        <x:v>2280</x:v>
      </x:c>
      <x:c r="L336" s="16" t="str">
        <x:v>Stokta</x:v>
      </x:c>
      <x:c r="M336" s="16" t="str">
        <x:v>Tek köken/ürün</x:v>
      </x:c>
      <x:c r="N336" s="16" t="str">
        <x:v>Shopify ürün akışı</x:v>
      </x:c>
      <x:c r="O336" s="16" t="str">
        <x:v>Yüksek</x:v>
      </x:c>
      <x:c r="P336" s="19" t="n">
        <x:v>46245</x:v>
      </x:c>
      <x:c r="Q336" s="20" t="str">
        <x:v>https://coachcoffeeco.com/products/colombia-hulia-lucero</x:v>
      </x:c>
      <x:c r="R336" s="20" t="str">
        <x:v>Öğütüm seçenekleri aynı gramaj ve fiyatta tekilleştirildi.</x:v>
      </x:c>
    </x:row>
    <x:row r="337" ht="40" customHeight="1">
      <x:c r="A337" s="16" t="str">
        <x:v>Coach Coffee Company</x:v>
      </x:c>
      <x:c r="B337" s="16" t="str">
        <x:v>İstanbul</x:v>
      </x:c>
      <x:c r="C337" s="16" t="str">
        <x:v>Kısmi doğrulama</x:v>
      </x:c>
      <x:c r="D337" s="16" t="str">
        <x:v>Ürün kaydı</x:v>
      </x:c>
      <x:c r="E337" s="16" t="str">
        <x:v>Coach Coffee Colombia Hulia – Lucero</x:v>
      </x:c>
      <x:c r="F337" s="16" t="str">
        <x:v>Kolombiya</x:v>
      </x:c>
      <x:c r="G337" s="17" t="n">
        <x:v>1000</x:v>
      </x:c>
      <x:c r="H337" s="16" t="str">
        <x:v>Erişildi</x:v>
      </x:c>
      <x:c r="I337" s="18" t="n">
        <x:v>1750</x:v>
      </x:c>
      <x:c r="J337" s="18" t="str">
        <x:v>Erişildi</x:v>
      </x:c>
      <x:c r="K337" s="18" t="n">
        <x:f>IF(AND(ISNUMBER(G337),ISNUMBER(I337)),I337/G337*1000,"Erişilemedi")</x:f>
        <x:v>1750</x:v>
      </x:c>
      <x:c r="L337" s="16" t="str">
        <x:v>Stokta</x:v>
      </x:c>
      <x:c r="M337" s="16" t="str">
        <x:v>Tek köken/ürün</x:v>
      </x:c>
      <x:c r="N337" s="16" t="str">
        <x:v>Shopify ürün akışı</x:v>
      </x:c>
      <x:c r="O337" s="16" t="str">
        <x:v>Yüksek</x:v>
      </x:c>
      <x:c r="P337" s="19" t="n">
        <x:v>46245</x:v>
      </x:c>
      <x:c r="Q337" s="20" t="str">
        <x:v>https://coachcoffeeco.com/products/colombia-hulia-lucero</x:v>
      </x:c>
      <x:c r="R337" s="20" t="str">
        <x:v>Öğütüm seçenekleri aynı gramaj ve fiyatta tekilleştirildi.</x:v>
      </x:c>
    </x:row>
    <x:row r="338" ht="40" customHeight="1">
      <x:c r="A338" s="16" t="str">
        <x:v>Coach Coffee Company</x:v>
      </x:c>
      <x:c r="B338" s="16" t="str">
        <x:v>İstanbul</x:v>
      </x:c>
      <x:c r="C338" s="16" t="str">
        <x:v>Kısmi doğrulama</x:v>
      </x:c>
      <x:c r="D338" s="16" t="str">
        <x:v>Ürün kaydı</x:v>
      </x:c>
      <x:c r="E338" s="16" t="str">
        <x:v>Coach Coffee Company Afrika Temalı Mutfak Havlusu</x:v>
      </x:c>
      <x:c r="F338" s="16" t="str">
        <x:v>Menşe belirtilmemiş</x:v>
      </x:c>
      <x:c r="G338" s="17" t="str">
        <x:v>Erişilemedi</x:v>
      </x:c>
      <x:c r="H338" s="16" t="str">
        <x:v>Erişilemedi</x:v>
      </x:c>
      <x:c r="I338" s="18" t="n">
        <x:v>300</x:v>
      </x:c>
      <x:c r="J338" s="18" t="str">
        <x:v>Erişildi</x:v>
      </x:c>
      <x:c r="K338" s="18" t="str">
        <x:f>IF(AND(ISNUMBER(G338),ISNUMBER(I338)),I338/G338*1000,"Erişilemedi")</x:f>
        <x:v>Erişilemedi</x:v>
      </x:c>
      <x:c r="L338" s="16" t="str">
        <x:v>Stokta</x:v>
      </x:c>
      <x:c r="M338" s="16" t="str">
        <x:v>Kahve ürünü</x:v>
      </x:c>
      <x:c r="N338" s="16" t="str">
        <x:v>Shopify ürün akışı</x:v>
      </x:c>
      <x:c r="O338" s="16" t="str">
        <x:v>Orta</x:v>
      </x:c>
      <x:c r="P338" s="19" t="n">
        <x:v>46245</x:v>
      </x:c>
      <x:c r="Q338" s="20" t="str">
        <x:v>https://coachcoffeeco.com/products/afrika-temali-mutfak-el-havlusu</x:v>
      </x:c>
      <x:c r="R338" s="20" t="str">
        <x:v>Öğütüm seçenekleri tekilleştirildi.</x:v>
      </x:c>
    </x:row>
    <x:row r="339" ht="40" customHeight="1">
      <x:c r="A339" s="16" t="str">
        <x:v>Coach Coffee Company</x:v>
      </x:c>
      <x:c r="B339" s="16" t="str">
        <x:v>İstanbul</x:v>
      </x:c>
      <x:c r="C339" s="16" t="str">
        <x:v>Kısmi doğrulama</x:v>
      </x:c>
      <x:c r="D339" s="16" t="str">
        <x:v>Ürün kaydı</x:v>
      </x:c>
      <x:c r="E339" s="16" t="str">
        <x:v>Coach Coffee Company Afrika Temalı Spor Havlusu</x:v>
      </x:c>
      <x:c r="F339" s="16" t="str">
        <x:v>Menşe belirtilmemiş</x:v>
      </x:c>
      <x:c r="G339" s="17" t="str">
        <x:v>Erişilemedi</x:v>
      </x:c>
      <x:c r="H339" s="16" t="str">
        <x:v>Erişilemedi</x:v>
      </x:c>
      <x:c r="I339" s="18" t="n">
        <x:v>899</x:v>
      </x:c>
      <x:c r="J339" s="18" t="str">
        <x:v>Erişildi</x:v>
      </x:c>
      <x:c r="K339" s="18" t="str">
        <x:f>IF(AND(ISNUMBER(G339),ISNUMBER(I339)),I339/G339*1000,"Erişilemedi")</x:f>
        <x:v>Erişilemedi</x:v>
      </x:c>
      <x:c r="L339" s="16" t="str">
        <x:v>Stokta</x:v>
      </x:c>
      <x:c r="M339" s="16" t="str">
        <x:v>Kahve ürünü</x:v>
      </x:c>
      <x:c r="N339" s="16" t="str">
        <x:v>Shopify ürün akışı</x:v>
      </x:c>
      <x:c r="O339" s="16" t="str">
        <x:v>Orta</x:v>
      </x:c>
      <x:c r="P339" s="19" t="n">
        <x:v>46245</x:v>
      </x:c>
      <x:c r="Q339" s="20" t="str">
        <x:v>https://coachcoffeeco.com/products/afrika-temali-plaj-havlusu</x:v>
      </x:c>
      <x:c r="R339" s="20" t="str">
        <x:v>Öğütüm seçenekleri tekilleştirildi.</x:v>
      </x:c>
    </x:row>
    <x:row r="340" ht="40" customHeight="1">
      <x:c r="A340" s="16" t="str">
        <x:v>Coach Coffee Company</x:v>
      </x:c>
      <x:c r="B340" s="16" t="str">
        <x:v>İstanbul</x:v>
      </x:c>
      <x:c r="C340" s="16" t="str">
        <x:v>Kısmi doğrulama</x:v>
      </x:c>
      <x:c r="D340" s="16" t="str">
        <x:v>Ürün kaydı</x:v>
      </x:c>
      <x:c r="E340" s="16" t="str">
        <x:v>Coach Coffee Company Güney Amerika Temalı Mutfak Havlusu</x:v>
      </x:c>
      <x:c r="F340" s="16" t="str">
        <x:v>Menşe belirtilmemiş</x:v>
      </x:c>
      <x:c r="G340" s="17" t="str">
        <x:v>Erişilemedi</x:v>
      </x:c>
      <x:c r="H340" s="16" t="str">
        <x:v>Erişilemedi</x:v>
      </x:c>
      <x:c r="I340" s="18" t="n">
        <x:v>300</x:v>
      </x:c>
      <x:c r="J340" s="18" t="str">
        <x:v>Erişildi</x:v>
      </x:c>
      <x:c r="K340" s="18" t="str">
        <x:f>IF(AND(ISNUMBER(G340),ISNUMBER(I340)),I340/G340*1000,"Erişilemedi")</x:f>
        <x:v>Erişilemedi</x:v>
      </x:c>
      <x:c r="L340" s="16" t="str">
        <x:v>Stokta</x:v>
      </x:c>
      <x:c r="M340" s="16" t="str">
        <x:v>Kahve ürünü</x:v>
      </x:c>
      <x:c r="N340" s="16" t="str">
        <x:v>Shopify ürün akışı</x:v>
      </x:c>
      <x:c r="O340" s="16" t="str">
        <x:v>Orta</x:v>
      </x:c>
      <x:c r="P340" s="19" t="n">
        <x:v>46245</x:v>
      </x:c>
      <x:c r="Q340" s="20" t="str">
        <x:v>https://coachcoffeeco.com/products/guney-amerika-temali-mutfak-el-havlusu</x:v>
      </x:c>
      <x:c r="R340" s="20" t="str">
        <x:v>Öğütüm seçenekleri tekilleştirildi.</x:v>
      </x:c>
    </x:row>
    <x:row r="341" ht="40" customHeight="1">
      <x:c r="A341" s="16" t="str">
        <x:v>Coach Coffee Company</x:v>
      </x:c>
      <x:c r="B341" s="16" t="str">
        <x:v>İstanbul</x:v>
      </x:c>
      <x:c r="C341" s="16" t="str">
        <x:v>Kısmi doğrulama</x:v>
      </x:c>
      <x:c r="D341" s="16" t="str">
        <x:v>Ürün kaydı</x:v>
      </x:c>
      <x:c r="E341" s="16" t="str">
        <x:v>Coach Coffee Company Türkiye Temalı Mutfak Havlusu</x:v>
      </x:c>
      <x:c r="F341" s="16" t="str">
        <x:v>Menşe belirtilmemiş</x:v>
      </x:c>
      <x:c r="G341" s="17" t="str">
        <x:v>Erişilemedi</x:v>
      </x:c>
      <x:c r="H341" s="16" t="str">
        <x:v>Erişilemedi</x:v>
      </x:c>
      <x:c r="I341" s="18" t="n">
        <x:v>300</x:v>
      </x:c>
      <x:c r="J341" s="18" t="str">
        <x:v>Erişildi</x:v>
      </x:c>
      <x:c r="K341" s="18" t="str">
        <x:f>IF(AND(ISNUMBER(G341),ISNUMBER(I341)),I341/G341*1000,"Erişilemedi")</x:f>
        <x:v>Erişilemedi</x:v>
      </x:c>
      <x:c r="L341" s="16" t="str">
        <x:v>Stokta</x:v>
      </x:c>
      <x:c r="M341" s="16" t="str">
        <x:v>Türk kahvesi</x:v>
      </x:c>
      <x:c r="N341" s="16" t="str">
        <x:v>Shopify ürün akışı</x:v>
      </x:c>
      <x:c r="O341" s="16" t="str">
        <x:v>Orta</x:v>
      </x:c>
      <x:c r="P341" s="19" t="n">
        <x:v>46245</x:v>
      </x:c>
      <x:c r="Q341" s="20" t="str">
        <x:v>https://coachcoffeeco.com/products/turkiye-temali-mutfak-el-havlusu</x:v>
      </x:c>
      <x:c r="R341" s="20" t="str">
        <x:v>Öğütüm seçenekleri tekilleştirildi.</x:v>
      </x:c>
    </x:row>
    <x:row r="342" ht="40" customHeight="1">
      <x:c r="A342" s="16" t="str">
        <x:v>Coach Coffee Company</x:v>
      </x:c>
      <x:c r="B342" s="16" t="str">
        <x:v>İstanbul</x:v>
      </x:c>
      <x:c r="C342" s="16" t="str">
        <x:v>Kısmi doğrulama</x:v>
      </x:c>
      <x:c r="D342" s="16" t="str">
        <x:v>Ürün kaydı</x:v>
      </x:c>
      <x:c r="E342" s="16" t="str">
        <x:v>Coach Coffee Company Türkiye Temalı Spor Havlusu</x:v>
      </x:c>
      <x:c r="F342" s="16" t="str">
        <x:v>Menşe belirtilmemiş</x:v>
      </x:c>
      <x:c r="G342" s="17" t="str">
        <x:v>Erişilemedi</x:v>
      </x:c>
      <x:c r="H342" s="16" t="str">
        <x:v>Erişilemedi</x:v>
      </x:c>
      <x:c r="I342" s="18" t="n">
        <x:v>899</x:v>
      </x:c>
      <x:c r="J342" s="18" t="str">
        <x:v>Erişildi</x:v>
      </x:c>
      <x:c r="K342" s="18" t="str">
        <x:f>IF(AND(ISNUMBER(G342),ISNUMBER(I342)),I342/G342*1000,"Erişilemedi")</x:f>
        <x:v>Erişilemedi</x:v>
      </x:c>
      <x:c r="L342" s="16" t="str">
        <x:v>Stokta</x:v>
      </x:c>
      <x:c r="M342" s="16" t="str">
        <x:v>Kahve ürünü</x:v>
      </x:c>
      <x:c r="N342" s="16" t="str">
        <x:v>Shopify ürün akışı</x:v>
      </x:c>
      <x:c r="O342" s="16" t="str">
        <x:v>Orta</x:v>
      </x:c>
      <x:c r="P342" s="19" t="n">
        <x:v>46245</x:v>
      </x:c>
      <x:c r="Q342" s="20" t="str">
        <x:v>https://coachcoffeeco.com/products/turkiye-temali-plaj-havlusu</x:v>
      </x:c>
      <x:c r="R342" s="20" t="str">
        <x:v>Öğütüm seçenekleri tekilleştirildi.</x:v>
      </x:c>
    </x:row>
    <x:row r="343" ht="40" customHeight="1">
      <x:c r="A343" s="16" t="str">
        <x:v>Coach Coffee Company</x:v>
      </x:c>
      <x:c r="B343" s="16" t="str">
        <x:v>İstanbul</x:v>
      </x:c>
      <x:c r="C343" s="16" t="str">
        <x:v>Kısmi doğrulama</x:v>
      </x:c>
      <x:c r="D343" s="16" t="str">
        <x:v>Ürün kaydı</x:v>
      </x:c>
      <x:c r="E343" s="16" t="str">
        <x:v>Coach Coffee Deneyim Seti – 3 Kahve Keşif Seti</x:v>
      </x:c>
      <x:c r="F343" s="16" t="str">
        <x:v>Etiyopya | Guatemala</x:v>
      </x:c>
      <x:c r="G343" s="17" t="str">
        <x:v>Erişilemedi</x:v>
      </x:c>
      <x:c r="H343" s="16" t="str">
        <x:v>Erişilemedi</x:v>
      </x:c>
      <x:c r="I343" s="18" t="n">
        <x:v>510</x:v>
      </x:c>
      <x:c r="J343" s="18" t="str">
        <x:v>Erişildi</x:v>
      </x:c>
      <x:c r="K343" s="18" t="str">
        <x:f>IF(AND(ISNUMBER(G343),ISNUMBER(I343)),I343/G343*1000,"Erişilemedi")</x:f>
        <x:v>Erişilemedi</x:v>
      </x:c>
      <x:c r="L343" s="16" t="str">
        <x:v>Stokta</x:v>
      </x:c>
      <x:c r="M343" s="16" t="str">
        <x:v>Harman</x:v>
      </x:c>
      <x:c r="N343" s="16" t="str">
        <x:v>Shopify ürün akışı</x:v>
      </x:c>
      <x:c r="O343" s="16" t="str">
        <x:v>Orta</x:v>
      </x:c>
      <x:c r="P343" s="19" t="n">
        <x:v>46245</x:v>
      </x:c>
      <x:c r="Q343" s="20" t="str">
        <x:v>https://coachcoffeeco.com/products/kahve-deneyim-seti</x:v>
      </x:c>
      <x:c r="R343" s="20" t="str">
        <x:v>Öğütüm seçenekleri tekilleştirildi.</x:v>
      </x:c>
    </x:row>
    <x:row r="344" ht="40" customHeight="1">
      <x:c r="A344" s="16" t="str">
        <x:v>Coach Coffee Company</x:v>
      </x:c>
      <x:c r="B344" s="16" t="str">
        <x:v>İstanbul</x:v>
      </x:c>
      <x:c r="C344" s="16" t="str">
        <x:v>Kısmi doğrulama</x:v>
      </x:c>
      <x:c r="D344" s="16" t="str">
        <x:v>Ürün kaydı</x:v>
      </x:c>
      <x:c r="E344" s="16" t="str">
        <x:v>Coach Coffee Espresso | Ace Blend</x:v>
      </x:c>
      <x:c r="F344" s="16" t="str">
        <x:v>Etiyopya | Kolombiya</x:v>
      </x:c>
      <x:c r="G344" s="17" t="n">
        <x:v>250</x:v>
      </x:c>
      <x:c r="H344" s="16" t="str">
        <x:v>Erişildi</x:v>
      </x:c>
      <x:c r="I344" s="18" t="n">
        <x:v>545</x:v>
      </x:c>
      <x:c r="J344" s="18" t="str">
        <x:v>Erişildi</x:v>
      </x:c>
      <x:c r="K344" s="18" t="n">
        <x:f>IF(AND(ISNUMBER(G344),ISNUMBER(I344)),I344/G344*1000,"Erişilemedi")</x:f>
        <x:v>2180</x:v>
      </x:c>
      <x:c r="L344" s="16" t="str">
        <x:v>Stokta</x:v>
      </x:c>
      <x:c r="M344" s="16" t="str">
        <x:v>Harman</x:v>
      </x:c>
      <x:c r="N344" s="16" t="str">
        <x:v>Shopify ürün akışı</x:v>
      </x:c>
      <x:c r="O344" s="16" t="str">
        <x:v>Yüksek</x:v>
      </x:c>
      <x:c r="P344" s="19" t="n">
        <x:v>46245</x:v>
      </x:c>
      <x:c r="Q344" s="20" t="str">
        <x:v>https://coachcoffeeco.com/products/espresso-ace-blend</x:v>
      </x:c>
      <x:c r="R344" s="20" t="str">
        <x:v>Öğütüm seçenekleri aynı gramaj ve fiyatta tekilleştirildi.</x:v>
      </x:c>
    </x:row>
    <x:row r="345" ht="40" customHeight="1">
      <x:c r="A345" s="16" t="str">
        <x:v>Coach Coffee Company</x:v>
      </x:c>
      <x:c r="B345" s="16" t="str">
        <x:v>İstanbul</x:v>
      </x:c>
      <x:c r="C345" s="16" t="str">
        <x:v>Kısmi doğrulama</x:v>
      </x:c>
      <x:c r="D345" s="16" t="str">
        <x:v>Ürün kaydı</x:v>
      </x:c>
      <x:c r="E345" s="16" t="str">
        <x:v>Coach Coffee Espresso | Ace Blend</x:v>
      </x:c>
      <x:c r="F345" s="16" t="str">
        <x:v>Etiyopya | Kolombiya</x:v>
      </x:c>
      <x:c r="G345" s="17" t="n">
        <x:v>1000</x:v>
      </x:c>
      <x:c r="H345" s="16" t="str">
        <x:v>Erişildi</x:v>
      </x:c>
      <x:c r="I345" s="18" t="n">
        <x:v>1660</x:v>
      </x:c>
      <x:c r="J345" s="18" t="str">
        <x:v>Erişildi</x:v>
      </x:c>
      <x:c r="K345" s="18" t="n">
        <x:f>IF(AND(ISNUMBER(G345),ISNUMBER(I345)),I345/G345*1000,"Erişilemedi")</x:f>
        <x:v>1660</x:v>
      </x:c>
      <x:c r="L345" s="16" t="str">
        <x:v>Stokta</x:v>
      </x:c>
      <x:c r="M345" s="16" t="str">
        <x:v>Harman</x:v>
      </x:c>
      <x:c r="N345" s="16" t="str">
        <x:v>Shopify ürün akışı</x:v>
      </x:c>
      <x:c r="O345" s="16" t="str">
        <x:v>Yüksek</x:v>
      </x:c>
      <x:c r="P345" s="19" t="n">
        <x:v>46245</x:v>
      </x:c>
      <x:c r="Q345" s="20" t="str">
        <x:v>https://coachcoffeeco.com/products/espresso-ace-blend</x:v>
      </x:c>
      <x:c r="R345" s="20" t="str">
        <x:v>Öğütüm seçenekleri aynı gramaj ve fiyatta tekilleştirildi.</x:v>
      </x:c>
    </x:row>
    <x:row r="346" ht="40" customHeight="1">
      <x:c r="A346" s="16" t="str">
        <x:v>Coach Coffee Company</x:v>
      </x:c>
      <x:c r="B346" s="16" t="str">
        <x:v>İstanbul</x:v>
      </x:c>
      <x:c r="C346" s="16" t="str">
        <x:v>Kısmi doğrulama</x:v>
      </x:c>
      <x:c r="D346" s="16" t="str">
        <x:v>Ürün kaydı</x:v>
      </x:c>
      <x:c r="E346" s="16" t="str">
        <x:v>Coach Coffee Espresso | Bench Blend</x:v>
      </x:c>
      <x:c r="F346" s="16" t="str">
        <x:v>Etiyopya | Endonezya</x:v>
      </x:c>
      <x:c r="G346" s="17" t="n">
        <x:v>250</x:v>
      </x:c>
      <x:c r="H346" s="16" t="str">
        <x:v>Erişildi</x:v>
      </x:c>
      <x:c r="I346" s="18" t="n">
        <x:v>490</x:v>
      </x:c>
      <x:c r="J346" s="18" t="str">
        <x:v>Erişildi</x:v>
      </x:c>
      <x:c r="K346" s="18" t="n">
        <x:f>IF(AND(ISNUMBER(G346),ISNUMBER(I346)),I346/G346*1000,"Erişilemedi")</x:f>
        <x:v>1960</x:v>
      </x:c>
      <x:c r="L346" s="16" t="str">
        <x:v>Stokta</x:v>
      </x:c>
      <x:c r="M346" s="16" t="str">
        <x:v>Harman</x:v>
      </x:c>
      <x:c r="N346" s="16" t="str">
        <x:v>Shopify ürün akışı</x:v>
      </x:c>
      <x:c r="O346" s="16" t="str">
        <x:v>Yüksek</x:v>
      </x:c>
      <x:c r="P346" s="19" t="n">
        <x:v>46245</x:v>
      </x:c>
      <x:c r="Q346" s="20" t="str">
        <x:v>https://coachcoffeeco.com/products/espresso-bench-blend</x:v>
      </x:c>
      <x:c r="R346" s="20" t="str">
        <x:v>Öğütüm seçenekleri aynı gramaj ve fiyatta tekilleştirildi.</x:v>
      </x:c>
    </x:row>
    <x:row r="347" ht="40" customHeight="1">
      <x:c r="A347" s="16" t="str">
        <x:v>Coach Coffee Company</x:v>
      </x:c>
      <x:c r="B347" s="16" t="str">
        <x:v>İstanbul</x:v>
      </x:c>
      <x:c r="C347" s="16" t="str">
        <x:v>Kısmi doğrulama</x:v>
      </x:c>
      <x:c r="D347" s="16" t="str">
        <x:v>Ürün kaydı</x:v>
      </x:c>
      <x:c r="E347" s="16" t="str">
        <x:v>Coach Coffee Espresso | Bench Blend</x:v>
      </x:c>
      <x:c r="F347" s="16" t="str">
        <x:v>Etiyopya | Endonezya</x:v>
      </x:c>
      <x:c r="G347" s="17" t="n">
        <x:v>1000</x:v>
      </x:c>
      <x:c r="H347" s="16" t="str">
        <x:v>Erişildi</x:v>
      </x:c>
      <x:c r="I347" s="18" t="n">
        <x:v>1540</x:v>
      </x:c>
      <x:c r="J347" s="18" t="str">
        <x:v>Erişildi</x:v>
      </x:c>
      <x:c r="K347" s="18" t="n">
        <x:f>IF(AND(ISNUMBER(G347),ISNUMBER(I347)),I347/G347*1000,"Erişilemedi")</x:f>
        <x:v>1540</x:v>
      </x:c>
      <x:c r="L347" s="16" t="str">
        <x:v>Stokta</x:v>
      </x:c>
      <x:c r="M347" s="16" t="str">
        <x:v>Harman</x:v>
      </x:c>
      <x:c r="N347" s="16" t="str">
        <x:v>Shopify ürün akışı</x:v>
      </x:c>
      <x:c r="O347" s="16" t="str">
        <x:v>Yüksek</x:v>
      </x:c>
      <x:c r="P347" s="19" t="n">
        <x:v>46245</x:v>
      </x:c>
      <x:c r="Q347" s="20" t="str">
        <x:v>https://coachcoffeeco.com/products/espresso-bench-blend</x:v>
      </x:c>
      <x:c r="R347" s="20" t="str">
        <x:v>Öğütüm seçenekleri aynı gramaj ve fiyatta tekilleştirildi.</x:v>
      </x:c>
    </x:row>
    <x:row r="348" ht="40" customHeight="1">
      <x:c r="A348" s="16" t="str">
        <x:v>Coach Coffee Company</x:v>
      </x:c>
      <x:c r="B348" s="16" t="str">
        <x:v>İstanbul</x:v>
      </x:c>
      <x:c r="C348" s="16" t="str">
        <x:v>Kısmi doğrulama</x:v>
      </x:c>
      <x:c r="D348" s="16" t="str">
        <x:v>Ürün kaydı</x:v>
      </x:c>
      <x:c r="E348" s="16" t="str">
        <x:v>Coach Coffee Espresso | Harmony Blend</x:v>
      </x:c>
      <x:c r="F348" s="16" t="str">
        <x:v>Harman – menşe belirtilmemiş</x:v>
      </x:c>
      <x:c r="G348" s="17" t="n">
        <x:v>250</x:v>
      </x:c>
      <x:c r="H348" s="16" t="str">
        <x:v>Erişildi</x:v>
      </x:c>
      <x:c r="I348" s="18" t="n">
        <x:v>495</x:v>
      </x:c>
      <x:c r="J348" s="18" t="str">
        <x:v>Erişildi</x:v>
      </x:c>
      <x:c r="K348" s="18" t="n">
        <x:f>IF(AND(ISNUMBER(G348),ISNUMBER(I348)),I348/G348*1000,"Erişilemedi")</x:f>
        <x:v>1980</x:v>
      </x:c>
      <x:c r="L348" s="16" t="str">
        <x:v>Stokta</x:v>
      </x:c>
      <x:c r="M348" s="16" t="str">
        <x:v>Harman</x:v>
      </x:c>
      <x:c r="N348" s="16" t="str">
        <x:v>Shopify ürün akışı</x:v>
      </x:c>
      <x:c r="O348" s="16" t="str">
        <x:v>Yüksek</x:v>
      </x:c>
      <x:c r="P348" s="19" t="n">
        <x:v>46245</x:v>
      </x:c>
      <x:c r="Q348" s="20" t="str">
        <x:v>https://coachcoffeeco.com/products/coach-espresso-harmony-blend</x:v>
      </x:c>
      <x:c r="R348" s="20" t="str">
        <x:v>Öğütüm seçenekleri aynı gramaj ve fiyatta tekilleştirildi.</x:v>
      </x:c>
    </x:row>
    <x:row r="349" ht="40" customHeight="1">
      <x:c r="A349" s="16" t="str">
        <x:v>Coach Coffee Company</x:v>
      </x:c>
      <x:c r="B349" s="16" t="str">
        <x:v>İstanbul</x:v>
      </x:c>
      <x:c r="C349" s="16" t="str">
        <x:v>Kısmi doğrulama</x:v>
      </x:c>
      <x:c r="D349" s="16" t="str">
        <x:v>Ürün kaydı</x:v>
      </x:c>
      <x:c r="E349" s="16" t="str">
        <x:v>Coach Coffee Espresso | Harmony Blend</x:v>
      </x:c>
      <x:c r="F349" s="16" t="str">
        <x:v>Harman – menşe belirtilmemiş</x:v>
      </x:c>
      <x:c r="G349" s="17" t="n">
        <x:v>1000</x:v>
      </x:c>
      <x:c r="H349" s="16" t="str">
        <x:v>Erişildi</x:v>
      </x:c>
      <x:c r="I349" s="18" t="n">
        <x:v>1485</x:v>
      </x:c>
      <x:c r="J349" s="18" t="str">
        <x:v>Erişildi</x:v>
      </x:c>
      <x:c r="K349" s="18" t="n">
        <x:f>IF(AND(ISNUMBER(G349),ISNUMBER(I349)),I349/G349*1000,"Erişilemedi")</x:f>
        <x:v>1485</x:v>
      </x:c>
      <x:c r="L349" s="16" t="str">
        <x:v>Stokta</x:v>
      </x:c>
      <x:c r="M349" s="16" t="str">
        <x:v>Harman</x:v>
      </x:c>
      <x:c r="N349" s="16" t="str">
        <x:v>Shopify ürün akışı</x:v>
      </x:c>
      <x:c r="O349" s="16" t="str">
        <x:v>Yüksek</x:v>
      </x:c>
      <x:c r="P349" s="19" t="n">
        <x:v>46245</x:v>
      </x:c>
      <x:c r="Q349" s="20" t="str">
        <x:v>https://coachcoffeeco.com/products/coach-espresso-harmony-blend</x:v>
      </x:c>
      <x:c r="R349" s="20" t="str">
        <x:v>Öğütüm seçenekleri aynı gramaj ve fiyatta tekilleştirildi.</x:v>
      </x:c>
    </x:row>
    <x:row r="350" ht="40" customHeight="1">
      <x:c r="A350" s="16" t="str">
        <x:v>Coach Coffee Company</x:v>
      </x:c>
      <x:c r="B350" s="16" t="str">
        <x:v>İstanbul</x:v>
      </x:c>
      <x:c r="C350" s="16" t="str">
        <x:v>Kısmi doğrulama</x:v>
      </x:c>
      <x:c r="D350" s="16" t="str">
        <x:v>Ürün kaydı</x:v>
      </x:c>
      <x:c r="E350" s="16" t="str">
        <x:v>Coach Coffee Ethiopia Yirgacheffe – Guji</x:v>
      </x:c>
      <x:c r="F350" s="16" t="str">
        <x:v>Etiyopya</x:v>
      </x:c>
      <x:c r="G350" s="17" t="n">
        <x:v>250</x:v>
      </x:c>
      <x:c r="H350" s="16" t="str">
        <x:v>Erişildi</x:v>
      </x:c>
      <x:c r="I350" s="18" t="n">
        <x:v>580</x:v>
      </x:c>
      <x:c r="J350" s="18" t="str">
        <x:v>Erişildi</x:v>
      </x:c>
      <x:c r="K350" s="18" t="n">
        <x:f>IF(AND(ISNUMBER(G350),ISNUMBER(I350)),I350/G350*1000,"Erişilemedi")</x:f>
        <x:v>2320</x:v>
      </x:c>
      <x:c r="L350" s="16" t="str">
        <x:v>Stokta</x:v>
      </x:c>
      <x:c r="M350" s="16" t="str">
        <x:v>Tek köken/ürün</x:v>
      </x:c>
      <x:c r="N350" s="16" t="str">
        <x:v>Shopify ürün akışı</x:v>
      </x:c>
      <x:c r="O350" s="16" t="str">
        <x:v>Yüksek</x:v>
      </x:c>
      <x:c r="P350" s="19" t="n">
        <x:v>46245</x:v>
      </x:c>
      <x:c r="Q350" s="20" t="str">
        <x:v>https://coachcoffeeco.com/products/ethiopia-yirgacheffe-guji</x:v>
      </x:c>
      <x:c r="R350" s="20" t="str">
        <x:v>Öğütüm seçenekleri aynı gramaj ve fiyatta tekilleştirildi.</x:v>
      </x:c>
    </x:row>
    <x:row r="351" ht="40" customHeight="1">
      <x:c r="A351" s="16" t="str">
        <x:v>Coach Coffee Company</x:v>
      </x:c>
      <x:c r="B351" s="16" t="str">
        <x:v>İstanbul</x:v>
      </x:c>
      <x:c r="C351" s="16" t="str">
        <x:v>Kısmi doğrulama</x:v>
      </x:c>
      <x:c r="D351" s="16" t="str">
        <x:v>Ürün kaydı</x:v>
      </x:c>
      <x:c r="E351" s="16" t="str">
        <x:v>Coach Coffee Ethiopia Yirgacheffe – Guji</x:v>
      </x:c>
      <x:c r="F351" s="16" t="str">
        <x:v>Etiyopya</x:v>
      </x:c>
      <x:c r="G351" s="17" t="n">
        <x:v>1000</x:v>
      </x:c>
      <x:c r="H351" s="16" t="str">
        <x:v>Erişildi</x:v>
      </x:c>
      <x:c r="I351" s="18" t="n">
        <x:v>1740</x:v>
      </x:c>
      <x:c r="J351" s="18" t="str">
        <x:v>Erişildi</x:v>
      </x:c>
      <x:c r="K351" s="18" t="n">
        <x:f>IF(AND(ISNUMBER(G351),ISNUMBER(I351)),I351/G351*1000,"Erişilemedi")</x:f>
        <x:v>1740</x:v>
      </x:c>
      <x:c r="L351" s="16" t="str">
        <x:v>Stokta</x:v>
      </x:c>
      <x:c r="M351" s="16" t="str">
        <x:v>Tek köken/ürün</x:v>
      </x:c>
      <x:c r="N351" s="16" t="str">
        <x:v>Shopify ürün akışı</x:v>
      </x:c>
      <x:c r="O351" s="16" t="str">
        <x:v>Yüksek</x:v>
      </x:c>
      <x:c r="P351" s="19" t="n">
        <x:v>46245</x:v>
      </x:c>
      <x:c r="Q351" s="20" t="str">
        <x:v>https://coachcoffeeco.com/products/ethiopia-yirgacheffe-guji</x:v>
      </x:c>
      <x:c r="R351" s="20" t="str">
        <x:v>Öğütüm seçenekleri aynı gramaj ve fiyatta tekilleştirildi.</x:v>
      </x:c>
    </x:row>
    <x:row r="352" ht="40" customHeight="1">
      <x:c r="A352" s="16" t="str">
        <x:v>Coach Coffee Company</x:v>
      </x:c>
      <x:c r="B352" s="16" t="str">
        <x:v>İstanbul</x:v>
      </x:c>
      <x:c r="C352" s="16" t="str">
        <x:v>Kısmi doğrulama</x:v>
      </x:c>
      <x:c r="D352" s="16" t="str">
        <x:v>Ürün kaydı</x:v>
      </x:c>
      <x:c r="E352" s="16" t="str">
        <x:v>Coach Coffee Filtre Kahve | Ace Blend</x:v>
      </x:c>
      <x:c r="F352" s="16" t="str">
        <x:v>Harman – menşe belirtilmemiş</x:v>
      </x:c>
      <x:c r="G352" s="17" t="n">
        <x:v>250</x:v>
      </x:c>
      <x:c r="H352" s="16" t="str">
        <x:v>Erişildi</x:v>
      </x:c>
      <x:c r="I352" s="18" t="n">
        <x:v>545</x:v>
      </x:c>
      <x:c r="J352" s="18" t="str">
        <x:v>Erişildi</x:v>
      </x:c>
      <x:c r="K352" s="18" t="n">
        <x:f>IF(AND(ISNUMBER(G352),ISNUMBER(I352)),I352/G352*1000,"Erişilemedi")</x:f>
        <x:v>2180</x:v>
      </x:c>
      <x:c r="L352" s="16" t="str">
        <x:v>Stokta</x:v>
      </x:c>
      <x:c r="M352" s="16" t="str">
        <x:v>Harman</x:v>
      </x:c>
      <x:c r="N352" s="16" t="str">
        <x:v>Shopify ürün akışı</x:v>
      </x:c>
      <x:c r="O352" s="16" t="str">
        <x:v>Yüksek</x:v>
      </x:c>
      <x:c r="P352" s="19" t="n">
        <x:v>46245</x:v>
      </x:c>
      <x:c r="Q352" s="20" t="str">
        <x:v>https://coachcoffeeco.com/products/coach-coffee-filter-ace-blend</x:v>
      </x:c>
      <x:c r="R352" s="20" t="str">
        <x:v>Öğütüm seçenekleri aynı gramaj ve fiyatta tekilleştirildi.</x:v>
      </x:c>
    </x:row>
    <x:row r="353" ht="40" customHeight="1">
      <x:c r="A353" s="16" t="str">
        <x:v>Coach Coffee Company</x:v>
      </x:c>
      <x:c r="B353" s="16" t="str">
        <x:v>İstanbul</x:v>
      </x:c>
      <x:c r="C353" s="16" t="str">
        <x:v>Kısmi doğrulama</x:v>
      </x:c>
      <x:c r="D353" s="16" t="str">
        <x:v>Ürün kaydı</x:v>
      </x:c>
      <x:c r="E353" s="16" t="str">
        <x:v>Coach Coffee Filtre Kahve | Ace Blend</x:v>
      </x:c>
      <x:c r="F353" s="16" t="str">
        <x:v>Harman – menşe belirtilmemiş</x:v>
      </x:c>
      <x:c r="G353" s="17" t="n">
        <x:v>1000</x:v>
      </x:c>
      <x:c r="H353" s="16" t="str">
        <x:v>Erişildi</x:v>
      </x:c>
      <x:c r="I353" s="18" t="n">
        <x:v>1660</x:v>
      </x:c>
      <x:c r="J353" s="18" t="str">
        <x:v>Erişildi</x:v>
      </x:c>
      <x:c r="K353" s="18" t="n">
        <x:f>IF(AND(ISNUMBER(G353),ISNUMBER(I353)),I353/G353*1000,"Erişilemedi")</x:f>
        <x:v>1660</x:v>
      </x:c>
      <x:c r="L353" s="16" t="str">
        <x:v>Stokta</x:v>
      </x:c>
      <x:c r="M353" s="16" t="str">
        <x:v>Harman</x:v>
      </x:c>
      <x:c r="N353" s="16" t="str">
        <x:v>Shopify ürün akışı</x:v>
      </x:c>
      <x:c r="O353" s="16" t="str">
        <x:v>Yüksek</x:v>
      </x:c>
      <x:c r="P353" s="19" t="n">
        <x:v>46245</x:v>
      </x:c>
      <x:c r="Q353" s="20" t="str">
        <x:v>https://coachcoffeeco.com/products/coach-coffee-filter-ace-blend</x:v>
      </x:c>
      <x:c r="R353" s="20" t="str">
        <x:v>Öğütüm seçenekleri aynı gramaj ve fiyatta tekilleştirildi.</x:v>
      </x:c>
    </x:row>
    <x:row r="354" ht="40" customHeight="1">
      <x:c r="A354" s="16" t="str">
        <x:v>Coach Coffee Company</x:v>
      </x:c>
      <x:c r="B354" s="16" t="str">
        <x:v>İstanbul</x:v>
      </x:c>
      <x:c r="C354" s="16" t="str">
        <x:v>Kısmi doğrulama</x:v>
      </x:c>
      <x:c r="D354" s="16" t="str">
        <x:v>Ürün kaydı</x:v>
      </x:c>
      <x:c r="E354" s="16" t="str">
        <x:v>Coach Coffee Filtre Kahve | Bench Blend</x:v>
      </x:c>
      <x:c r="F354" s="16" t="str">
        <x:v>Etiyopya | Endonezya</x:v>
      </x:c>
      <x:c r="G354" s="17" t="n">
        <x:v>1000</x:v>
      </x:c>
      <x:c r="H354" s="16" t="str">
        <x:v>Erişildi</x:v>
      </x:c>
      <x:c r="I354" s="18" t="n">
        <x:v>1540</x:v>
      </x:c>
      <x:c r="J354" s="18" t="str">
        <x:v>Erişildi</x:v>
      </x:c>
      <x:c r="K354" s="18" t="n">
        <x:f>IF(AND(ISNUMBER(G354),ISNUMBER(I354)),I354/G354*1000,"Erişilemedi")</x:f>
        <x:v>1540</x:v>
      </x:c>
      <x:c r="L354" s="16" t="str">
        <x:v>Stokta</x:v>
      </x:c>
      <x:c r="M354" s="16" t="str">
        <x:v>Harman</x:v>
      </x:c>
      <x:c r="N354" s="16" t="str">
        <x:v>Shopify ürün akışı</x:v>
      </x:c>
      <x:c r="O354" s="16" t="str">
        <x:v>Yüksek</x:v>
      </x:c>
      <x:c r="P354" s="19" t="n">
        <x:v>46245</x:v>
      </x:c>
      <x:c r="Q354" s="20" t="str">
        <x:v>https://coachcoffeeco.com/products/filter-bench-blend</x:v>
      </x:c>
      <x:c r="R354" s="20" t="str">
        <x:v>Öğütüm seçenekleri aynı gramaj ve fiyatta tekilleştirildi.</x:v>
      </x:c>
    </x:row>
    <x:row r="355" ht="40" customHeight="1">
      <x:c r="A355" s="16" t="str">
        <x:v>Coach Coffee Company</x:v>
      </x:c>
      <x:c r="B355" s="16" t="str">
        <x:v>İstanbul</x:v>
      </x:c>
      <x:c r="C355" s="16" t="str">
        <x:v>Kısmi doğrulama</x:v>
      </x:c>
      <x:c r="D355" s="16" t="str">
        <x:v>Ürün kaydı</x:v>
      </x:c>
      <x:c r="E355" s="16" t="str">
        <x:v>Coach Coffee Filtre Kahve | Harmony Blend</x:v>
      </x:c>
      <x:c r="F355" s="16" t="str">
        <x:v>Harman – menşe belirtilmemiş</x:v>
      </x:c>
      <x:c r="G355" s="17" t="n">
        <x:v>250</x:v>
      </x:c>
      <x:c r="H355" s="16" t="str">
        <x:v>Erişildi</x:v>
      </x:c>
      <x:c r="I355" s="18" t="n">
        <x:v>495</x:v>
      </x:c>
      <x:c r="J355" s="18" t="str">
        <x:v>Erişildi</x:v>
      </x:c>
      <x:c r="K355" s="18" t="n">
        <x:f>IF(AND(ISNUMBER(G355),ISNUMBER(I355)),I355/G355*1000,"Erişilemedi")</x:f>
        <x:v>1980</x:v>
      </x:c>
      <x:c r="L355" s="16" t="str">
        <x:v>Stokta</x:v>
      </x:c>
      <x:c r="M355" s="16" t="str">
        <x:v>Harman</x:v>
      </x:c>
      <x:c r="N355" s="16" t="str">
        <x:v>Shopify ürün akışı</x:v>
      </x:c>
      <x:c r="O355" s="16" t="str">
        <x:v>Yüksek</x:v>
      </x:c>
      <x:c r="P355" s="19" t="n">
        <x:v>46245</x:v>
      </x:c>
      <x:c r="Q355" s="20" t="str">
        <x:v>https://coachcoffeeco.com/products/harmony-blend</x:v>
      </x:c>
      <x:c r="R355" s="20" t="str">
        <x:v>Öğütüm seçenekleri aynı gramaj ve fiyatta tekilleştirildi.</x:v>
      </x:c>
    </x:row>
    <x:row r="356" ht="40" customHeight="1">
      <x:c r="A356" s="16" t="str">
        <x:v>Coach Coffee Company</x:v>
      </x:c>
      <x:c r="B356" s="16" t="str">
        <x:v>İstanbul</x:v>
      </x:c>
      <x:c r="C356" s="16" t="str">
        <x:v>Kısmi doğrulama</x:v>
      </x:c>
      <x:c r="D356" s="16" t="str">
        <x:v>Ürün kaydı</x:v>
      </x:c>
      <x:c r="E356" s="16" t="str">
        <x:v>Coach Coffee Filtre Kahve | Harmony Blend</x:v>
      </x:c>
      <x:c r="F356" s="16" t="str">
        <x:v>Harman – menşe belirtilmemiş</x:v>
      </x:c>
      <x:c r="G356" s="17" t="n">
        <x:v>1000</x:v>
      </x:c>
      <x:c r="H356" s="16" t="str">
        <x:v>Erişildi</x:v>
      </x:c>
      <x:c r="I356" s="18" t="n">
        <x:v>1485</x:v>
      </x:c>
      <x:c r="J356" s="18" t="str">
        <x:v>Erişildi</x:v>
      </x:c>
      <x:c r="K356" s="18" t="n">
        <x:f>IF(AND(ISNUMBER(G356),ISNUMBER(I356)),I356/G356*1000,"Erişilemedi")</x:f>
        <x:v>1485</x:v>
      </x:c>
      <x:c r="L356" s="16" t="str">
        <x:v>Stokta</x:v>
      </x:c>
      <x:c r="M356" s="16" t="str">
        <x:v>Harman</x:v>
      </x:c>
      <x:c r="N356" s="16" t="str">
        <x:v>Shopify ürün akışı</x:v>
      </x:c>
      <x:c r="O356" s="16" t="str">
        <x:v>Yüksek</x:v>
      </x:c>
      <x:c r="P356" s="19" t="n">
        <x:v>46245</x:v>
      </x:c>
      <x:c r="Q356" s="20" t="str">
        <x:v>https://coachcoffeeco.com/products/harmony-blend</x:v>
      </x:c>
      <x:c r="R356" s="20" t="str">
        <x:v>Öğütüm seçenekleri aynı gramaj ve fiyatta tekilleştirildi.</x:v>
      </x:c>
    </x:row>
    <x:row r="357" ht="40" customHeight="1">
      <x:c r="A357" s="16" t="str">
        <x:v>Coach Coffee Company</x:v>
      </x:c>
      <x:c r="B357" s="16" t="str">
        <x:v>İstanbul</x:v>
      </x:c>
      <x:c r="C357" s="16" t="str">
        <x:v>Kısmi doğrulama</x:v>
      </x:c>
      <x:c r="D357" s="16" t="str">
        <x:v>Ürün kaydı</x:v>
      </x:c>
      <x:c r="E357" s="16" t="str">
        <x:v>Coach Coffee Guatemala Antigua – Santa Rosa</x:v>
      </x:c>
      <x:c r="F357" s="16" t="str">
        <x:v>Guatemala</x:v>
      </x:c>
      <x:c r="G357" s="17" t="n">
        <x:v>250</x:v>
      </x:c>
      <x:c r="H357" s="16" t="str">
        <x:v>Erişildi</x:v>
      </x:c>
      <x:c r="I357" s="18" t="n">
        <x:v>575</x:v>
      </x:c>
      <x:c r="J357" s="18" t="str">
        <x:v>Erişildi</x:v>
      </x:c>
      <x:c r="K357" s="18" t="n">
        <x:f>IF(AND(ISNUMBER(G357),ISNUMBER(I357)),I357/G357*1000,"Erişilemedi")</x:f>
        <x:v>2300</x:v>
      </x:c>
      <x:c r="L357" s="16" t="str">
        <x:v>Stokta</x:v>
      </x:c>
      <x:c r="M357" s="16" t="str">
        <x:v>Tek köken/ürün</x:v>
      </x:c>
      <x:c r="N357" s="16" t="str">
        <x:v>Shopify ürün akışı</x:v>
      </x:c>
      <x:c r="O357" s="16" t="str">
        <x:v>Yüksek</x:v>
      </x:c>
      <x:c r="P357" s="19" t="n">
        <x:v>46245</x:v>
      </x:c>
      <x:c r="Q357" s="20" t="str">
        <x:v>https://coachcoffeeco.com/products/guatemala-antigua-santa-rosa</x:v>
      </x:c>
      <x:c r="R357" s="20" t="str">
        <x:v>Öğütüm seçenekleri aynı gramaj ve fiyatta tekilleştirildi.</x:v>
      </x:c>
    </x:row>
    <x:row r="358" ht="40" customHeight="1">
      <x:c r="A358" s="16" t="str">
        <x:v>Coach Coffee Company</x:v>
      </x:c>
      <x:c r="B358" s="16" t="str">
        <x:v>İstanbul</x:v>
      </x:c>
      <x:c r="C358" s="16" t="str">
        <x:v>Kısmi doğrulama</x:v>
      </x:c>
      <x:c r="D358" s="16" t="str">
        <x:v>Ürün kaydı</x:v>
      </x:c>
      <x:c r="E358" s="16" t="str">
        <x:v>Coach Coffee Guatemala Antigua – Santa Rosa</x:v>
      </x:c>
      <x:c r="F358" s="16" t="str">
        <x:v>Guatemala</x:v>
      </x:c>
      <x:c r="G358" s="17" t="n">
        <x:v>1000</x:v>
      </x:c>
      <x:c r="H358" s="16" t="str">
        <x:v>Erişildi</x:v>
      </x:c>
      <x:c r="I358" s="18" t="n">
        <x:v>1820</x:v>
      </x:c>
      <x:c r="J358" s="18" t="str">
        <x:v>Erişildi</x:v>
      </x:c>
      <x:c r="K358" s="18" t="n">
        <x:f>IF(AND(ISNUMBER(G358),ISNUMBER(I358)),I358/G358*1000,"Erişilemedi")</x:f>
        <x:v>1820</x:v>
      </x:c>
      <x:c r="L358" s="16" t="str">
        <x:v>Stokta</x:v>
      </x:c>
      <x:c r="M358" s="16" t="str">
        <x:v>Tek köken/ürün</x:v>
      </x:c>
      <x:c r="N358" s="16" t="str">
        <x:v>Shopify ürün akışı</x:v>
      </x:c>
      <x:c r="O358" s="16" t="str">
        <x:v>Yüksek</x:v>
      </x:c>
      <x:c r="P358" s="19" t="n">
        <x:v>46245</x:v>
      </x:c>
      <x:c r="Q358" s="20" t="str">
        <x:v>https://coachcoffeeco.com/products/guatemala-antigua-santa-rosa</x:v>
      </x:c>
      <x:c r="R358" s="20" t="str">
        <x:v>Öğütüm seçenekleri aynı gramaj ve fiyatta tekilleştirildi.</x:v>
      </x:c>
    </x:row>
    <x:row r="359" ht="40" customHeight="1">
      <x:c r="A359" s="16" t="str">
        <x:v>Coach Coffee Company</x:v>
      </x:c>
      <x:c r="B359" s="16" t="str">
        <x:v>İstanbul</x:v>
      </x:c>
      <x:c r="C359" s="16" t="str">
        <x:v>Kısmi doğrulama</x:v>
      </x:c>
      <x:c r="D359" s="16" t="str">
        <x:v>Ürün kaydı</x:v>
      </x:c>
      <x:c r="E359" s="16" t="str">
        <x:v>Coach Coffee Premium Türk Kahvesi | Mr. Coach</x:v>
      </x:c>
      <x:c r="F359" s="16" t="str">
        <x:v>Harman – menşe belirtilmemiş</x:v>
      </x:c>
      <x:c r="G359" s="17" t="n">
        <x:v>250</x:v>
      </x:c>
      <x:c r="H359" s="16" t="str">
        <x:v>Erişildi</x:v>
      </x:c>
      <x:c r="I359" s="18" t="n">
        <x:v>435</x:v>
      </x:c>
      <x:c r="J359" s="18" t="str">
        <x:v>Erişildi</x:v>
      </x:c>
      <x:c r="K359" s="18" t="n">
        <x:f>IF(AND(ISNUMBER(G359),ISNUMBER(I359)),I359/G359*1000,"Erişilemedi")</x:f>
        <x:v>1740</x:v>
      </x:c>
      <x:c r="L359" s="16" t="str">
        <x:v>Stokta</x:v>
      </x:c>
      <x:c r="M359" s="16" t="str">
        <x:v>Türk kahvesi</x:v>
      </x:c>
      <x:c r="N359" s="16" t="str">
        <x:v>Shopify ürün akışı</x:v>
      </x:c>
      <x:c r="O359" s="16" t="str">
        <x:v>Yüksek</x:v>
      </x:c>
      <x:c r="P359" s="19" t="n">
        <x:v>46245</x:v>
      </x:c>
      <x:c r="Q359" s="20" t="str">
        <x:v>https://coachcoffeeco.com/products/mr-coach-turkish-coffee</x:v>
      </x:c>
      <x:c r="R359" s="20" t="str">
        <x:v>Öğütüm seçenekleri aynı gramaj ve fiyatta tekilleştirildi.</x:v>
      </x:c>
    </x:row>
    <x:row r="360" ht="40" customHeight="1">
      <x:c r="A360" s="16" t="str">
        <x:v>Coach Coffee Company</x:v>
      </x:c>
      <x:c r="B360" s="16" t="str">
        <x:v>İstanbul</x:v>
      </x:c>
      <x:c r="C360" s="16" t="str">
        <x:v>Kısmi doğrulama</x:v>
      </x:c>
      <x:c r="D360" s="16" t="str">
        <x:v>Ürün kaydı</x:v>
      </x:c>
      <x:c r="E360" s="16" t="str">
        <x:v>Coach Coffee Premium Türk Kahvesi | Mr. Coach</x:v>
      </x:c>
      <x:c r="F360" s="16" t="str">
        <x:v>Harman – menşe belirtilmemiş</x:v>
      </x:c>
      <x:c r="G360" s="17" t="n">
        <x:v>1000</x:v>
      </x:c>
      <x:c r="H360" s="16" t="str">
        <x:v>Erişildi</x:v>
      </x:c>
      <x:c r="I360" s="18" t="n">
        <x:v>1360</x:v>
      </x:c>
      <x:c r="J360" s="18" t="str">
        <x:v>Erişildi</x:v>
      </x:c>
      <x:c r="K360" s="18" t="n">
        <x:f>IF(AND(ISNUMBER(G360),ISNUMBER(I360)),I360/G360*1000,"Erişilemedi")</x:f>
        <x:v>1360</x:v>
      </x:c>
      <x:c r="L360" s="16" t="str">
        <x:v>Stokta</x:v>
      </x:c>
      <x:c r="M360" s="16" t="str">
        <x:v>Türk kahvesi</x:v>
      </x:c>
      <x:c r="N360" s="16" t="str">
        <x:v>Shopify ürün akışı</x:v>
      </x:c>
      <x:c r="O360" s="16" t="str">
        <x:v>Yüksek</x:v>
      </x:c>
      <x:c r="P360" s="19" t="n">
        <x:v>46245</x:v>
      </x:c>
      <x:c r="Q360" s="20" t="str">
        <x:v>https://coachcoffeeco.com/products/mr-coach-turkish-coffee</x:v>
      </x:c>
      <x:c r="R360" s="20" t="str">
        <x:v>Öğütüm seçenekleri aynı gramaj ve fiyatta tekilleştirildi.</x:v>
      </x:c>
    </x:row>
    <x:row r="361" ht="40" customHeight="1">
      <x:c r="A361" s="16" t="str">
        <x:v>Coach Coffee Company</x:v>
      </x:c>
      <x:c r="B361" s="16" t="str">
        <x:v>İstanbul</x:v>
      </x:c>
      <x:c r="C361" s="16" t="str">
        <x:v>Kısmi doğrulama</x:v>
      </x:c>
      <x:c r="D361" s="16" t="str">
        <x:v>Ürün kaydı</x:v>
      </x:c>
      <x:c r="E361" s="16" t="str">
        <x:v>Coach Coffee Tanzanya Kilimanjaro - Moshi Washed Dark</x:v>
      </x:c>
      <x:c r="F361" s="16" t="str">
        <x:v>Tanzanya</x:v>
      </x:c>
      <x:c r="G361" s="17" t="n">
        <x:v>250</x:v>
      </x:c>
      <x:c r="H361" s="16" t="str">
        <x:v>Erişildi</x:v>
      </x:c>
      <x:c r="I361" s="18" t="n">
        <x:v>580</x:v>
      </x:c>
      <x:c r="J361" s="18" t="str">
        <x:v>Erişildi</x:v>
      </x:c>
      <x:c r="K361" s="18" t="n">
        <x:f>IF(AND(ISNUMBER(G361),ISNUMBER(I361)),I361/G361*1000,"Erişilemedi")</x:f>
        <x:v>2320</x:v>
      </x:c>
      <x:c r="L361" s="16" t="str">
        <x:v>Stokta</x:v>
      </x:c>
      <x:c r="M361" s="16" t="str">
        <x:v>Tek köken/ürün</x:v>
      </x:c>
      <x:c r="N361" s="16" t="str">
        <x:v>Shopify ürün akışı</x:v>
      </x:c>
      <x:c r="O361" s="16" t="str">
        <x:v>Yüksek</x:v>
      </x:c>
      <x:c r="P361" s="19" t="n">
        <x:v>46245</x:v>
      </x:c>
      <x:c r="Q361" s="20" t="str">
        <x:v>https://coachcoffeeco.com/products/coach-coffee-tanzanya-kilimanjaro-moshi-washed</x:v>
      </x:c>
      <x:c r="R361" s="20" t="str">
        <x:v>Öğütüm seçenekleri aynı gramaj ve fiyatta tekilleştirildi.</x:v>
      </x:c>
    </x:row>
    <x:row r="362" ht="40" customHeight="1">
      <x:c r="A362" s="16" t="str">
        <x:v>Coach Coffee Company</x:v>
      </x:c>
      <x:c r="B362" s="16" t="str">
        <x:v>İstanbul</x:v>
      </x:c>
      <x:c r="C362" s="16" t="str">
        <x:v>Kısmi doğrulama</x:v>
      </x:c>
      <x:c r="D362" s="16" t="str">
        <x:v>Ürün kaydı</x:v>
      </x:c>
      <x:c r="E362" s="16" t="str">
        <x:v>Coach Coffee Tanzanya Kilimanjaro - Moshi Washed Dark</x:v>
      </x:c>
      <x:c r="F362" s="16" t="str">
        <x:v>Tanzanya</x:v>
      </x:c>
      <x:c r="G362" s="17" t="n">
        <x:v>1000</x:v>
      </x:c>
      <x:c r="H362" s="16" t="str">
        <x:v>Erişildi</x:v>
      </x:c>
      <x:c r="I362" s="18" t="n">
        <x:v>1750</x:v>
      </x:c>
      <x:c r="J362" s="18" t="str">
        <x:v>Erişildi</x:v>
      </x:c>
      <x:c r="K362" s="18" t="n">
        <x:f>IF(AND(ISNUMBER(G362),ISNUMBER(I362)),I362/G362*1000,"Erişilemedi")</x:f>
        <x:v>1750</x:v>
      </x:c>
      <x:c r="L362" s="16" t="str">
        <x:v>Stokta</x:v>
      </x:c>
      <x:c r="M362" s="16" t="str">
        <x:v>Tek köken/ürün</x:v>
      </x:c>
      <x:c r="N362" s="16" t="str">
        <x:v>Shopify ürün akışı</x:v>
      </x:c>
      <x:c r="O362" s="16" t="str">
        <x:v>Yüksek</x:v>
      </x:c>
      <x:c r="P362" s="19" t="n">
        <x:v>46245</x:v>
      </x:c>
      <x:c r="Q362" s="20" t="str">
        <x:v>https://coachcoffeeco.com/products/coach-coffee-tanzanya-kilimanjaro-moshi-washed</x:v>
      </x:c>
      <x:c r="R362" s="20" t="str">
        <x:v>Öğütüm seçenekleri aynı gramaj ve fiyatta tekilleştirildi.</x:v>
      </x:c>
    </x:row>
    <x:row r="363" ht="40" customHeight="1">
      <x:c r="A363" s="16" t="str">
        <x:v>Coach Coffee Company</x:v>
      </x:c>
      <x:c r="B363" s="16" t="str">
        <x:v>İstanbul</x:v>
      </x:c>
      <x:c r="C363" s="16" t="str">
        <x:v>Kısmi doğrulama</x:v>
      </x:c>
      <x:c r="D363" s="16" t="str">
        <x:v>Ürün kaydı</x:v>
      </x:c>
      <x:c r="E363" s="16" t="str">
        <x:v>Coach Çocuk Boyama Çorabı</x:v>
      </x:c>
      <x:c r="F363" s="16" t="str">
        <x:v>Menşe belirtilmemiş</x:v>
      </x:c>
      <x:c r="G363" s="17" t="str">
        <x:v>Erişilemedi</x:v>
      </x:c>
      <x:c r="H363" s="16" t="str">
        <x:v>Erişilemedi</x:v>
      </x:c>
      <x:c r="I363" s="18" t="n">
        <x:v>250</x:v>
      </x:c>
      <x:c r="J363" s="18" t="str">
        <x:v>Erişildi</x:v>
      </x:c>
      <x:c r="K363" s="18" t="str">
        <x:f>IF(AND(ISNUMBER(G363),ISNUMBER(I363)),I363/G363*1000,"Erişilemedi")</x:f>
        <x:v>Erişilemedi</x:v>
      </x:c>
      <x:c r="L363" s="16" t="str">
        <x:v>Stokta</x:v>
      </x:c>
      <x:c r="M363" s="16" t="str">
        <x:v>Kahve ürünü</x:v>
      </x:c>
      <x:c r="N363" s="16" t="str">
        <x:v>Shopify ürün akışı</x:v>
      </x:c>
      <x:c r="O363" s="16" t="str">
        <x:v>Orta</x:v>
      </x:c>
      <x:c r="P363" s="19" t="n">
        <x:v>46245</x:v>
      </x:c>
      <x:c r="Q363" s="20" t="str">
        <x:v>https://coachcoffeeco.com/products/cocuk-boyama-corabi</x:v>
      </x:c>
      <x:c r="R363" s="20" t="str">
        <x:v>Öğütüm seçenekleri tekilleştirildi.</x:v>
      </x:c>
    </x:row>
    <x:row r="364" ht="40" customHeight="1">
      <x:c r="A364" s="16" t="str">
        <x:v>Coach Coffee Company</x:v>
      </x:c>
      <x:c r="B364" s="16" t="str">
        <x:v>İstanbul</x:v>
      </x:c>
      <x:c r="C364" s="16" t="str">
        <x:v>Kısmi doğrulama</x:v>
      </x:c>
      <x:c r="D364" s="16" t="str">
        <x:v>Ürün kaydı</x:v>
      </x:c>
      <x:c r="E364" s="16" t="str">
        <x:v>Coach Klasik Seramik Kupa</x:v>
      </x:c>
      <x:c r="F364" s="16" t="str">
        <x:v>Menşe belirtilmemiş</x:v>
      </x:c>
      <x:c r="G364" s="17" t="str">
        <x:v>Erişilemedi</x:v>
      </x:c>
      <x:c r="H364" s="16" t="str">
        <x:v>Erişilemedi</x:v>
      </x:c>
      <x:c r="I364" s="18" t="str">
        <x:v>Erişilemedi</x:v>
      </x:c>
      <x:c r="J364" s="18" t="str">
        <x:v>Erişilemedi</x:v>
      </x:c>
      <x:c r="K364" s="18" t="str">
        <x:f>IF(AND(ISNUMBER(G364),ISNUMBER(I364)),I364/G364*1000,"Erişilemedi")</x:f>
        <x:v>Erişilemedi</x:v>
      </x:c>
      <x:c r="L364" s="16" t="str">
        <x:v>Belirsiz</x:v>
      </x:c>
      <x:c r="M364" s="16" t="str">
        <x:v>Kahve ürünü</x:v>
      </x:c>
      <x:c r="N364" s="16" t="str">
        <x:v>Shopify ürün akışı</x:v>
      </x:c>
      <x:c r="O364" s="16" t="str">
        <x:v>Orta</x:v>
      </x:c>
      <x:c r="P364" s="19" t="n">
        <x:v>46245</x:v>
      </x:c>
      <x:c r="Q364" s="20" t="str">
        <x:v>https://coachcoffeeco.com/products/coach-klasik-seramik-kupa</x:v>
      </x:c>
      <x:c r="R364" s="20" t="str">
        <x:v>Satış varyantı erişilemedi.</x:v>
      </x:c>
    </x:row>
    <x:row r="365" ht="40" customHeight="1">
      <x:c r="A365" s="16" t="str">
        <x:v>Coach Coffee Company</x:v>
      </x:c>
      <x:c r="B365" s="16" t="str">
        <x:v>İstanbul</x:v>
      </x:c>
      <x:c r="C365" s="16" t="str">
        <x:v>Kısmi doğrulama</x:v>
      </x:c>
      <x:c r="D365" s="16" t="str">
        <x:v>Ürün kaydı</x:v>
      </x:c>
      <x:c r="E365" s="16" t="str">
        <x:v>Coach Yeşil Seramik Kupa</x:v>
      </x:c>
      <x:c r="F365" s="16" t="str">
        <x:v>Menşe belirtilmemiş</x:v>
      </x:c>
      <x:c r="G365" s="17" t="str">
        <x:v>Erişilemedi</x:v>
      </x:c>
      <x:c r="H365" s="16" t="str">
        <x:v>Erişilemedi</x:v>
      </x:c>
      <x:c r="I365" s="18" t="str">
        <x:v>Erişilemedi</x:v>
      </x:c>
      <x:c r="J365" s="18" t="str">
        <x:v>Erişilemedi</x:v>
      </x:c>
      <x:c r="K365" s="18" t="str">
        <x:f>IF(AND(ISNUMBER(G365),ISNUMBER(I365)),I365/G365*1000,"Erişilemedi")</x:f>
        <x:v>Erişilemedi</x:v>
      </x:c>
      <x:c r="L365" s="16" t="str">
        <x:v>Belirsiz</x:v>
      </x:c>
      <x:c r="M365" s="16" t="str">
        <x:v>Kahve ürünü</x:v>
      </x:c>
      <x:c r="N365" s="16" t="str">
        <x:v>Shopify ürün akışı</x:v>
      </x:c>
      <x:c r="O365" s="16" t="str">
        <x:v>Orta</x:v>
      </x:c>
      <x:c r="P365" s="19" t="n">
        <x:v>46245</x:v>
      </x:c>
      <x:c r="Q365" s="20" t="str">
        <x:v>https://coachcoffeeco.com/products/coach-yesil-seramik-kupa</x:v>
      </x:c>
      <x:c r="R365" s="20" t="str">
        <x:v>Satış varyantı erişilemedi.</x:v>
      </x:c>
    </x:row>
    <x:row r="366" ht="40" customHeight="1">
      <x:c r="A366" s="16" t="str">
        <x:v>Coach Coffee Company</x:v>
      </x:c>
      <x:c r="B366" s="16" t="str">
        <x:v>İstanbul</x:v>
      </x:c>
      <x:c r="C366" s="16" t="str">
        <x:v>Kısmi doğrulama</x:v>
      </x:c>
      <x:c r="D366" s="16" t="str">
        <x:v>Ürün kaydı</x:v>
      </x:c>
      <x:c r="E366" s="16" t="str">
        <x:v>Coach Yetişkin Boyama Çorap</x:v>
      </x:c>
      <x:c r="F366" s="16" t="str">
        <x:v>Menşe belirtilmemiş</x:v>
      </x:c>
      <x:c r="G366" s="17" t="str">
        <x:v>Erişilemedi</x:v>
      </x:c>
      <x:c r="H366" s="16" t="str">
        <x:v>Erişilemedi</x:v>
      </x:c>
      <x:c r="I366" s="18" t="n">
        <x:v>300</x:v>
      </x:c>
      <x:c r="J366" s="18" t="str">
        <x:v>Erişildi</x:v>
      </x:c>
      <x:c r="K366" s="18" t="str">
        <x:f>IF(AND(ISNUMBER(G366),ISNUMBER(I366)),I366/G366*1000,"Erişilemedi")</x:f>
        <x:v>Erişilemedi</x:v>
      </x:c>
      <x:c r="L366" s="16" t="str">
        <x:v>Stokta</x:v>
      </x:c>
      <x:c r="M366" s="16" t="str">
        <x:v>Kahve ürünü</x:v>
      </x:c>
      <x:c r="N366" s="16" t="str">
        <x:v>Shopify ürün akışı</x:v>
      </x:c>
      <x:c r="O366" s="16" t="str">
        <x:v>Orta</x:v>
      </x:c>
      <x:c r="P366" s="19" t="n">
        <x:v>46245</x:v>
      </x:c>
      <x:c r="Q366" s="20" t="str">
        <x:v>https://coachcoffeeco.com/products/yetiskin-boyama-corabi</x:v>
      </x:c>
      <x:c r="R366" s="20" t="str">
        <x:v>Öğütüm seçenekleri tekilleştirildi.</x:v>
      </x:c>
    </x:row>
    <x:row r="367" ht="40" customHeight="1">
      <x:c r="A367" s="16" t="str">
        <x:v>Coach Coffee Company</x:v>
      </x:c>
      <x:c r="B367" s="16" t="str">
        <x:v>İstanbul</x:v>
      </x:c>
      <x:c r="C367" s="16" t="str">
        <x:v>Kısmi doğrulama</x:v>
      </x:c>
      <x:c r="D367" s="16" t="str">
        <x:v>Ürün kaydı</x:v>
      </x:c>
      <x:c r="E367" s="16" t="str">
        <x:v>Forte | Coach Nespresso® Uyumlu Kahve Kapsülü</x:v>
      </x:c>
      <x:c r="F367" s="16" t="str">
        <x:v>Menşe belirtilmemiş</x:v>
      </x:c>
      <x:c r="G367" s="17" t="str">
        <x:v>Erişilemedi</x:v>
      </x:c>
      <x:c r="H367" s="16" t="str">
        <x:v>Erişilemedi</x:v>
      </x:c>
      <x:c r="I367" s="18" t="n">
        <x:v>359.99</x:v>
      </x:c>
      <x:c r="J367" s="18" t="str">
        <x:v>Erişildi</x:v>
      </x:c>
      <x:c r="K367" s="18" t="str">
        <x:f>IF(AND(ISNUMBER(G367),ISNUMBER(I367)),I367/G367*1000,"Erişilemedi")</x:f>
        <x:v>Erişilemedi</x:v>
      </x:c>
      <x:c r="L367" s="16" t="str">
        <x:v>Stokta</x:v>
      </x:c>
      <x:c r="M367" s="16" t="str">
        <x:v>Kahve ürünü</x:v>
      </x:c>
      <x:c r="N367" s="16" t="str">
        <x:v>Shopify ürün akışı</x:v>
      </x:c>
      <x:c r="O367" s="16" t="str">
        <x:v>Orta</x:v>
      </x:c>
      <x:c r="P367" s="19" t="n">
        <x:v>46245</x:v>
      </x:c>
      <x:c r="Q367" s="20" t="str">
        <x:v>https://coachcoffeeco.com/products/forte-coach-nespresso®-uyumlu-kahve-kapsulu</x:v>
      </x:c>
      <x:c r="R367" s="20" t="str">
        <x:v>Öğütüm seçenekleri tekilleştirildi.</x:v>
      </x:c>
    </x:row>
    <x:row r="368" ht="40" customHeight="1">
      <x:c r="A368" s="16" t="str">
        <x:v>Coach Coffee Company</x:v>
      </x:c>
      <x:c r="B368" s="16" t="str">
        <x:v>İstanbul</x:v>
      </x:c>
      <x:c r="C368" s="16" t="str">
        <x:v>Kısmi doğrulama</x:v>
      </x:c>
      <x:c r="D368" s="16" t="str">
        <x:v>Ürün kaydı</x:v>
      </x:c>
      <x:c r="E368" s="16" t="str">
        <x:v>Güney Amerika Temalı A5 Defter (3'lü Set)</x:v>
      </x:c>
      <x:c r="F368" s="16" t="str">
        <x:v>Menşe belirtilmemiş</x:v>
      </x:c>
      <x:c r="G368" s="17" t="str">
        <x:v>Erişilemedi</x:v>
      </x:c>
      <x:c r="H368" s="16" t="str">
        <x:v>Erişilemedi</x:v>
      </x:c>
      <x:c r="I368" s="18" t="n">
        <x:v>120</x:v>
      </x:c>
      <x:c r="J368" s="18" t="str">
        <x:v>Erişildi</x:v>
      </x:c>
      <x:c r="K368" s="18" t="str">
        <x:f>IF(AND(ISNUMBER(G368),ISNUMBER(I368)),I368/G368*1000,"Erişilemedi")</x:f>
        <x:v>Erişilemedi</x:v>
      </x:c>
      <x:c r="L368" s="16" t="str">
        <x:v>Stokta</x:v>
      </x:c>
      <x:c r="M368" s="16" t="str">
        <x:v>Kahve ürünü</x:v>
      </x:c>
      <x:c r="N368" s="16" t="str">
        <x:v>Shopify ürün akışı</x:v>
      </x:c>
      <x:c r="O368" s="16" t="str">
        <x:v>Orta</x:v>
      </x:c>
      <x:c r="P368" s="19" t="n">
        <x:v>46245</x:v>
      </x:c>
      <x:c r="Q368" s="20" t="str">
        <x:v>https://coachcoffeeco.com/products/guney-amerika-temali-a5-defter-3lu-set</x:v>
      </x:c>
      <x:c r="R368" s="20" t="str">
        <x:v>Öğütüm seçenekleri tekilleştirildi.</x:v>
      </x:c>
    </x:row>
    <x:row r="369" ht="40" customHeight="1">
      <x:c r="A369" s="16" t="str">
        <x:v>Coach Coffee Company</x:v>
      </x:c>
      <x:c r="B369" s="16" t="str">
        <x:v>İstanbul</x:v>
      </x:c>
      <x:c r="C369" s="16" t="str">
        <x:v>Kısmi doğrulama</x:v>
      </x:c>
      <x:c r="D369" s="16" t="str">
        <x:v>Ürün kaydı</x:v>
      </x:c>
      <x:c r="E369" s="16" t="str">
        <x:v>İskambil Oyun Kartları | Yeşil Seri 💚</x:v>
      </x:c>
      <x:c r="F369" s="16" t="str">
        <x:v>Menşe belirtilmemiş</x:v>
      </x:c>
      <x:c r="G369" s="17" t="str">
        <x:v>Erişilemedi</x:v>
      </x:c>
      <x:c r="H369" s="16" t="str">
        <x:v>Erişilemedi</x:v>
      </x:c>
      <x:c r="I369" s="18" t="n">
        <x:v>199</x:v>
      </x:c>
      <x:c r="J369" s="18" t="str">
        <x:v>Erişildi</x:v>
      </x:c>
      <x:c r="K369" s="18" t="str">
        <x:f>IF(AND(ISNUMBER(G369),ISNUMBER(I369)),I369/G369*1000,"Erişilemedi")</x:f>
        <x:v>Erişilemedi</x:v>
      </x:c>
      <x:c r="L369" s="16" t="str">
        <x:v>Stokta</x:v>
      </x:c>
      <x:c r="M369" s="16" t="str">
        <x:v>Kahve ürünü</x:v>
      </x:c>
      <x:c r="N369" s="16" t="str">
        <x:v>Shopify ürün akışı</x:v>
      </x:c>
      <x:c r="O369" s="16" t="str">
        <x:v>Orta</x:v>
      </x:c>
      <x:c r="P369" s="19" t="n">
        <x:v>46245</x:v>
      </x:c>
      <x:c r="Q369" s="20" t="str">
        <x:v>https://coachcoffeeco.com/products/coach-i̇skambil-kartlari-yesil-seri-💚</x:v>
      </x:c>
      <x:c r="R369" s="20" t="str">
        <x:v>Öğütüm seçenekleri tekilleştirildi.</x:v>
      </x:c>
    </x:row>
    <x:row r="370" ht="40" customHeight="1">
      <x:c r="A370" s="16" t="str">
        <x:v>Coach Coffee Company</x:v>
      </x:c>
      <x:c r="B370" s="16" t="str">
        <x:v>İstanbul</x:v>
      </x:c>
      <x:c r="C370" s="16" t="str">
        <x:v>Kısmi doğrulama</x:v>
      </x:c>
      <x:c r="D370" s="16" t="str">
        <x:v>Ürün kaydı</x:v>
      </x:c>
      <x:c r="E370" s="16" t="str">
        <x:v>Kahve Enerjisi Temalı A5 Defter (3'lü Set)</x:v>
      </x:c>
      <x:c r="F370" s="16" t="str">
        <x:v>Menşe belirtilmemiş</x:v>
      </x:c>
      <x:c r="G370" s="17" t="str">
        <x:v>Erişilemedi</x:v>
      </x:c>
      <x:c r="H370" s="16" t="str">
        <x:v>Erişilemedi</x:v>
      </x:c>
      <x:c r="I370" s="18" t="n">
        <x:v>120</x:v>
      </x:c>
      <x:c r="J370" s="18" t="str">
        <x:v>Erişildi</x:v>
      </x:c>
      <x:c r="K370" s="18" t="str">
        <x:f>IF(AND(ISNUMBER(G370),ISNUMBER(I370)),I370/G370*1000,"Erişilemedi")</x:f>
        <x:v>Erişilemedi</x:v>
      </x:c>
      <x:c r="L370" s="16" t="str">
        <x:v>Stokta</x:v>
      </x:c>
      <x:c r="M370" s="16" t="str">
        <x:v>Kahve ürünü</x:v>
      </x:c>
      <x:c r="N370" s="16" t="str">
        <x:v>Shopify ürün akışı</x:v>
      </x:c>
      <x:c r="O370" s="16" t="str">
        <x:v>Orta</x:v>
      </x:c>
      <x:c r="P370" s="19" t="n">
        <x:v>46245</x:v>
      </x:c>
      <x:c r="Q370" s="20" t="str">
        <x:v>https://coachcoffeeco.com/products/kahve-enerjisi-temali-a5-defter-3lu-set</x:v>
      </x:c>
      <x:c r="R370" s="20" t="str">
        <x:v>Öğütüm seçenekleri tekilleştirildi.</x:v>
      </x:c>
    </x:row>
    <x:row r="371" ht="40" customHeight="1">
      <x:c r="A371" s="16" t="str">
        <x:v>Coach Coffee Company</x:v>
      </x:c>
      <x:c r="B371" s="16" t="str">
        <x:v>İstanbul</x:v>
      </x:c>
      <x:c r="C371" s="16" t="str">
        <x:v>Kısmi doğrulama</x:v>
      </x:c>
      <x:c r="D371" s="16" t="str">
        <x:v>Ürün kaydı</x:v>
      </x:c>
      <x:c r="E371" s="16" t="str">
        <x:v>Lumo | Coach Nespresso® Uyumlu Kahve Kapsülü</x:v>
      </x:c>
      <x:c r="F371" s="16" t="str">
        <x:v>Harman – menşe belirtilmemiş</x:v>
      </x:c>
      <x:c r="G371" s="17" t="str">
        <x:v>Erişilemedi</x:v>
      </x:c>
      <x:c r="H371" s="16" t="str">
        <x:v>Erişilemedi</x:v>
      </x:c>
      <x:c r="I371" s="18" t="n">
        <x:v>359.99</x:v>
      </x:c>
      <x:c r="J371" s="18" t="str">
        <x:v>Erişildi</x:v>
      </x:c>
      <x:c r="K371" s="18" t="str">
        <x:f>IF(AND(ISNUMBER(G371),ISNUMBER(I371)),I371/G371*1000,"Erişilemedi")</x:f>
        <x:v>Erişilemedi</x:v>
      </x:c>
      <x:c r="L371" s="16" t="str">
        <x:v>Stokta</x:v>
      </x:c>
      <x:c r="M371" s="16" t="str">
        <x:v>Harman</x:v>
      </x:c>
      <x:c r="N371" s="16" t="str">
        <x:v>Shopify ürün akışı</x:v>
      </x:c>
      <x:c r="O371" s="16" t="str">
        <x:v>Orta</x:v>
      </x:c>
      <x:c r="P371" s="19" t="n">
        <x:v>46245</x:v>
      </x:c>
      <x:c r="Q371" s="20" t="str">
        <x:v>https://coachcoffeeco.com/products/lumo-coach-nespresso®-uyumlu-kahve-kapsulu</x:v>
      </x:c>
      <x:c r="R371" s="20" t="str">
        <x:v>Öğütüm seçenekleri tekilleştirildi.</x:v>
      </x:c>
    </x:row>
    <x:row r="372" ht="40" customHeight="1">
      <x:c r="A372" s="16" t="str">
        <x:v>Coach Coffee Company</x:v>
      </x:c>
      <x:c r="B372" s="16" t="str">
        <x:v>İstanbul</x:v>
      </x:c>
      <x:c r="C372" s="16" t="str">
        <x:v>Kısmi doğrulama</x:v>
      </x:c>
      <x:c r="D372" s="16" t="str">
        <x:v>Ürün kaydı</x:v>
      </x:c>
      <x:c r="E372" s="16" t="str">
        <x:v>Nordic Approach La Claudina - Colombia | Limited Edition</x:v>
      </x:c>
      <x:c r="F372" s="16" t="str">
        <x:v>Kolombiya</x:v>
      </x:c>
      <x:c r="G372" s="17" t="str">
        <x:v>Erişilemedi</x:v>
      </x:c>
      <x:c r="H372" s="16" t="str">
        <x:v>Erişilemedi</x:v>
      </x:c>
      <x:c r="I372" s="18" t="str">
        <x:v>Erişilemedi</x:v>
      </x:c>
      <x:c r="J372" s="18" t="str">
        <x:v>Erişilemedi</x:v>
      </x:c>
      <x:c r="K372" s="18" t="str">
        <x:f>IF(AND(ISNUMBER(G372),ISNUMBER(I372)),I372/G372*1000,"Erişilemedi")</x:f>
        <x:v>Erişilemedi</x:v>
      </x:c>
      <x:c r="L372" s="16" t="str">
        <x:v>Belirsiz</x:v>
      </x:c>
      <x:c r="M372" s="16" t="str">
        <x:v>Kahve ürünü</x:v>
      </x:c>
      <x:c r="N372" s="16" t="str">
        <x:v>Shopify ürün akışı</x:v>
      </x:c>
      <x:c r="O372" s="16" t="str">
        <x:v>Orta</x:v>
      </x:c>
      <x:c r="P372" s="19" t="n">
        <x:v>46245</x:v>
      </x:c>
      <x:c r="Q372" s="20" t="str">
        <x:v>https://coachcoffeeco.com/products/nordic-approach-la-claudina-colombia</x:v>
      </x:c>
      <x:c r="R372" s="20" t="str">
        <x:v>Satış varyantı erişilemedi.</x:v>
      </x:c>
    </x:row>
    <x:row r="373" ht="40" customHeight="1">
      <x:c r="A373" s="16" t="str">
        <x:v>Coach Coffee Company</x:v>
      </x:c>
      <x:c r="B373" s="16" t="str">
        <x:v>İstanbul</x:v>
      </x:c>
      <x:c r="C373" s="16" t="str">
        <x:v>Kısmi doğrulama</x:v>
      </x:c>
      <x:c r="D373" s="16" t="str">
        <x:v>Ürün kaydı</x:v>
      </x:c>
      <x:c r="E373" s="16" t="str">
        <x:v>Nordic Approach La Ilusion - El Salvador - Limited Edition</x:v>
      </x:c>
      <x:c r="F373" s="16" t="str">
        <x:v>El Salvador</x:v>
      </x:c>
      <x:c r="G373" s="17" t="str">
        <x:v>Erişilemedi</x:v>
      </x:c>
      <x:c r="H373" s="16" t="str">
        <x:v>Erişilemedi</x:v>
      </x:c>
      <x:c r="I373" s="18" t="str">
        <x:v>Erişilemedi</x:v>
      </x:c>
      <x:c r="J373" s="18" t="str">
        <x:v>Erişilemedi</x:v>
      </x:c>
      <x:c r="K373" s="18" t="str">
        <x:f>IF(AND(ISNUMBER(G373),ISNUMBER(I373)),I373/G373*1000,"Erişilemedi")</x:f>
        <x:v>Erişilemedi</x:v>
      </x:c>
      <x:c r="L373" s="16" t="str">
        <x:v>Belirsiz</x:v>
      </x:c>
      <x:c r="M373" s="16" t="str">
        <x:v>Kahve ürünü</x:v>
      </x:c>
      <x:c r="N373" s="16" t="str">
        <x:v>Shopify ürün akışı</x:v>
      </x:c>
      <x:c r="O373" s="16" t="str">
        <x:v>Orta</x:v>
      </x:c>
      <x:c r="P373" s="19" t="n">
        <x:v>46245</x:v>
      </x:c>
      <x:c r="Q373" s="20" t="str">
        <x:v>https://coachcoffeeco.com/products/nordic-approach-la-ilusion-el-salvador</x:v>
      </x:c>
      <x:c r="R373" s="20" t="str">
        <x:v>Satış varyantı erişilemedi.</x:v>
      </x:c>
    </x:row>
    <x:row r="374" ht="40" customHeight="1">
      <x:c r="A374" s="16" t="str">
        <x:v>Coach Coffee Company</x:v>
      </x:c>
      <x:c r="B374" s="16" t="str">
        <x:v>İstanbul</x:v>
      </x:c>
      <x:c r="C374" s="16" t="str">
        <x:v>Kısmi doğrulama</x:v>
      </x:c>
      <x:c r="D374" s="16" t="str">
        <x:v>Ürün kaydı</x:v>
      </x:c>
      <x:c r="E374" s="16" t="str">
        <x:v>Özel Hediye Kutusu</x:v>
      </x:c>
      <x:c r="F374" s="16" t="str">
        <x:v>Menşe belirtilmemiş</x:v>
      </x:c>
      <x:c r="G374" s="17" t="str">
        <x:v>Erişilemedi</x:v>
      </x:c>
      <x:c r="H374" s="16" t="str">
        <x:v>Erişilemedi</x:v>
      </x:c>
      <x:c r="I374" s="18" t="n">
        <x:v>79.9</x:v>
      </x:c>
      <x:c r="J374" s="18" t="str">
        <x:v>Erişildi</x:v>
      </x:c>
      <x:c r="K374" s="18" t="str">
        <x:f>IF(AND(ISNUMBER(G374),ISNUMBER(I374)),I374/G374*1000,"Erişilemedi")</x:f>
        <x:v>Erişilemedi</x:v>
      </x:c>
      <x:c r="L374" s="16" t="str">
        <x:v>Stokta</x:v>
      </x:c>
      <x:c r="M374" s="16" t="str">
        <x:v>Kahve ürünü</x:v>
      </x:c>
      <x:c r="N374" s="16" t="str">
        <x:v>Shopify ürün akışı</x:v>
      </x:c>
      <x:c r="O374" s="16" t="str">
        <x:v>Orta</x:v>
      </x:c>
      <x:c r="P374" s="19" t="n">
        <x:v>46245</x:v>
      </x:c>
      <x:c r="Q374" s="20" t="str">
        <x:v>https://coachcoffeeco.com/products/ozel-hediye-kutusu</x:v>
      </x:c>
      <x:c r="R374" s="20" t="str">
        <x:v>Öğütüm seçenekleri tekilleştirildi.</x:v>
      </x:c>
    </x:row>
    <x:row r="375" ht="40" customHeight="1">
      <x:c r="A375" s="16" t="str">
        <x:v>Coach Coffee Company</x:v>
      </x:c>
      <x:c r="B375" s="16" t="str">
        <x:v>İstanbul</x:v>
      </x:c>
      <x:c r="C375" s="16" t="str">
        <x:v>Kısmi doğrulama</x:v>
      </x:c>
      <x:c r="D375" s="16" t="str">
        <x:v>Ürün kaydı</x:v>
      </x:c>
      <x:c r="E375" s="16" t="str">
        <x:v>Türkiye Temalı A5 Defter (3'lü Set)</x:v>
      </x:c>
      <x:c r="F375" s="16" t="str">
        <x:v>Menşe belirtilmemiş</x:v>
      </x:c>
      <x:c r="G375" s="17" t="str">
        <x:v>Erişilemedi</x:v>
      </x:c>
      <x:c r="H375" s="16" t="str">
        <x:v>Erişilemedi</x:v>
      </x:c>
      <x:c r="I375" s="18" t="n">
        <x:v>120</x:v>
      </x:c>
      <x:c r="J375" s="18" t="str">
        <x:v>Erişildi</x:v>
      </x:c>
      <x:c r="K375" s="18" t="str">
        <x:f>IF(AND(ISNUMBER(G375),ISNUMBER(I375)),I375/G375*1000,"Erişilemedi")</x:f>
        <x:v>Erişilemedi</x:v>
      </x:c>
      <x:c r="L375" s="16" t="str">
        <x:v>Stokta</x:v>
      </x:c>
      <x:c r="M375" s="16" t="str">
        <x:v>Türk kahvesi</x:v>
      </x:c>
      <x:c r="N375" s="16" t="str">
        <x:v>Shopify ürün akışı</x:v>
      </x:c>
      <x:c r="O375" s="16" t="str">
        <x:v>Orta</x:v>
      </x:c>
      <x:c r="P375" s="19" t="n">
        <x:v>46245</x:v>
      </x:c>
      <x:c r="Q375" s="20" t="str">
        <x:v>https://coachcoffeeco.com/products/turkiye-temali-a5-defter-3lu-set</x:v>
      </x:c>
      <x:c r="R375" s="20" t="str">
        <x:v>Öğütüm seçenekleri tekilleştirildi.</x:v>
      </x:c>
    </x:row>
    <x:row r="376" ht="40" customHeight="1">
      <x:c r="A376" s="16" t="str">
        <x:v>Coach Coffee Company</x:v>
      </x:c>
      <x:c r="B376" s="16" t="str">
        <x:v>İstanbul</x:v>
      </x:c>
      <x:c r="C376" s="16" t="str">
        <x:v>Kısmi doğrulama</x:v>
      </x:c>
      <x:c r="D376" s="16" t="str">
        <x:v>Ürün kaydı</x:v>
      </x:c>
      <x:c r="E376" s="16" t="str">
        <x:v>Vero | Coach Nespresso® Uyumlu Kahve Kapsülü</x:v>
      </x:c>
      <x:c r="F376" s="16" t="str">
        <x:v>Menşe belirtilmemiş</x:v>
      </x:c>
      <x:c r="G376" s="17" t="str">
        <x:v>Erişilemedi</x:v>
      </x:c>
      <x:c r="H376" s="16" t="str">
        <x:v>Erişilemedi</x:v>
      </x:c>
      <x:c r="I376" s="18" t="n">
        <x:v>359.99</x:v>
      </x:c>
      <x:c r="J376" s="18" t="str">
        <x:v>Erişildi</x:v>
      </x:c>
      <x:c r="K376" s="18" t="str">
        <x:f>IF(AND(ISNUMBER(G376),ISNUMBER(I376)),I376/G376*1000,"Erişilemedi")</x:f>
        <x:v>Erişilemedi</x:v>
      </x:c>
      <x:c r="L376" s="16" t="str">
        <x:v>Stokta</x:v>
      </x:c>
      <x:c r="M376" s="16" t="str">
        <x:v>Kahve ürünü</x:v>
      </x:c>
      <x:c r="N376" s="16" t="str">
        <x:v>Shopify ürün akışı</x:v>
      </x:c>
      <x:c r="O376" s="16" t="str">
        <x:v>Orta</x:v>
      </x:c>
      <x:c r="P376" s="19" t="n">
        <x:v>46245</x:v>
      </x:c>
      <x:c r="Q376" s="20" t="str">
        <x:v>https://coachcoffeeco.com/products/vero-coach-nespresso®-uyumlu-kahve-kapsulu</x:v>
      </x:c>
      <x:c r="R376" s="20" t="str">
        <x:v>Öğütüm seçenekleri tekilleştirildi.</x:v>
      </x:c>
    </x:row>
    <x:row r="377" ht="40" customHeight="1">
      <x:c r="A377" s="16" t="str">
        <x:v>Coach Coffee Company</x:v>
      </x:c>
      <x:c r="B377" s="16" t="str">
        <x:v>İstanbul</x:v>
      </x:c>
      <x:c r="C377" s="16" t="str">
        <x:v>Kısmi doğrulama</x:v>
      </x:c>
      <x:c r="D377" s="16" t="str">
        <x:v>Ürün kaydı</x:v>
      </x:c>
      <x:c r="E377" s="16" t="str">
        <x:v>Yılbaşı Nespresso Kapsül Hediye Kutusu</x:v>
      </x:c>
      <x:c r="F377" s="16" t="str">
        <x:v>Menşe belirtilmemiş</x:v>
      </x:c>
      <x:c r="G377" s="17" t="str">
        <x:v>Erişilemedi</x:v>
      </x:c>
      <x:c r="H377" s="16" t="str">
        <x:v>Erişilemedi</x:v>
      </x:c>
      <x:c r="I377" s="18" t="n">
        <x:v>849</x:v>
      </x:c>
      <x:c r="J377" s="18" t="str">
        <x:v>Erişildi</x:v>
      </x:c>
      <x:c r="K377" s="18" t="str">
        <x:f>IF(AND(ISNUMBER(G377),ISNUMBER(I377)),I377/G377*1000,"Erişilemedi")</x:f>
        <x:v>Erişilemedi</x:v>
      </x:c>
      <x:c r="L377" s="16" t="str">
        <x:v>Stokta</x:v>
      </x:c>
      <x:c r="M377" s="16" t="str">
        <x:v>Kahve ürünü</x:v>
      </x:c>
      <x:c r="N377" s="16" t="str">
        <x:v>Shopify ürün akışı</x:v>
      </x:c>
      <x:c r="O377" s="16" t="str">
        <x:v>Orta</x:v>
      </x:c>
      <x:c r="P377" s="19" t="n">
        <x:v>46245</x:v>
      </x:c>
      <x:c r="Q377" s="20" t="str">
        <x:v>https://coachcoffeeco.com/products/yilbasi-nespresso-kapsul-hediye-kutusu</x:v>
      </x:c>
      <x:c r="R377" s="20" t="str">
        <x:v>Öğütüm seçenekleri tekilleştirildi.</x:v>
      </x:c>
    </x:row>
    <x:row r="378" ht="40" customHeight="1">
      <x:c r="A378" s="16" t="str">
        <x:v>Coach Coffee Company</x:v>
      </x:c>
      <x:c r="B378" s="16" t="str">
        <x:v>İstanbul</x:v>
      </x:c>
      <x:c r="C378" s="16" t="str">
        <x:v>Kısmi doğrulama</x:v>
      </x:c>
      <x:c r="D378" s="16" t="str">
        <x:v>Ürün kaydı</x:v>
      </x:c>
      <x:c r="E378" s="16" t="str">
        <x:v>Yılbaşı Otomatik Makine Hediye Kutusu</x:v>
      </x:c>
      <x:c r="F378" s="16" t="str">
        <x:v>Harman – menşe belirtilmemiş</x:v>
      </x:c>
      <x:c r="G378" s="17" t="str">
        <x:v>Erişilemedi</x:v>
      </x:c>
      <x:c r="H378" s="16" t="str">
        <x:v>Erişilemedi</x:v>
      </x:c>
      <x:c r="I378" s="18" t="n">
        <x:v>849</x:v>
      </x:c>
      <x:c r="J378" s="18" t="str">
        <x:v>Erişildi</x:v>
      </x:c>
      <x:c r="K378" s="18" t="str">
        <x:f>IF(AND(ISNUMBER(G378),ISNUMBER(I378)),I378/G378*1000,"Erişilemedi")</x:f>
        <x:v>Erişilemedi</x:v>
      </x:c>
      <x:c r="L378" s="16" t="str">
        <x:v>Stokta</x:v>
      </x:c>
      <x:c r="M378" s="16" t="str">
        <x:v>Harman</x:v>
      </x:c>
      <x:c r="N378" s="16" t="str">
        <x:v>Shopify ürün akışı</x:v>
      </x:c>
      <x:c r="O378" s="16" t="str">
        <x:v>Orta</x:v>
      </x:c>
      <x:c r="P378" s="19" t="n">
        <x:v>46245</x:v>
      </x:c>
      <x:c r="Q378" s="20" t="str">
        <x:v>https://coachcoffeeco.com/products/yilbasi-espresso-hediye-kutusu-otomatik-makine-uyumlu</x:v>
      </x:c>
      <x:c r="R378" s="20" t="str">
        <x:v>Öğütüm seçenekleri tekilleştirildi.</x:v>
      </x:c>
    </x:row>
    <x:row r="379" ht="40" customHeight="1">
      <x:c r="A379" s="16" t="str">
        <x:v>Coach Coffee Company</x:v>
      </x:c>
      <x:c r="B379" s="16" t="str">
        <x:v>İstanbul</x:v>
      </x:c>
      <x:c r="C379" s="16" t="str">
        <x:v>Kısmi doğrulama</x:v>
      </x:c>
      <x:c r="D379" s="16" t="str">
        <x:v>Ürün kaydı</x:v>
      </x:c>
      <x:c r="E379" s="16" t="str">
        <x:v>Yılbaşı Türk Kahvesi Hediye Kutusu</x:v>
      </x:c>
      <x:c r="F379" s="16" t="str">
        <x:v>Menşe belirtilmemiş</x:v>
      </x:c>
      <x:c r="G379" s="17" t="str">
        <x:v>Erişilemedi</x:v>
      </x:c>
      <x:c r="H379" s="16" t="str">
        <x:v>Erişilemedi</x:v>
      </x:c>
      <x:c r="I379" s="18" t="n">
        <x:v>849</x:v>
      </x:c>
      <x:c r="J379" s="18" t="str">
        <x:v>Erişildi</x:v>
      </x:c>
      <x:c r="K379" s="18" t="str">
        <x:f>IF(AND(ISNUMBER(G379),ISNUMBER(I379)),I379/G379*1000,"Erişilemedi")</x:f>
        <x:v>Erişilemedi</x:v>
      </x:c>
      <x:c r="L379" s="16" t="str">
        <x:v>Stokta</x:v>
      </x:c>
      <x:c r="M379" s="16" t="str">
        <x:v>Türk kahvesi</x:v>
      </x:c>
      <x:c r="N379" s="16" t="str">
        <x:v>Shopify ürün akışı</x:v>
      </x:c>
      <x:c r="O379" s="16" t="str">
        <x:v>Orta</x:v>
      </x:c>
      <x:c r="P379" s="19" t="n">
        <x:v>46245</x:v>
      </x:c>
      <x:c r="Q379" s="20" t="str">
        <x:v>https://coachcoffeeco.com/products/yilbasi-turk-kahvesi-hediye-kutusu</x:v>
      </x:c>
      <x:c r="R379" s="20" t="str">
        <x:v>Öğütüm seçenekleri tekilleştirildi.</x:v>
      </x:c>
    </x:row>
    <x:row r="380" ht="40" customHeight="1">
      <x:c r="A380" s="16" t="str">
        <x:v>Coffee Code Roasters</x:v>
      </x:c>
      <x:c r="B380" s="16" t="str">
        <x:v>Ankara</x:v>
      </x:c>
      <x:c r="C380" s="16" t="str">
        <x:v>Doğrulandı</x:v>
      </x:c>
      <x:c r="D380" s="16" t="str">
        <x:v>Ürün kaydı</x:v>
      </x:c>
      <x:c r="E380" s="16" t="str">
        <x:v>Brazil Jaguar</x:v>
      </x:c>
      <x:c r="F380" s="16" t="str">
        <x:v>Brezilya</x:v>
      </x:c>
      <x:c r="G380" s="17" t="str">
        <x:v>Erişilemedi</x:v>
      </x:c>
      <x:c r="H380" s="16" t="str">
        <x:v>Erişilemedi</x:v>
      </x:c>
      <x:c r="I380" s="18" t="n">
        <x:v>440</x:v>
      </x:c>
      <x:c r="J380" s="18" t="str">
        <x:v>Erişildi</x:v>
      </x:c>
      <x:c r="K380" s="18" t="str">
        <x:f>IF(AND(ISNUMBER(G380),ISNUMBER(I380)),I380/G380*1000,"Erişilemedi")</x:f>
        <x:v>Erişilemedi</x:v>
      </x:c>
      <x:c r="L380" s="16" t="str">
        <x:v>Stokta</x:v>
      </x:c>
      <x:c r="M380" s="16" t="str">
        <x:v>Kahve ürünü</x:v>
      </x:c>
      <x:c r="N380" s="16" t="str">
        <x:v>WooCommerce Store API</x:v>
      </x:c>
      <x:c r="O380" s="16" t="str">
        <x:v>Orta</x:v>
      </x:c>
      <x:c r="P380" s="19" t="n">
        <x:v>46245</x:v>
      </x:c>
      <x:c r="Q380" s="20" t="str">
        <x:v>https://coffeecode.com.tr/product/brazil-jaguar/</x:v>
      </x:c>
      <x:c r="R380" s="20" t="str">
        <x:v>Fiyat veya gramaj eksik olsa da ürün korundu.</x:v>
      </x:c>
    </x:row>
    <x:row r="381" ht="40" customHeight="1">
      <x:c r="A381" s="16" t="str">
        <x:v>Coffee Code Roasters</x:v>
      </x:c>
      <x:c r="B381" s="16" t="str"/>
      <x:c r="C381" s="16" t="str">
        <x:v>Pilot doğrulaması</x:v>
      </x:c>
      <x:c r="D381" s="16" t="str">
        <x:v>Ürün kaydı</x:v>
      </x:c>
      <x:c r="E381" s="16" t="str">
        <x:v>Brazil Jaguar</x:v>
      </x:c>
      <x:c r="F381" s="16" t="str">
        <x:v>Brezilya</x:v>
      </x:c>
      <x:c r="G381" s="17" t="n">
        <x:v>250</x:v>
      </x:c>
      <x:c r="H381" s="16" t="str">
        <x:v>Erişildi</x:v>
      </x:c>
      <x:c r="I381" s="18" t="n">
        <x:v>440</x:v>
      </x:c>
      <x:c r="J381" s="18" t="str">
        <x:v>Erişildi</x:v>
      </x:c>
      <x:c r="K381" s="18" t="n">
        <x:f>IF(AND(ISNUMBER(G381),ISNUMBER(I381)),I381/G381*1000,"Erişilemedi")</x:f>
        <x:v>1760</x:v>
      </x:c>
      <x:c r="L381" s="16" t="str">
        <x:v>Stokta</x:v>
      </x:c>
      <x:c r="M381" s="16" t="str">
        <x:v>Tek köken</x:v>
      </x:c>
      <x:c r="N381" s="16" t="str">
        <x:v>Pilot manuel/API doğrulaması</x:v>
      </x:c>
      <x:c r="O381" s="16" t="str">
        <x:v>Yüksek</x:v>
      </x:c>
      <x:c r="P381" s="19" t="n">
        <x:v>46245</x:v>
      </x:c>
      <x:c r="Q381" s="20" t="str">
        <x:v>https://coffeecode.com.tr/shop/</x:v>
      </x:c>
      <x:c r="R381" s="20" t="str">
        <x:v>Gramaj ürün varyant yapısından 250 g standart tüketici paketi olarak kaydedildi; 1 kg fiyat aralığı ayrıca çıkarılmadı.</x:v>
      </x:c>
    </x:row>
    <x:row r="382" ht="40" customHeight="1">
      <x:c r="A382" s="16" t="str">
        <x:v>Coffee Code Roasters</x:v>
      </x:c>
      <x:c r="B382" s="16" t="str">
        <x:v>Ankara</x:v>
      </x:c>
      <x:c r="C382" s="16" t="str">
        <x:v>Doğrulandı</x:v>
      </x:c>
      <x:c r="D382" s="16" t="str">
        <x:v>Ürün kaydı</x:v>
      </x:c>
      <x:c r="E382" s="16" t="str">
        <x:v>Brazil Red Diamond</x:v>
      </x:c>
      <x:c r="F382" s="16" t="str">
        <x:v>Brezilya</x:v>
      </x:c>
      <x:c r="G382" s="17" t="str">
        <x:v>Erişilemedi</x:v>
      </x:c>
      <x:c r="H382" s="16" t="str">
        <x:v>Erişilemedi</x:v>
      </x:c>
      <x:c r="I382" s="18" t="n">
        <x:v>480</x:v>
      </x:c>
      <x:c r="J382" s="18" t="str">
        <x:v>Erişildi</x:v>
      </x:c>
      <x:c r="K382" s="18" t="str">
        <x:f>IF(AND(ISNUMBER(G382),ISNUMBER(I382)),I382/G382*1000,"Erişilemedi")</x:f>
        <x:v>Erişilemedi</x:v>
      </x:c>
      <x:c r="L382" s="16" t="str">
        <x:v>Stokta yok</x:v>
      </x:c>
      <x:c r="M382" s="16" t="str">
        <x:v>Kahve ürünü</x:v>
      </x:c>
      <x:c r="N382" s="16" t="str">
        <x:v>WooCommerce Store API</x:v>
      </x:c>
      <x:c r="O382" s="16" t="str">
        <x:v>Orta</x:v>
      </x:c>
      <x:c r="P382" s="19" t="n">
        <x:v>46245</x:v>
      </x:c>
      <x:c r="Q382" s="20" t="str">
        <x:v>https://coffeecode.com.tr/product/brazil-red-diamond/</x:v>
      </x:c>
      <x:c r="R382" s="20" t="str">
        <x:v>Fiyat veya gramaj eksik olsa da ürün korundu.</x:v>
      </x:c>
    </x:row>
    <x:row r="383" ht="40" customHeight="1">
      <x:c r="A383" s="16" t="str">
        <x:v>Coffee Code Roasters</x:v>
      </x:c>
      <x:c r="B383" s="16" t="str">
        <x:v>Ankara</x:v>
      </x:c>
      <x:c r="C383" s="16" t="str">
        <x:v>Doğrulandı</x:v>
      </x:c>
      <x:c r="D383" s="16" t="str">
        <x:v>Ürün kaydı</x:v>
      </x:c>
      <x:c r="E383" s="16" t="str">
        <x:v>Colombia İnga Aponte</x:v>
      </x:c>
      <x:c r="F383" s="16" t="str">
        <x:v>Kolombiya</x:v>
      </x:c>
      <x:c r="G383" s="17" t="str">
        <x:v>Erişilemedi</x:v>
      </x:c>
      <x:c r="H383" s="16" t="str">
        <x:v>Erişilemedi</x:v>
      </x:c>
      <x:c r="I383" s="18" t="n">
        <x:v>460</x:v>
      </x:c>
      <x:c r="J383" s="18" t="str">
        <x:v>Erişildi</x:v>
      </x:c>
      <x:c r="K383" s="18" t="str">
        <x:f>IF(AND(ISNUMBER(G383),ISNUMBER(I383)),I383/G383*1000,"Erişilemedi")</x:f>
        <x:v>Erişilemedi</x:v>
      </x:c>
      <x:c r="L383" s="16" t="str">
        <x:v>Stokta</x:v>
      </x:c>
      <x:c r="M383" s="16" t="str">
        <x:v>Kahve ürünü</x:v>
      </x:c>
      <x:c r="N383" s="16" t="str">
        <x:v>WooCommerce Store API</x:v>
      </x:c>
      <x:c r="O383" s="16" t="str">
        <x:v>Orta</x:v>
      </x:c>
      <x:c r="P383" s="19" t="n">
        <x:v>46245</x:v>
      </x:c>
      <x:c r="Q383" s="20" t="str">
        <x:v>https://coffeecode.com.tr/product/colombia-inga-aponte/</x:v>
      </x:c>
      <x:c r="R383" s="20" t="str">
        <x:v>Fiyat veya gramaj eksik olsa da ürün korundu.</x:v>
      </x:c>
    </x:row>
    <x:row r="384" ht="40" customHeight="1">
      <x:c r="A384" s="16" t="str">
        <x:v>Coffee Code Roasters</x:v>
      </x:c>
      <x:c r="B384" s="16" t="str"/>
      <x:c r="C384" s="16" t="str">
        <x:v>Pilot doğrulaması</x:v>
      </x:c>
      <x:c r="D384" s="16" t="str">
        <x:v>Ürün kaydı</x:v>
      </x:c>
      <x:c r="E384" s="16" t="str">
        <x:v>Colombia İnga Aponte</x:v>
      </x:c>
      <x:c r="F384" s="16" t="str">
        <x:v>Kolombiya</x:v>
      </x:c>
      <x:c r="G384" s="17" t="n">
        <x:v>250</x:v>
      </x:c>
      <x:c r="H384" s="16" t="str">
        <x:v>Erişildi</x:v>
      </x:c>
      <x:c r="I384" s="18" t="n">
        <x:v>460</x:v>
      </x:c>
      <x:c r="J384" s="18" t="str">
        <x:v>Erişildi</x:v>
      </x:c>
      <x:c r="K384" s="18" t="n">
        <x:f>IF(AND(ISNUMBER(G384),ISNUMBER(I384)),I384/G384*1000,"Erişilemedi")</x:f>
        <x:v>1840</x:v>
      </x:c>
      <x:c r="L384" s="16" t="str">
        <x:v>Stokta</x:v>
      </x:c>
      <x:c r="M384" s="16" t="str">
        <x:v>Tek köken</x:v>
      </x:c>
      <x:c r="N384" s="16" t="str">
        <x:v>Pilot manuel/API doğrulaması</x:v>
      </x:c>
      <x:c r="O384" s="16" t="str">
        <x:v>Yüksek</x:v>
      </x:c>
      <x:c r="P384" s="19" t="n">
        <x:v>46245</x:v>
      </x:c>
      <x:c r="Q384" s="20" t="str">
        <x:v>https://coffeecode.com.tr/shop/</x:v>
      </x:c>
      <x:c r="R384" s="20" t="str">
        <x:v>Gramaj ürün varyant yapısından 250 g standart tüketici paketi olarak kaydedildi; 1 kg fiyat aralığı ayrıca çıkarılmadı.</x:v>
      </x:c>
    </x:row>
    <x:row r="385" ht="40" customHeight="1">
      <x:c r="A385" s="16" t="str">
        <x:v>Coffee Code Roasters</x:v>
      </x:c>
      <x:c r="B385" s="16" t="str">
        <x:v>Ankara</x:v>
      </x:c>
      <x:c r="C385" s="16" t="str">
        <x:v>Doğrulandı</x:v>
      </x:c>
      <x:c r="D385" s="16" t="str">
        <x:v>Ürün kaydı</x:v>
      </x:c>
      <x:c r="E385" s="16" t="str">
        <x:v>Endonezya Frınsa</x:v>
      </x:c>
      <x:c r="F385" s="16" t="str">
        <x:v>Endonezya</x:v>
      </x:c>
      <x:c r="G385" s="17" t="str">
        <x:v>Erişilemedi</x:v>
      </x:c>
      <x:c r="H385" s="16" t="str">
        <x:v>Erişilemedi</x:v>
      </x:c>
      <x:c r="I385" s="18" t="n">
        <x:v>300</x:v>
      </x:c>
      <x:c r="J385" s="18" t="str">
        <x:v>Erişildi</x:v>
      </x:c>
      <x:c r="K385" s="18" t="str">
        <x:f>IF(AND(ISNUMBER(G385),ISNUMBER(I385)),I385/G385*1000,"Erişilemedi")</x:f>
        <x:v>Erişilemedi</x:v>
      </x:c>
      <x:c r="L385" s="16" t="str">
        <x:v>Stokta yok</x:v>
      </x:c>
      <x:c r="M385" s="16" t="str">
        <x:v>Kahve ürünü</x:v>
      </x:c>
      <x:c r="N385" s="16" t="str">
        <x:v>WooCommerce Store API</x:v>
      </x:c>
      <x:c r="O385" s="16" t="str">
        <x:v>Orta</x:v>
      </x:c>
      <x:c r="P385" s="19" t="n">
        <x:v>46245</x:v>
      </x:c>
      <x:c r="Q385" s="20" t="str">
        <x:v>https://coffeecode.com.tr/product/endonezya-frinsa/</x:v>
      </x:c>
      <x:c r="R385" s="20" t="str">
        <x:v>Fiyat veya gramaj eksik olsa da ürün korundu.</x:v>
      </x:c>
    </x:row>
    <x:row r="386" ht="40" customHeight="1">
      <x:c r="A386" s="16" t="str">
        <x:v>Coffee Code Roasters</x:v>
      </x:c>
      <x:c r="B386" s="16" t="str"/>
      <x:c r="C386" s="16" t="str">
        <x:v>Pilot doğrulaması</x:v>
      </x:c>
      <x:c r="D386" s="16" t="str">
        <x:v>Ürün kaydı</x:v>
      </x:c>
      <x:c r="E386" s="16" t="str">
        <x:v>Hakuna Matata</x:v>
      </x:c>
      <x:c r="F386" s="16" t="str">
        <x:v>Harman – menşe belirtilmemiş</x:v>
      </x:c>
      <x:c r="G386" s="17" t="n">
        <x:v>250</x:v>
      </x:c>
      <x:c r="H386" s="16" t="str">
        <x:v>Erişildi</x:v>
      </x:c>
      <x:c r="I386" s="18" t="n">
        <x:v>540</x:v>
      </x:c>
      <x:c r="J386" s="18" t="str">
        <x:v>Erişildi</x:v>
      </x:c>
      <x:c r="K386" s="18" t="n">
        <x:f>IF(AND(ISNUMBER(G386),ISNUMBER(I386)),I386/G386*1000,"Erişilemedi")</x:f>
        <x:v>2160</x:v>
      </x:c>
      <x:c r="L386" s="16" t="str">
        <x:v>Stokta</x:v>
      </x:c>
      <x:c r="M386" s="16" t="str">
        <x:v>Harman</x:v>
      </x:c>
      <x:c r="N386" s="16" t="str">
        <x:v>Pilot manuel/API doğrulaması</x:v>
      </x:c>
      <x:c r="O386" s="16" t="str">
        <x:v>Yüksek</x:v>
      </x:c>
      <x:c r="P386" s="19" t="n">
        <x:v>46245</x:v>
      </x:c>
      <x:c r="Q386" s="20" t="str">
        <x:v>https://coffeecode.com.tr/shop/</x:v>
      </x:c>
      <x:c r="R386" s="20" t="str">
        <x:v>Gramaj ürün varyant yapısından 250 g standart tüketici paketi olarak kaydedildi; 1 kg fiyat aralığı ayrıca çıkarılmadı.</x:v>
      </x:c>
    </x:row>
    <x:row r="387" ht="40" customHeight="1">
      <x:c r="A387" s="16" t="str">
        <x:v>Coffee Code Roasters</x:v>
      </x:c>
      <x:c r="B387" s="16" t="str">
        <x:v>Ankara</x:v>
      </x:c>
      <x:c r="C387" s="16" t="str">
        <x:v>Doğrulandı</x:v>
      </x:c>
      <x:c r="D387" s="16" t="str">
        <x:v>Ürün kaydı</x:v>
      </x:c>
      <x:c r="E387" s="16" t="str">
        <x:v>Honduras El Jardin</x:v>
      </x:c>
      <x:c r="F387" s="16" t="str">
        <x:v>Honduras</x:v>
      </x:c>
      <x:c r="G387" s="17" t="str">
        <x:v>Erişilemedi</x:v>
      </x:c>
      <x:c r="H387" s="16" t="str">
        <x:v>Erişilemedi</x:v>
      </x:c>
      <x:c r="I387" s="18" t="n">
        <x:v>520</x:v>
      </x:c>
      <x:c r="J387" s="18" t="str">
        <x:v>Erişildi</x:v>
      </x:c>
      <x:c r="K387" s="18" t="str">
        <x:f>IF(AND(ISNUMBER(G387),ISNUMBER(I387)),I387/G387*1000,"Erişilemedi")</x:f>
        <x:v>Erişilemedi</x:v>
      </x:c>
      <x:c r="L387" s="16" t="str">
        <x:v>Stokta</x:v>
      </x:c>
      <x:c r="M387" s="16" t="str">
        <x:v>Kahve ürünü</x:v>
      </x:c>
      <x:c r="N387" s="16" t="str">
        <x:v>WooCommerce Store API</x:v>
      </x:c>
      <x:c r="O387" s="16" t="str">
        <x:v>Orta</x:v>
      </x:c>
      <x:c r="P387" s="19" t="n">
        <x:v>46245</x:v>
      </x:c>
      <x:c r="Q387" s="20" t="str">
        <x:v>https://coffeecode.com.tr/product/honduras-el-jardin/</x:v>
      </x:c>
      <x:c r="R387" s="20" t="str">
        <x:v>Fiyat veya gramaj eksik olsa da ürün korundu.</x:v>
      </x:c>
    </x:row>
    <x:row r="388" ht="40" customHeight="1">
      <x:c r="A388" s="16" t="str">
        <x:v>Coffee Code Roasters</x:v>
      </x:c>
      <x:c r="B388" s="16" t="str"/>
      <x:c r="C388" s="16" t="str">
        <x:v>Pilot doğrulaması</x:v>
      </x:c>
      <x:c r="D388" s="16" t="str">
        <x:v>Ürün kaydı</x:v>
      </x:c>
      <x:c r="E388" s="16" t="str">
        <x:v>Honduras El Jardin</x:v>
      </x:c>
      <x:c r="F388" s="16" t="str">
        <x:v>Honduras</x:v>
      </x:c>
      <x:c r="G388" s="17" t="n">
        <x:v>250</x:v>
      </x:c>
      <x:c r="H388" s="16" t="str">
        <x:v>Erişildi</x:v>
      </x:c>
      <x:c r="I388" s="18" t="n">
        <x:v>520</x:v>
      </x:c>
      <x:c r="J388" s="18" t="str">
        <x:v>Erişildi</x:v>
      </x:c>
      <x:c r="K388" s="18" t="n">
        <x:f>IF(AND(ISNUMBER(G388),ISNUMBER(I388)),I388/G388*1000,"Erişilemedi")</x:f>
        <x:v>2080</x:v>
      </x:c>
      <x:c r="L388" s="16" t="str">
        <x:v>Stokta</x:v>
      </x:c>
      <x:c r="M388" s="16" t="str">
        <x:v>Tek köken</x:v>
      </x:c>
      <x:c r="N388" s="16" t="str">
        <x:v>Pilot manuel/API doğrulaması</x:v>
      </x:c>
      <x:c r="O388" s="16" t="str">
        <x:v>Yüksek</x:v>
      </x:c>
      <x:c r="P388" s="19" t="n">
        <x:v>46245</x:v>
      </x:c>
      <x:c r="Q388" s="20" t="str">
        <x:v>https://coffeecode.com.tr/shop/</x:v>
      </x:c>
      <x:c r="R388" s="20" t="str">
        <x:v>Gramaj ürün varyant yapısından 250 g standart tüketici paketi olarak kaydedildi; 1 kg fiyat aralığı ayrıca çıkarılmadı.</x:v>
      </x:c>
    </x:row>
    <x:row r="389" ht="40" customHeight="1">
      <x:c r="A389" s="16" t="str">
        <x:v>Coffee Code Roasters</x:v>
      </x:c>
      <x:c r="B389" s="16" t="str">
        <x:v>Ankara</x:v>
      </x:c>
      <x:c r="C389" s="16" t="str">
        <x:v>Doğrulandı</x:v>
      </x:c>
      <x:c r="D389" s="16" t="str">
        <x:v>Ürün kaydı</x:v>
      </x:c>
      <x:c r="E389" s="16" t="str">
        <x:v>Kahve Çuvalı</x:v>
      </x:c>
      <x:c r="F389" s="16" t="str">
        <x:v>Menşe belirtilmemiş</x:v>
      </x:c>
      <x:c r="G389" s="17" t="str">
        <x:v>Erişilemedi</x:v>
      </x:c>
      <x:c r="H389" s="16" t="str">
        <x:v>Erişilemedi</x:v>
      </x:c>
      <x:c r="I389" s="18" t="n">
        <x:v>40</x:v>
      </x:c>
      <x:c r="J389" s="18" t="str">
        <x:v>Erişildi</x:v>
      </x:c>
      <x:c r="K389" s="18" t="str">
        <x:f>IF(AND(ISNUMBER(G389),ISNUMBER(I389)),I389/G389*1000,"Erişilemedi")</x:f>
        <x:v>Erişilemedi</x:v>
      </x:c>
      <x:c r="L389" s="16" t="str">
        <x:v>Stokta</x:v>
      </x:c>
      <x:c r="M389" s="16" t="str">
        <x:v>Kahve ürünü</x:v>
      </x:c>
      <x:c r="N389" s="16" t="str">
        <x:v>WooCommerce Store API</x:v>
      </x:c>
      <x:c r="O389" s="16" t="str">
        <x:v>Orta</x:v>
      </x:c>
      <x:c r="P389" s="19" t="n">
        <x:v>46245</x:v>
      </x:c>
      <x:c r="Q389" s="20" t="str">
        <x:v>https://coffeecode.com.tr/product/kahve-cuvali/</x:v>
      </x:c>
      <x:c r="R389" s="20" t="str">
        <x:v>Fiyat veya gramaj eksik olsa da ürün korundu.</x:v>
      </x:c>
    </x:row>
    <x:row r="390" ht="40" customHeight="1">
      <x:c r="A390" s="16" t="str">
        <x:v>Coffee Code Roasters</x:v>
      </x:c>
      <x:c r="B390" s="16" t="str">
        <x:v>Ankara</x:v>
      </x:c>
      <x:c r="C390" s="16" t="str">
        <x:v>Doğrulandı</x:v>
      </x:c>
      <x:c r="D390" s="16" t="str">
        <x:v>Ürün kaydı</x:v>
      </x:c>
      <x:c r="E390" s="16" t="str">
        <x:v>Kenya Wanrich</x:v>
      </x:c>
      <x:c r="F390" s="16" t="str">
        <x:v>Kenya</x:v>
      </x:c>
      <x:c r="G390" s="17" t="str">
        <x:v>Erişilemedi</x:v>
      </x:c>
      <x:c r="H390" s="16" t="str">
        <x:v>Erişilemedi</x:v>
      </x:c>
      <x:c r="I390" s="18" t="n">
        <x:v>490</x:v>
      </x:c>
      <x:c r="J390" s="18" t="str">
        <x:v>Erişildi</x:v>
      </x:c>
      <x:c r="K390" s="18" t="str">
        <x:f>IF(AND(ISNUMBER(G390),ISNUMBER(I390)),I390/G390*1000,"Erişilemedi")</x:f>
        <x:v>Erişilemedi</x:v>
      </x:c>
      <x:c r="L390" s="16" t="str">
        <x:v>Stokta</x:v>
      </x:c>
      <x:c r="M390" s="16" t="str">
        <x:v>Kahve ürünü</x:v>
      </x:c>
      <x:c r="N390" s="16" t="str">
        <x:v>WooCommerce Store API</x:v>
      </x:c>
      <x:c r="O390" s="16" t="str">
        <x:v>Orta</x:v>
      </x:c>
      <x:c r="P390" s="19" t="n">
        <x:v>46245</x:v>
      </x:c>
      <x:c r="Q390" s="20" t="str">
        <x:v>https://coffeecode.com.tr/product/kenya-wanrich/</x:v>
      </x:c>
      <x:c r="R390" s="20" t="str">
        <x:v>Fiyat veya gramaj eksik olsa da ürün korundu.</x:v>
      </x:c>
    </x:row>
    <x:row r="391" ht="40" customHeight="1">
      <x:c r="A391" s="16" t="str">
        <x:v>Coffee Code Roasters</x:v>
      </x:c>
      <x:c r="B391" s="16" t="str"/>
      <x:c r="C391" s="16" t="str">
        <x:v>Pilot doğrulaması</x:v>
      </x:c>
      <x:c r="D391" s="16" t="str">
        <x:v>Ürün kaydı</x:v>
      </x:c>
      <x:c r="E391" s="16" t="str">
        <x:v>Kenya Wanrich</x:v>
      </x:c>
      <x:c r="F391" s="16" t="str">
        <x:v>Kenya</x:v>
      </x:c>
      <x:c r="G391" s="17" t="n">
        <x:v>250</x:v>
      </x:c>
      <x:c r="H391" s="16" t="str">
        <x:v>Erişildi</x:v>
      </x:c>
      <x:c r="I391" s="18" t="n">
        <x:v>490</x:v>
      </x:c>
      <x:c r="J391" s="18" t="str">
        <x:v>Erişildi</x:v>
      </x:c>
      <x:c r="K391" s="18" t="n">
        <x:f>IF(AND(ISNUMBER(G391),ISNUMBER(I391)),I391/G391*1000,"Erişilemedi")</x:f>
        <x:v>1960</x:v>
      </x:c>
      <x:c r="L391" s="16" t="str">
        <x:v>Stokta</x:v>
      </x:c>
      <x:c r="M391" s="16" t="str">
        <x:v>Tek köken</x:v>
      </x:c>
      <x:c r="N391" s="16" t="str">
        <x:v>Pilot manuel/API doğrulaması</x:v>
      </x:c>
      <x:c r="O391" s="16" t="str">
        <x:v>Yüksek</x:v>
      </x:c>
      <x:c r="P391" s="19" t="n">
        <x:v>46245</x:v>
      </x:c>
      <x:c r="Q391" s="20" t="str">
        <x:v>https://coffeecode.com.tr/shop/</x:v>
      </x:c>
      <x:c r="R391" s="20" t="str">
        <x:v>Gramaj ürün varyant yapısından 250 g standart tüketici paketi olarak kaydedildi; 1 kg fiyat aralığı ayrıca çıkarılmadı.</x:v>
      </x:c>
    </x:row>
    <x:row r="392" ht="40" customHeight="1">
      <x:c r="A392" s="16" t="str">
        <x:v>Coffee Code Roasters</x:v>
      </x:c>
      <x:c r="B392" s="16" t="str">
        <x:v>Ankara</x:v>
      </x:c>
      <x:c r="C392" s="16" t="str">
        <x:v>Doğrulandı</x:v>
      </x:c>
      <x:c r="D392" s="16" t="str">
        <x:v>Ürün kaydı</x:v>
      </x:c>
      <x:c r="E392" s="16" t="str">
        <x:v>No Acid, No Fear</x:v>
      </x:c>
      <x:c r="F392" s="16" t="str">
        <x:v>Brezilya | Honduras | El Salvador</x:v>
      </x:c>
      <x:c r="G392" s="17" t="n">
        <x:v>100</x:v>
      </x:c>
      <x:c r="H392" s="16" t="str">
        <x:v>Erişildi</x:v>
      </x:c>
      <x:c r="I392" s="18" t="n">
        <x:v>490</x:v>
      </x:c>
      <x:c r="J392" s="18" t="str">
        <x:v>Erişildi</x:v>
      </x:c>
      <x:c r="K392" s="18" t="n">
        <x:f>IF(AND(ISNUMBER(G392),ISNUMBER(I392)),I392/G392*1000,"Erişilemedi")</x:f>
        <x:v>4900</x:v>
      </x:c>
      <x:c r="L392" s="16" t="str">
        <x:v>Stokta</x:v>
      </x:c>
      <x:c r="M392" s="16" t="str">
        <x:v>Tek köken/ürün</x:v>
      </x:c>
      <x:c r="N392" s="16" t="str">
        <x:v>WooCommerce Store API</x:v>
      </x:c>
      <x:c r="O392" s="16" t="str">
        <x:v>Yüksek</x:v>
      </x:c>
      <x:c r="P392" s="19" t="n">
        <x:v>46245</x:v>
      </x:c>
      <x:c r="Q392" s="20" t="str">
        <x:v>https://coffeecode.com.tr/product/no-acid-no-fear/</x:v>
      </x:c>
      <x:c r="R392" s="20" t="str">
        <x:v>Başlık/açıklamada açık gramaj bulunan aktif ürün.</x:v>
      </x:c>
    </x:row>
    <x:row r="393" ht="40" customHeight="1">
      <x:c r="A393" s="16" t="str">
        <x:v>Coffee Code Roasters</x:v>
      </x:c>
      <x:c r="B393" s="16" t="str"/>
      <x:c r="C393" s="16" t="str">
        <x:v>Pilot doğrulaması</x:v>
      </x:c>
      <x:c r="D393" s="16" t="str">
        <x:v>Ürün kaydı</x:v>
      </x:c>
      <x:c r="E393" s="16" t="str">
        <x:v>No Acid, No Fear</x:v>
      </x:c>
      <x:c r="F393" s="16" t="str">
        <x:v>Harman – menşe belirtilmemiş</x:v>
      </x:c>
      <x:c r="G393" s="17" t="n">
        <x:v>250</x:v>
      </x:c>
      <x:c r="H393" s="16" t="str">
        <x:v>Erişildi</x:v>
      </x:c>
      <x:c r="I393" s="18" t="n">
        <x:v>490</x:v>
      </x:c>
      <x:c r="J393" s="18" t="str">
        <x:v>Erişildi</x:v>
      </x:c>
      <x:c r="K393" s="18" t="n">
        <x:f>IF(AND(ISNUMBER(G393),ISNUMBER(I393)),I393/G393*1000,"Erişilemedi")</x:f>
        <x:v>1960</x:v>
      </x:c>
      <x:c r="L393" s="16" t="str">
        <x:v>Stokta</x:v>
      </x:c>
      <x:c r="M393" s="16" t="str">
        <x:v>Harman</x:v>
      </x:c>
      <x:c r="N393" s="16" t="str">
        <x:v>Pilot manuel/API doğrulaması</x:v>
      </x:c>
      <x:c r="O393" s="16" t="str">
        <x:v>Yüksek</x:v>
      </x:c>
      <x:c r="P393" s="19" t="n">
        <x:v>46245</x:v>
      </x:c>
      <x:c r="Q393" s="20" t="str">
        <x:v>https://coffeecode.com.tr/shop/</x:v>
      </x:c>
      <x:c r="R393" s="20" t="str">
        <x:v>Gramaj ürün varyant yapısından 250 g standart tüketici paketi olarak kaydedildi; 1 kg fiyat aralığı ayrıca çıkarılmadı.</x:v>
      </x:c>
    </x:row>
    <x:row r="394" ht="40" customHeight="1">
      <x:c r="A394" s="16" t="str">
        <x:v>Coffee Code Roasters</x:v>
      </x:c>
      <x:c r="B394" s="16" t="str">
        <x:v>Ankara</x:v>
      </x:c>
      <x:c r="C394" s="16" t="str">
        <x:v>Doğrulandı</x:v>
      </x:c>
      <x:c r="D394" s="16" t="str">
        <x:v>Ürün kaydı</x:v>
      </x:c>
      <x:c r="E394" s="16" t="str">
        <x:v>Rwanda</x:v>
      </x:c>
      <x:c r="F394" s="16" t="str">
        <x:v>Ruanda</x:v>
      </x:c>
      <x:c r="G394" s="17" t="str">
        <x:v>Erişilemedi</x:v>
      </x:c>
      <x:c r="H394" s="16" t="str">
        <x:v>Erişilemedi</x:v>
      </x:c>
      <x:c r="I394" s="18" t="n">
        <x:v>480</x:v>
      </x:c>
      <x:c r="J394" s="18" t="str">
        <x:v>Erişildi</x:v>
      </x:c>
      <x:c r="K394" s="18" t="str">
        <x:f>IF(AND(ISNUMBER(G394),ISNUMBER(I394)),I394/G394*1000,"Erişilemedi")</x:f>
        <x:v>Erişilemedi</x:v>
      </x:c>
      <x:c r="L394" s="16" t="str">
        <x:v>Stokta yok</x:v>
      </x:c>
      <x:c r="M394" s="16" t="str">
        <x:v>Kahve ürünü</x:v>
      </x:c>
      <x:c r="N394" s="16" t="str">
        <x:v>WooCommerce Store API</x:v>
      </x:c>
      <x:c r="O394" s="16" t="str">
        <x:v>Orta</x:v>
      </x:c>
      <x:c r="P394" s="19" t="n">
        <x:v>46245</x:v>
      </x:c>
      <x:c r="Q394" s="20" t="str">
        <x:v>https://coffeecode.com.tr/product/rwanda/</x:v>
      </x:c>
      <x:c r="R394" s="20" t="str">
        <x:v>Fiyat veya gramaj eksik olsa da ürün korundu.</x:v>
      </x:c>
    </x:row>
    <x:row r="395" ht="40" customHeight="1">
      <x:c r="A395" s="16" t="str">
        <x:v>Coffee Department</x:v>
      </x:c>
      <x:c r="B395" s="16" t="str">
        <x:v>İstanbul</x:v>
      </x:c>
      <x:c r="C395" s="16" t="str">
        <x:v>Doğrulandı</x:v>
      </x:c>
      <x:c r="D395" s="16" t="str">
        <x:v>Ürün kaydı</x:v>
      </x:c>
      <x:c r="E395" s="16" t="str">
        <x:v>Brazil / Cerrado / Natural</x:v>
      </x:c>
      <x:c r="F395" s="16" t="str">
        <x:v>Brezilya</x:v>
      </x:c>
      <x:c r="G395" s="17" t="str">
        <x:v>Erişilemedi</x:v>
      </x:c>
      <x:c r="H395" s="16" t="str">
        <x:v>Erişilemedi</x:v>
      </x:c>
      <x:c r="I395" s="18" t="n">
        <x:v>0</x:v>
      </x:c>
      <x:c r="J395" s="18" t="str">
        <x:v>Erişilemedi</x:v>
      </x:c>
      <x:c r="K395" s="18" t="str">
        <x:f>IF(AND(ISNUMBER(G395),ISNUMBER(I395)),I395/G395*1000,"Erişilemedi")</x:f>
        <x:v>Erişilemedi</x:v>
      </x:c>
      <x:c r="L395" s="16" t="str">
        <x:v>Belirsiz</x:v>
      </x:c>
      <x:c r="M395" s="16" t="str">
        <x:v>Kahve ürünü</x:v>
      </x:c>
      <x:c r="N395" s="16" t="str">
        <x:v>Site haritası ürün sayfası</x:v>
      </x:c>
      <x:c r="O395" s="16" t="str">
        <x:v>Düşük</x:v>
      </x:c>
      <x:c r="P395" s="19" t="n">
        <x:v>46245</x:v>
      </x:c>
      <x:c r="Q395" s="20" t="str">
        <x:v>https://coffeedepartment.co/brazil-cerrado-natural</x:v>
      </x:c>
      <x:c r="R395" s="20" t="str">
        <x:v>Ürün kimliği korundu; eksik alanlar erişilemedi olarak işaretlenecek.</x:v>
      </x:c>
    </x:row>
    <x:row r="396" ht="40" customHeight="1">
      <x:c r="A396" s="16" t="str">
        <x:v>Coffee Department</x:v>
      </x:c>
      <x:c r="B396" s="16" t="str">
        <x:v>İstanbul</x:v>
      </x:c>
      <x:c r="C396" s="16" t="str">
        <x:v>Doğrulandı</x:v>
      </x:c>
      <x:c r="D396" s="16" t="str">
        <x:v>Ürün kaydı</x:v>
      </x:c>
      <x:c r="E396" s="16" t="str">
        <x:v>Brazil / Diamantina / Natural</x:v>
      </x:c>
      <x:c r="F396" s="16" t="str">
        <x:v>Brezilya</x:v>
      </x:c>
      <x:c r="G396" s="17" t="str">
        <x:v>Erişilemedi</x:v>
      </x:c>
      <x:c r="H396" s="16" t="str">
        <x:v>Erişilemedi</x:v>
      </x:c>
      <x:c r="I396" s="18" t="n">
        <x:v>0</x:v>
      </x:c>
      <x:c r="J396" s="18" t="str">
        <x:v>Erişilemedi</x:v>
      </x:c>
      <x:c r="K396" s="18" t="str">
        <x:f>IF(AND(ISNUMBER(G396),ISNUMBER(I396)),I396/G396*1000,"Erişilemedi")</x:f>
        <x:v>Erişilemedi</x:v>
      </x:c>
      <x:c r="L396" s="16" t="str">
        <x:v>Belirsiz</x:v>
      </x:c>
      <x:c r="M396" s="16" t="str">
        <x:v>Kahve ürünü</x:v>
      </x:c>
      <x:c r="N396" s="16" t="str">
        <x:v>Site haritası ürün sayfası</x:v>
      </x:c>
      <x:c r="O396" s="16" t="str">
        <x:v>Düşük</x:v>
      </x:c>
      <x:c r="P396" s="19" t="n">
        <x:v>46245</x:v>
      </x:c>
      <x:c r="Q396" s="20" t="str">
        <x:v>https://coffeedepartment.co/brazil-diamantina-natural</x:v>
      </x:c>
      <x:c r="R396" s="20" t="str">
        <x:v>Ürün kimliği korundu; eksik alanlar erişilemedi olarak işaretlenecek.</x:v>
      </x:c>
    </x:row>
    <x:row r="397" ht="40" customHeight="1">
      <x:c r="A397" s="16" t="str">
        <x:v>Coffee Department</x:v>
      </x:c>
      <x:c r="B397" s="16" t="str">
        <x:v>İstanbul</x:v>
      </x:c>
      <x:c r="C397" s="16" t="str">
        <x:v>Doğrulandı</x:v>
      </x:c>
      <x:c r="D397" s="16" t="str">
        <x:v>Ürün kaydı</x:v>
      </x:c>
      <x:c r="E397" s="16" t="str">
        <x:v>Colombia / Hulcafe / Sugar Cane Decaf</x:v>
      </x:c>
      <x:c r="F397" s="16" t="str">
        <x:v>Kolombiya</x:v>
      </x:c>
      <x:c r="G397" s="17" t="str">
        <x:v>Erişilemedi</x:v>
      </x:c>
      <x:c r="H397" s="16" t="str">
        <x:v>Erişilemedi</x:v>
      </x:c>
      <x:c r="I397" s="18" t="n">
        <x:v>0</x:v>
      </x:c>
      <x:c r="J397" s="18" t="str">
        <x:v>Erişilemedi</x:v>
      </x:c>
      <x:c r="K397" s="18" t="str">
        <x:f>IF(AND(ISNUMBER(G397),ISNUMBER(I397)),I397/G397*1000,"Erişilemedi")</x:f>
        <x:v>Erişilemedi</x:v>
      </x:c>
      <x:c r="L397" s="16" t="str">
        <x:v>Belirsiz</x:v>
      </x:c>
      <x:c r="M397" s="16" t="str">
        <x:v>Kahve ürünü</x:v>
      </x:c>
      <x:c r="N397" s="16" t="str">
        <x:v>Site haritası ürün sayfası</x:v>
      </x:c>
      <x:c r="O397" s="16" t="str">
        <x:v>Düşük</x:v>
      </x:c>
      <x:c r="P397" s="19" t="n">
        <x:v>46245</x:v>
      </x:c>
      <x:c r="Q397" s="20" t="str">
        <x:v>https://coffeedepartment.co/colombia-hulcafe-sugar-cane-decaf</x:v>
      </x:c>
      <x:c r="R397" s="20" t="str">
        <x:v>Ürün kimliği korundu; eksik alanlar erişilemedi olarak işaretlenecek.</x:v>
      </x:c>
    </x:row>
    <x:row r="398" ht="40" customHeight="1">
      <x:c r="A398" s="16" t="str">
        <x:v>Coffee Department</x:v>
      </x:c>
      <x:c r="B398" s="16" t="str">
        <x:v>İstanbul</x:v>
      </x:c>
      <x:c r="C398" s="16" t="str">
        <x:v>Doğrulandı</x:v>
      </x:c>
      <x:c r="D398" s="16" t="str">
        <x:v>Ürün kaydı</x:v>
      </x:c>
      <x:c r="E398" s="16" t="str">
        <x:v>Costa Rica / La Isla / Honey Process</x:v>
      </x:c>
      <x:c r="F398" s="16" t="str">
        <x:v>Kosta Rika</x:v>
      </x:c>
      <x:c r="G398" s="17" t="str">
        <x:v>Erişilemedi</x:v>
      </x:c>
      <x:c r="H398" s="16" t="str">
        <x:v>Erişilemedi</x:v>
      </x:c>
      <x:c r="I398" s="18" t="n">
        <x:v>0</x:v>
      </x:c>
      <x:c r="J398" s="18" t="str">
        <x:v>Erişilemedi</x:v>
      </x:c>
      <x:c r="K398" s="18" t="str">
        <x:f>IF(AND(ISNUMBER(G398),ISNUMBER(I398)),I398/G398*1000,"Erişilemedi")</x:f>
        <x:v>Erişilemedi</x:v>
      </x:c>
      <x:c r="L398" s="16" t="str">
        <x:v>Belirsiz</x:v>
      </x:c>
      <x:c r="M398" s="16" t="str">
        <x:v>Kahve ürünü</x:v>
      </x:c>
      <x:c r="N398" s="16" t="str">
        <x:v>Site haritası ürün sayfası</x:v>
      </x:c>
      <x:c r="O398" s="16" t="str">
        <x:v>Düşük</x:v>
      </x:c>
      <x:c r="P398" s="19" t="n">
        <x:v>46245</x:v>
      </x:c>
      <x:c r="Q398" s="20" t="str">
        <x:v>https://coffeedepartment.co/costa-rica-la-isla-honey-process</x:v>
      </x:c>
      <x:c r="R398" s="20" t="str">
        <x:v>Ürün kimliği korundu; eksik alanlar erişilemedi olarak işaretlenecek.</x:v>
      </x:c>
    </x:row>
    <x:row r="399" ht="40" customHeight="1">
      <x:c r="A399" s="16" t="str">
        <x:v>Coffee Department</x:v>
      </x:c>
      <x:c r="B399" s="16" t="str">
        <x:v>İstanbul</x:v>
      </x:c>
      <x:c r="C399" s="16" t="str">
        <x:v>Doğrulandı</x:v>
      </x:c>
      <x:c r="D399" s="16" t="str">
        <x:v>Ürün kaydı</x:v>
      </x:c>
      <x:c r="E399" s="16" t="str">
        <x:v>El Salvador / El Borbollon / Washed</x:v>
      </x:c>
      <x:c r="F399" s="16" t="str">
        <x:v>El Salvador</x:v>
      </x:c>
      <x:c r="G399" s="17" t="str">
        <x:v>Erişilemedi</x:v>
      </x:c>
      <x:c r="H399" s="16" t="str">
        <x:v>Erişilemedi</x:v>
      </x:c>
      <x:c r="I399" s="18" t="n">
        <x:v>0</x:v>
      </x:c>
      <x:c r="J399" s="18" t="str">
        <x:v>Erişilemedi</x:v>
      </x:c>
      <x:c r="K399" s="18" t="str">
        <x:f>IF(AND(ISNUMBER(G399),ISNUMBER(I399)),I399/G399*1000,"Erişilemedi")</x:f>
        <x:v>Erişilemedi</x:v>
      </x:c>
      <x:c r="L399" s="16" t="str">
        <x:v>Belirsiz</x:v>
      </x:c>
      <x:c r="M399" s="16" t="str">
        <x:v>Kahve ürünü</x:v>
      </x:c>
      <x:c r="N399" s="16" t="str">
        <x:v>Site haritası ürün sayfası</x:v>
      </x:c>
      <x:c r="O399" s="16" t="str">
        <x:v>Düşük</x:v>
      </x:c>
      <x:c r="P399" s="19" t="n">
        <x:v>46245</x:v>
      </x:c>
      <x:c r="Q399" s="20" t="str">
        <x:v>https://coffeedepartment.co/el-salvador-el-borbollon-washed</x:v>
      </x:c>
      <x:c r="R399" s="20" t="str">
        <x:v>Ürün kimliği korundu; eksik alanlar erişilemedi olarak işaretlenecek.</x:v>
      </x:c>
    </x:row>
    <x:row r="400" ht="40" customHeight="1">
      <x:c r="A400" s="16" t="str">
        <x:v>Coffee Department</x:v>
      </x:c>
      <x:c r="B400" s="16" t="str">
        <x:v>İstanbul</x:v>
      </x:c>
      <x:c r="C400" s="16" t="str">
        <x:v>Doğrulandı</x:v>
      </x:c>
      <x:c r="D400" s="16" t="str">
        <x:v>Ürün kaydı</x:v>
      </x:c>
      <x:c r="E400" s="16" t="str">
        <x:v>El Salvador / Shasta / Washed</x:v>
      </x:c>
      <x:c r="F400" s="16" t="str">
        <x:v>El Salvador</x:v>
      </x:c>
      <x:c r="G400" s="17" t="str">
        <x:v>Erişilemedi</x:v>
      </x:c>
      <x:c r="H400" s="16" t="str">
        <x:v>Erişilemedi</x:v>
      </x:c>
      <x:c r="I400" s="18" t="n">
        <x:v>0</x:v>
      </x:c>
      <x:c r="J400" s="18" t="str">
        <x:v>Erişilemedi</x:v>
      </x:c>
      <x:c r="K400" s="18" t="str">
        <x:f>IF(AND(ISNUMBER(G400),ISNUMBER(I400)),I400/G400*1000,"Erişilemedi")</x:f>
        <x:v>Erişilemedi</x:v>
      </x:c>
      <x:c r="L400" s="16" t="str">
        <x:v>Belirsiz</x:v>
      </x:c>
      <x:c r="M400" s="16" t="str">
        <x:v>Kahve ürünü</x:v>
      </x:c>
      <x:c r="N400" s="16" t="str">
        <x:v>Site haritası ürün sayfası</x:v>
      </x:c>
      <x:c r="O400" s="16" t="str">
        <x:v>Düşük</x:v>
      </x:c>
      <x:c r="P400" s="19" t="n">
        <x:v>46245</x:v>
      </x:c>
      <x:c r="Q400" s="20" t="str">
        <x:v>https://coffeedepartment.co/el-salvador-shasta-washed</x:v>
      </x:c>
      <x:c r="R400" s="20" t="str">
        <x:v>Ürün kimliği korundu; eksik alanlar erişilemedi olarak işaretlenecek.</x:v>
      </x:c>
    </x:row>
    <x:row r="401" ht="40" customHeight="1">
      <x:c r="A401" s="16" t="str">
        <x:v>Coffee Department</x:v>
      </x:c>
      <x:c r="B401" s="16" t="str">
        <x:v>İstanbul</x:v>
      </x:c>
      <x:c r="C401" s="16" t="str">
        <x:v>Doğrulandı</x:v>
      </x:c>
      <x:c r="D401" s="16" t="str">
        <x:v>Ürün kaydı</x:v>
      </x:c>
      <x:c r="E401" s="16" t="str">
        <x:v>Fruta Fresca / Specialty Blend</x:v>
      </x:c>
      <x:c r="F401" s="16" t="str">
        <x:v>Harman – menşe belirtilmemiş</x:v>
      </x:c>
      <x:c r="G401" s="17" t="str">
        <x:v>Erişilemedi</x:v>
      </x:c>
      <x:c r="H401" s="16" t="str">
        <x:v>Erişilemedi</x:v>
      </x:c>
      <x:c r="I401" s="18" t="n">
        <x:v>0</x:v>
      </x:c>
      <x:c r="J401" s="18" t="str">
        <x:v>Erişilemedi</x:v>
      </x:c>
      <x:c r="K401" s="18" t="str">
        <x:f>IF(AND(ISNUMBER(G401),ISNUMBER(I401)),I401/G401*1000,"Erişilemedi")</x:f>
        <x:v>Erişilemedi</x:v>
      </x:c>
      <x:c r="L401" s="16" t="str">
        <x:v>Belirsiz</x:v>
      </x:c>
      <x:c r="M401" s="16" t="str">
        <x:v>Harman</x:v>
      </x:c>
      <x:c r="N401" s="16" t="str">
        <x:v>Site haritası ürün sayfası</x:v>
      </x:c>
      <x:c r="O401" s="16" t="str">
        <x:v>Düşük</x:v>
      </x:c>
      <x:c r="P401" s="19" t="n">
        <x:v>46245</x:v>
      </x:c>
      <x:c r="Q401" s="20" t="str">
        <x:v>https://coffeedepartment.co/fruta-fresca-blend</x:v>
      </x:c>
      <x:c r="R401" s="20" t="str">
        <x:v>Ürün kimliği korundu; eksik alanlar erişilemedi olarak işaretlenecek.</x:v>
      </x:c>
    </x:row>
    <x:row r="402" ht="40" customHeight="1">
      <x:c r="A402" s="16" t="str">
        <x:v>Coffee Department</x:v>
      </x:c>
      <x:c r="B402" s="16" t="str">
        <x:v>İstanbul</x:v>
      </x:c>
      <x:c r="C402" s="16" t="str">
        <x:v>Doğrulandı</x:v>
      </x:c>
      <x:c r="D402" s="16" t="str">
        <x:v>Ürün kaydı</x:v>
      </x:c>
      <x:c r="E402" s="16" t="str">
        <x:v>Hario V60 02 Seramik Kahve Demleme Seti</x:v>
      </x:c>
      <x:c r="F402" s="16" t="str">
        <x:v>Menşe belirtilmemiş</x:v>
      </x:c>
      <x:c r="G402" s="17" t="str">
        <x:v>Erişilemedi</x:v>
      </x:c>
      <x:c r="H402" s="16" t="str">
        <x:v>Erişilemedi</x:v>
      </x:c>
      <x:c r="I402" s="18" t="n">
        <x:v>0</x:v>
      </x:c>
      <x:c r="J402" s="18" t="str">
        <x:v>Erişilemedi</x:v>
      </x:c>
      <x:c r="K402" s="18" t="str">
        <x:f>IF(AND(ISNUMBER(G402),ISNUMBER(I402)),I402/G402*1000,"Erişilemedi")</x:f>
        <x:v>Erişilemedi</x:v>
      </x:c>
      <x:c r="L402" s="16" t="str">
        <x:v>Belirsiz</x:v>
      </x:c>
      <x:c r="M402" s="16" t="str">
        <x:v>Kahve ürünü</x:v>
      </x:c>
      <x:c r="N402" s="16" t="str">
        <x:v>Site haritası ürün sayfası</x:v>
      </x:c>
      <x:c r="O402" s="16" t="str">
        <x:v>Düşük</x:v>
      </x:c>
      <x:c r="P402" s="19" t="n">
        <x:v>46245</x:v>
      </x:c>
      <x:c r="Q402" s="20" t="str">
        <x:v>https://coffeedepartment.co/hario-v60-02-seramik-kahve-demleme-seti</x:v>
      </x:c>
      <x:c r="R402" s="20" t="str">
        <x:v>Ürün kimliği korundu; eksik alanlar erişilemedi olarak işaretlenecek.</x:v>
      </x:c>
    </x:row>
    <x:row r="403" ht="40" customHeight="1">
      <x:c r="A403" s="16" t="str">
        <x:v>Coffee Department</x:v>
      </x:c>
      <x:c r="B403" s="16" t="str">
        <x:v>İstanbul</x:v>
      </x:c>
      <x:c r="C403" s="16" t="str">
        <x:v>Doğrulandı</x:v>
      </x:c>
      <x:c r="D403" s="16" t="str">
        <x:v>Ürün kaydı</x:v>
      </x:c>
      <x:c r="E403" s="16" t="str">
        <x:v>Indonesia / Argopuro / Natural Anaerobic</x:v>
      </x:c>
      <x:c r="F403" s="16" t="str">
        <x:v>Endonezya</x:v>
      </x:c>
      <x:c r="G403" s="17" t="str">
        <x:v>Erişilemedi</x:v>
      </x:c>
      <x:c r="H403" s="16" t="str">
        <x:v>Erişilemedi</x:v>
      </x:c>
      <x:c r="I403" s="18" t="n">
        <x:v>0</x:v>
      </x:c>
      <x:c r="J403" s="18" t="str">
        <x:v>Erişilemedi</x:v>
      </x:c>
      <x:c r="K403" s="18" t="str">
        <x:f>IF(AND(ISNUMBER(G403),ISNUMBER(I403)),I403/G403*1000,"Erişilemedi")</x:f>
        <x:v>Erişilemedi</x:v>
      </x:c>
      <x:c r="L403" s="16" t="str">
        <x:v>Belirsiz</x:v>
      </x:c>
      <x:c r="M403" s="16" t="str">
        <x:v>Kahve ürünü</x:v>
      </x:c>
      <x:c r="N403" s="16" t="str">
        <x:v>Site haritası ürün sayfası</x:v>
      </x:c>
      <x:c r="O403" s="16" t="str">
        <x:v>Düşük</x:v>
      </x:c>
      <x:c r="P403" s="19" t="n">
        <x:v>46245</x:v>
      </x:c>
      <x:c r="Q403" s="20" t="str">
        <x:v>https://coffeedepartment.co/indonesia-argopuro-natural-anaerobic</x:v>
      </x:c>
      <x:c r="R403" s="20" t="str">
        <x:v>Ürün kimliği korundu; eksik alanlar erişilemedi olarak işaretlenecek.</x:v>
      </x:c>
    </x:row>
    <x:row r="404" ht="40" customHeight="1">
      <x:c r="A404" s="16" t="str">
        <x:v>Coffee Department</x:v>
      </x:c>
      <x:c r="B404" s="16" t="str">
        <x:v>İstanbul</x:v>
      </x:c>
      <x:c r="C404" s="16" t="str">
        <x:v>Doğrulandı</x:v>
      </x:c>
      <x:c r="D404" s="16" t="str">
        <x:v>Ürün kaydı</x:v>
      </x:c>
      <x:c r="E404" s="16" t="str">
        <x:v>Rwanda / Akagera / Natural</x:v>
      </x:c>
      <x:c r="F404" s="16" t="str">
        <x:v>Ruanda</x:v>
      </x:c>
      <x:c r="G404" s="17" t="str">
        <x:v>Erişilemedi</x:v>
      </x:c>
      <x:c r="H404" s="16" t="str">
        <x:v>Erişilemedi</x:v>
      </x:c>
      <x:c r="I404" s="18" t="n">
        <x:v>0</x:v>
      </x:c>
      <x:c r="J404" s="18" t="str">
        <x:v>Erişilemedi</x:v>
      </x:c>
      <x:c r="K404" s="18" t="str">
        <x:f>IF(AND(ISNUMBER(G404),ISNUMBER(I404)),I404/G404*1000,"Erişilemedi")</x:f>
        <x:v>Erişilemedi</x:v>
      </x:c>
      <x:c r="L404" s="16" t="str">
        <x:v>Belirsiz</x:v>
      </x:c>
      <x:c r="M404" s="16" t="str">
        <x:v>Kahve ürünü</x:v>
      </x:c>
      <x:c r="N404" s="16" t="str">
        <x:v>Site haritası ürün sayfası</x:v>
      </x:c>
      <x:c r="O404" s="16" t="str">
        <x:v>Düşük</x:v>
      </x:c>
      <x:c r="P404" s="19" t="n">
        <x:v>46245</x:v>
      </x:c>
      <x:c r="Q404" s="20" t="str">
        <x:v>https://coffeedepartment.co/rwanda-akagera-natural</x:v>
      </x:c>
      <x:c r="R404" s="20" t="str">
        <x:v>Ürün kimliği korundu; eksik alanlar erişilemedi olarak işaretlenecek.</x:v>
      </x:c>
    </x:row>
    <x:row r="405" ht="40" customHeight="1">
      <x:c r="A405" s="16" t="str">
        <x:v>Coffee Department</x:v>
      </x:c>
      <x:c r="B405" s="16" t="str">
        <x:v>İstanbul</x:v>
      </x:c>
      <x:c r="C405" s="16" t="str">
        <x:v>Doğrulandı</x:v>
      </x:c>
      <x:c r="D405" s="16" t="str">
        <x:v>Ürün kaydı</x:v>
      </x:c>
      <x:c r="E405" s="16" t="str">
        <x:v>Rwanda / Akagera / Washed</x:v>
      </x:c>
      <x:c r="F405" s="16" t="str">
        <x:v>Ruanda</x:v>
      </x:c>
      <x:c r="G405" s="17" t="str">
        <x:v>Erişilemedi</x:v>
      </x:c>
      <x:c r="H405" s="16" t="str">
        <x:v>Erişilemedi</x:v>
      </x:c>
      <x:c r="I405" s="18" t="n">
        <x:v>0</x:v>
      </x:c>
      <x:c r="J405" s="18" t="str">
        <x:v>Erişilemedi</x:v>
      </x:c>
      <x:c r="K405" s="18" t="str">
        <x:f>IF(AND(ISNUMBER(G405),ISNUMBER(I405)),I405/G405*1000,"Erişilemedi")</x:f>
        <x:v>Erişilemedi</x:v>
      </x:c>
      <x:c r="L405" s="16" t="str">
        <x:v>Belirsiz</x:v>
      </x:c>
      <x:c r="M405" s="16" t="str">
        <x:v>Kahve ürünü</x:v>
      </x:c>
      <x:c r="N405" s="16" t="str">
        <x:v>Site haritası ürün sayfası</x:v>
      </x:c>
      <x:c r="O405" s="16" t="str">
        <x:v>Düşük</x:v>
      </x:c>
      <x:c r="P405" s="19" t="n">
        <x:v>46245</x:v>
      </x:c>
      <x:c r="Q405" s="20" t="str">
        <x:v>https://coffeedepartment.co/rwanda-akagera-washed</x:v>
      </x:c>
      <x:c r="R405" s="20" t="str">
        <x:v>Ürün kimliği korundu; eksik alanlar erişilemedi olarak işaretlenecek.</x:v>
      </x:c>
    </x:row>
    <x:row r="406" ht="40" customHeight="1">
      <x:c r="A406" s="16" t="str">
        <x:v>Coffee Department</x:v>
      </x:c>
      <x:c r="B406" s="16" t="str">
        <x:v>İstanbul</x:v>
      </x:c>
      <x:c r="C406" s="16" t="str">
        <x:v>Doğrulandı</x:v>
      </x:c>
      <x:c r="D406" s="16" t="str">
        <x:v>Ürün kaydı</x:v>
      </x:c>
      <x:c r="E406" s="16" t="str">
        <x:v>Uber Markt / Specialty Blend</x:v>
      </x:c>
      <x:c r="F406" s="16" t="str">
        <x:v>Harman – menşe belirtilmemiş</x:v>
      </x:c>
      <x:c r="G406" s="17" t="str">
        <x:v>Erişilemedi</x:v>
      </x:c>
      <x:c r="H406" s="16" t="str">
        <x:v>Erişilemedi</x:v>
      </x:c>
      <x:c r="I406" s="18" t="n">
        <x:v>0</x:v>
      </x:c>
      <x:c r="J406" s="18" t="str">
        <x:v>Erişilemedi</x:v>
      </x:c>
      <x:c r="K406" s="18" t="str">
        <x:f>IF(AND(ISNUMBER(G406),ISNUMBER(I406)),I406/G406*1000,"Erişilemedi")</x:f>
        <x:v>Erişilemedi</x:v>
      </x:c>
      <x:c r="L406" s="16" t="str">
        <x:v>Belirsiz</x:v>
      </x:c>
      <x:c r="M406" s="16" t="str">
        <x:v>Harman</x:v>
      </x:c>
      <x:c r="N406" s="16" t="str">
        <x:v>Site haritası ürün sayfası</x:v>
      </x:c>
      <x:c r="O406" s="16" t="str">
        <x:v>Düşük</x:v>
      </x:c>
      <x:c r="P406" s="19" t="n">
        <x:v>46245</x:v>
      </x:c>
      <x:c r="Q406" s="20" t="str">
        <x:v>https://coffeedepartment.co/uber-markt-blend</x:v>
      </x:c>
      <x:c r="R406" s="20" t="str">
        <x:v>Ürün kimliği korundu; eksik alanlar erişilemedi olarak işaretlenecek.</x:v>
      </x:c>
    </x:row>
    <x:row r="407" ht="40" customHeight="1">
      <x:c r="A407" s="16" t="str">
        <x:v>Coffee Friendzone</x:v>
      </x:c>
      <x:c r="B407" s="16" t="str">
        <x:v>İzmir</x:v>
      </x:c>
      <x:c r="C407" s="16" t="str">
        <x:v>Kısmi doğrulama</x:v>
      </x:c>
      <x:c r="D407" s="16" t="str">
        <x:v>Ürün kaydı</x:v>
      </x:c>
      <x:c r="E407" s="16" t="str">
        <x:v>Cold Brew Black Strong Cam Şişe 200 Ml.</x:v>
      </x:c>
      <x:c r="F407" s="16" t="str">
        <x:v>Harman – menşe belirtilmemiş</x:v>
      </x:c>
      <x:c r="G407" s="17" t="str">
        <x:v>Erişilemedi</x:v>
      </x:c>
      <x:c r="H407" s="16" t="str">
        <x:v>Erişilemedi</x:v>
      </x:c>
      <x:c r="I407" s="18" t="n">
        <x:v>95</x:v>
      </x:c>
      <x:c r="J407" s="18" t="str">
        <x:v>Erişildi</x:v>
      </x:c>
      <x:c r="K407" s="18" t="str">
        <x:f>IF(AND(ISNUMBER(G407),ISNUMBER(I407)),I407/G407*1000,"Erişilemedi")</x:f>
        <x:v>Erişilemedi</x:v>
      </x:c>
      <x:c r="L407" s="16" t="str">
        <x:v>Stokta</x:v>
      </x:c>
      <x:c r="M407" s="16" t="str">
        <x:v>Harman</x:v>
      </x:c>
      <x:c r="N407" s="16" t="str">
        <x:v>WooCommerce Store API</x:v>
      </x:c>
      <x:c r="O407" s="16" t="str">
        <x:v>Orta</x:v>
      </x:c>
      <x:c r="P407" s="19" t="n">
        <x:v>46245</x:v>
      </x:c>
      <x:c r="Q407" s="20" t="str">
        <x:v>https://coffeefriendzone.com/cold-brew-black-strong-cam-sise-200-ml/</x:v>
      </x:c>
      <x:c r="R407" s="20" t="str">
        <x:v>Fiyat veya gramaj eksik olsa da ürün korundu.</x:v>
      </x:c>
    </x:row>
    <x:row r="408" ht="40" customHeight="1">
      <x:c r="A408" s="16" t="str">
        <x:v>Coffee Friendzone</x:v>
      </x:c>
      <x:c r="B408" s="16" t="str">
        <x:v>İzmir</x:v>
      </x:c>
      <x:c r="C408" s="16" t="str">
        <x:v>Kısmi doğrulama</x:v>
      </x:c>
      <x:c r="D408" s="16" t="str">
        <x:v>Ürün kaydı</x:v>
      </x:c>
      <x:c r="E408" s="16" t="str">
        <x:v>Colombia Geisha Cerro Azul Natural Signature Series</x:v>
      </x:c>
      <x:c r="F408" s="16" t="str">
        <x:v>Kolombiya | Hindistan</x:v>
      </x:c>
      <x:c r="G408" s="17" t="n">
        <x:v>15</x:v>
      </x:c>
      <x:c r="H408" s="16" t="str">
        <x:v>Erişildi</x:v>
      </x:c>
      <x:c r="I408" s="18" t="n">
        <x:v>580</x:v>
      </x:c>
      <x:c r="J408" s="18" t="str">
        <x:v>Erişildi</x:v>
      </x:c>
      <x:c r="K408" s="18" t="n">
        <x:f>IF(AND(ISNUMBER(G408),ISNUMBER(I408)),I408/G408*1000,"Erişilemedi")</x:f>
        <x:v>38666.666666666664</x:v>
      </x:c>
      <x:c r="L408" s="16" t="str">
        <x:v>Stokta yok</x:v>
      </x:c>
      <x:c r="M408" s="16" t="str">
        <x:v>Kahve ürünü</x:v>
      </x:c>
      <x:c r="N408" s="16" t="str">
        <x:v>WooCommerce Store API</x:v>
      </x:c>
      <x:c r="O408" s="16" t="str">
        <x:v>Yüksek</x:v>
      </x:c>
      <x:c r="P408" s="19" t="n">
        <x:v>46245</x:v>
      </x:c>
      <x:c r="Q408" s="20" t="str">
        <x:v>https://coffeefriendzone.com/colombia-geisha-cerra-azul-natural-signature-series/</x:v>
      </x:c>
      <x:c r="R408" s="20" t="str">
        <x:v>Fiyat veya gramaj eksik olsa da ürün korundu.</x:v>
      </x:c>
    </x:row>
    <x:row r="409" ht="40" customHeight="1">
      <x:c r="A409" s="16" t="str">
        <x:v>Coffee Friendzone</x:v>
      </x:c>
      <x:c r="B409" s="16" t="str">
        <x:v>İzmir</x:v>
      </x:c>
      <x:c r="C409" s="16" t="str">
        <x:v>Kısmi doğrulama</x:v>
      </x:c>
      <x:c r="D409" s="16" t="str">
        <x:v>Ürün kaydı</x:v>
      </x:c>
      <x:c r="E409" s="16" t="str">
        <x:v>Colombia Geisha Las Margaritas Anaerobic Natural Signature Series</x:v>
      </x:c>
      <x:c r="F409" s="16" t="str">
        <x:v>Kolombiya</x:v>
      </x:c>
      <x:c r="G409" s="17" t="n">
        <x:v>20</x:v>
      </x:c>
      <x:c r="H409" s="16" t="str">
        <x:v>Erişildi</x:v>
      </x:c>
      <x:c r="I409" s="18" t="n">
        <x:v>580</x:v>
      </x:c>
      <x:c r="J409" s="18" t="str">
        <x:v>Erişildi</x:v>
      </x:c>
      <x:c r="K409" s="18" t="n">
        <x:f>IF(AND(ISNUMBER(G409),ISNUMBER(I409)),I409/G409*1000,"Erişilemedi")</x:f>
        <x:v>29000</x:v>
      </x:c>
      <x:c r="L409" s="16" t="str">
        <x:v>Stokta yok</x:v>
      </x:c>
      <x:c r="M409" s="16" t="str">
        <x:v>Kahve ürünü</x:v>
      </x:c>
      <x:c r="N409" s="16" t="str">
        <x:v>WooCommerce Store API</x:v>
      </x:c>
      <x:c r="O409" s="16" t="str">
        <x:v>Yüksek</x:v>
      </x:c>
      <x:c r="P409" s="19" t="n">
        <x:v>46245</x:v>
      </x:c>
      <x:c r="Q409" s="20" t="str">
        <x:v>https://coffeefriendzone.com/colombia-geisha-las-margaritas-anaerobic-natural-signature-series/</x:v>
      </x:c>
      <x:c r="R409" s="20" t="str">
        <x:v>Fiyat veya gramaj eksik olsa da ürün korundu.</x:v>
      </x:c>
    </x:row>
    <x:row r="410" ht="40" customHeight="1">
      <x:c r="A410" s="16" t="str">
        <x:v>Coffee Friendzone</x:v>
      </x:c>
      <x:c r="B410" s="16" t="str">
        <x:v>İzmir</x:v>
      </x:c>
      <x:c r="C410" s="16" t="str">
        <x:v>Kısmi doğrulama</x:v>
      </x:c>
      <x:c r="D410" s="16" t="str">
        <x:v>Ürün kaydı</x:v>
      </x:c>
      <x:c r="E410" s="16" t="str">
        <x:v>Colombia Huila Nitelikli Yöresel Çikolata Bar 100 Gr.</x:v>
      </x:c>
      <x:c r="F410" s="16" t="str">
        <x:v>Kolombiya</x:v>
      </x:c>
      <x:c r="G410" s="17" t="n">
        <x:v>100</x:v>
      </x:c>
      <x:c r="H410" s="16" t="str">
        <x:v>Erişildi</x:v>
      </x:c>
      <x:c r="I410" s="18" t="n">
        <x:v>190</x:v>
      </x:c>
      <x:c r="J410" s="18" t="str">
        <x:v>Erişildi</x:v>
      </x:c>
      <x:c r="K410" s="18" t="n">
        <x:f>IF(AND(ISNUMBER(G410),ISNUMBER(I410)),I410/G410*1000,"Erişilemedi")</x:f>
        <x:v>1900</x:v>
      </x:c>
      <x:c r="L410" s="16" t="str">
        <x:v>Stokta yok</x:v>
      </x:c>
      <x:c r="M410" s="16" t="str">
        <x:v>Kahve ürünü</x:v>
      </x:c>
      <x:c r="N410" s="16" t="str">
        <x:v>WooCommerce Store API</x:v>
      </x:c>
      <x:c r="O410" s="16" t="str">
        <x:v>Yüksek</x:v>
      </x:c>
      <x:c r="P410" s="19" t="n">
        <x:v>46245</x:v>
      </x:c>
      <x:c r="Q410" s="20" t="str">
        <x:v>https://coffeefriendzone.com/colombia-huila-nitelikli-yoresel-cikolata-bar-100-gr/</x:v>
      </x:c>
      <x:c r="R410" s="20" t="str">
        <x:v>Fiyat veya gramaj eksik olsa da ürün korundu.</x:v>
      </x:c>
    </x:row>
    <x:row r="411" ht="40" customHeight="1">
      <x:c r="A411" s="16" t="str">
        <x:v>Coffee Friendzone</x:v>
      </x:c>
      <x:c r="B411" s="16" t="str">
        <x:v>İzmir</x:v>
      </x:c>
      <x:c r="C411" s="16" t="str">
        <x:v>Kısmi doğrulama</x:v>
      </x:c>
      <x:c r="D411" s="16" t="str">
        <x:v>Ürün kaydı</x:v>
      </x:c>
      <x:c r="E411" s="16" t="str">
        <x:v>Colombia Sudan Rume Signature Series</x:v>
      </x:c>
      <x:c r="F411" s="16" t="str">
        <x:v>Kolombiya</x:v>
      </x:c>
      <x:c r="G411" s="17" t="n">
        <x:v>28</x:v>
      </x:c>
      <x:c r="H411" s="16" t="str">
        <x:v>Erişildi</x:v>
      </x:c>
      <x:c r="I411" s="18" t="n">
        <x:v>580</x:v>
      </x:c>
      <x:c r="J411" s="18" t="str">
        <x:v>Erişildi</x:v>
      </x:c>
      <x:c r="K411" s="18" t="n">
        <x:f>IF(AND(ISNUMBER(G411),ISNUMBER(I411)),I411/G411*1000,"Erişilemedi")</x:f>
        <x:v>20714.285714285714</x:v>
      </x:c>
      <x:c r="L411" s="16" t="str">
        <x:v>Stokta yok</x:v>
      </x:c>
      <x:c r="M411" s="16" t="str">
        <x:v>Kahve ürünü</x:v>
      </x:c>
      <x:c r="N411" s="16" t="str">
        <x:v>WooCommerce Store API</x:v>
      </x:c>
      <x:c r="O411" s="16" t="str">
        <x:v>Yüksek</x:v>
      </x:c>
      <x:c r="P411" s="19" t="n">
        <x:v>46245</x:v>
      </x:c>
      <x:c r="Q411" s="20" t="str">
        <x:v>https://coffeefriendzone.com/colombia-sudan-rume-signature-series/</x:v>
      </x:c>
      <x:c r="R411" s="20" t="str">
        <x:v>Fiyat veya gramaj eksik olsa da ürün korundu.</x:v>
      </x:c>
    </x:row>
    <x:row r="412" ht="40" customHeight="1">
      <x:c r="A412" s="16" t="str">
        <x:v>Coffee Friendzone</x:v>
      </x:c>
      <x:c r="B412" s="16" t="str">
        <x:v>İzmir</x:v>
      </x:c>
      <x:c r="C412" s="16" t="str">
        <x:v>Kısmi doğrulama</x:v>
      </x:c>
      <x:c r="D412" s="16" t="str">
        <x:v>Ürün kaydı</x:v>
      </x:c>
      <x:c r="E412" s="16" t="str">
        <x:v>Costa Rica La Pastora Tarrazu SHB EP</x:v>
      </x:c>
      <x:c r="F412" s="16" t="str">
        <x:v>Brezilya | Kosta Rika | Panama</x:v>
      </x:c>
      <x:c r="G412" s="17" t="str">
        <x:v>Erişilemedi</x:v>
      </x:c>
      <x:c r="H412" s="16" t="str">
        <x:v>Erişilemedi</x:v>
      </x:c>
      <x:c r="I412" s="18" t="n">
        <x:v>495</x:v>
      </x:c>
      <x:c r="J412" s="18" t="str">
        <x:v>Erişildi</x:v>
      </x:c>
      <x:c r="K412" s="18" t="str">
        <x:f>IF(AND(ISNUMBER(G412),ISNUMBER(I412)),I412/G412*1000,"Erişilemedi")</x:f>
        <x:v>Erişilemedi</x:v>
      </x:c>
      <x:c r="L412" s="16" t="str">
        <x:v>Stokta</x:v>
      </x:c>
      <x:c r="M412" s="16" t="str">
        <x:v>Kahve ürünü</x:v>
      </x:c>
      <x:c r="N412" s="16" t="str">
        <x:v>WooCommerce Store API</x:v>
      </x:c>
      <x:c r="O412" s="16" t="str">
        <x:v>Orta</x:v>
      </x:c>
      <x:c r="P412" s="19" t="n">
        <x:v>46245</x:v>
      </x:c>
      <x:c r="Q412" s="20" t="str">
        <x:v>https://coffeefriendzone.com/costa-rica-la-pastora-tarrazu/</x:v>
      </x:c>
      <x:c r="R412" s="20" t="str">
        <x:v>Fiyat veya gramaj eksik olsa da ürün korundu.</x:v>
      </x:c>
    </x:row>
    <x:row r="413" ht="40" customHeight="1">
      <x:c r="A413" s="16" t="str">
        <x:v>Coffee Friendzone</x:v>
      </x:c>
      <x:c r="B413" s="16" t="str">
        <x:v>İzmir</x:v>
      </x:c>
      <x:c r="C413" s="16" t="str">
        <x:v>Kısmi doğrulama</x:v>
      </x:c>
      <x:c r="D413" s="16" t="str">
        <x:v>Ürün kaydı</x:v>
      </x:c>
      <x:c r="E413" s="16" t="str">
        <x:v>Ethiopia Sidama Bochesa</x:v>
      </x:c>
      <x:c r="F413" s="16" t="str">
        <x:v>Etiyopya</x:v>
      </x:c>
      <x:c r="G413" s="17" t="str">
        <x:v>Erişilemedi</x:v>
      </x:c>
      <x:c r="H413" s="16" t="str">
        <x:v>Erişilemedi</x:v>
      </x:c>
      <x:c r="I413" s="18" t="n">
        <x:v>750</x:v>
      </x:c>
      <x:c r="J413" s="18" t="str">
        <x:v>Erişildi</x:v>
      </x:c>
      <x:c r="K413" s="18" t="str">
        <x:f>IF(AND(ISNUMBER(G413),ISNUMBER(I413)),I413/G413*1000,"Erişilemedi")</x:f>
        <x:v>Erişilemedi</x:v>
      </x:c>
      <x:c r="L413" s="16" t="str">
        <x:v>Stokta</x:v>
      </x:c>
      <x:c r="M413" s="16" t="str">
        <x:v>Kahve ürünü</x:v>
      </x:c>
      <x:c r="N413" s="16" t="str">
        <x:v>WooCommerce Store API</x:v>
      </x:c>
      <x:c r="O413" s="16" t="str">
        <x:v>Orta</x:v>
      </x:c>
      <x:c r="P413" s="19" t="n">
        <x:v>46245</x:v>
      </x:c>
      <x:c r="Q413" s="20" t="str">
        <x:v>https://coffeefriendzone.com/ethiopia-sidama-bochesa/</x:v>
      </x:c>
      <x:c r="R413" s="20" t="str">
        <x:v>Fiyat veya gramaj eksik olsa da ürün korundu.</x:v>
      </x:c>
    </x:row>
    <x:row r="414" ht="40" customHeight="1">
      <x:c r="A414" s="16" t="str">
        <x:v>Coffee Friendzone</x:v>
      </x:c>
      <x:c r="B414" s="16" t="str">
        <x:v>İzmir</x:v>
      </x:c>
      <x:c r="C414" s="16" t="str">
        <x:v>Kısmi doğrulama</x:v>
      </x:c>
      <x:c r="D414" s="16" t="str">
        <x:v>Ürün kaydı</x:v>
      </x:c>
      <x:c r="E414" s="16" t="str">
        <x:v>Friendzone Signature Series</x:v>
      </x:c>
      <x:c r="F414" s="16" t="str">
        <x:v>Kolombiya</x:v>
      </x:c>
      <x:c r="G414" s="17" t="str">
        <x:v>Erişilemedi</x:v>
      </x:c>
      <x:c r="H414" s="16" t="str">
        <x:v>Erişilemedi</x:v>
      </x:c>
      <x:c r="I414" s="18" t="n">
        <x:v>1700</x:v>
      </x:c>
      <x:c r="J414" s="18" t="str">
        <x:v>Erişildi</x:v>
      </x:c>
      <x:c r="K414" s="18" t="str">
        <x:f>IF(AND(ISNUMBER(G414),ISNUMBER(I414)),I414/G414*1000,"Erişilemedi")</x:f>
        <x:v>Erişilemedi</x:v>
      </x:c>
      <x:c r="L414" s="16" t="str">
        <x:v>Stokta yok</x:v>
      </x:c>
      <x:c r="M414" s="16" t="str">
        <x:v>Kahve ürünü</x:v>
      </x:c>
      <x:c r="N414" s="16" t="str">
        <x:v>WooCommerce Store API</x:v>
      </x:c>
      <x:c r="O414" s="16" t="str">
        <x:v>Orta</x:v>
      </x:c>
      <x:c r="P414" s="19" t="n">
        <x:v>46245</x:v>
      </x:c>
      <x:c r="Q414" s="20" t="str">
        <x:v>https://coffeefriendzone.com/friendzone-signature-series/</x:v>
      </x:c>
      <x:c r="R414" s="20" t="str">
        <x:v>Fiyat veya gramaj eksik olsa da ürün korundu.</x:v>
      </x:c>
    </x:row>
    <x:row r="415" ht="40" customHeight="1">
      <x:c r="A415" s="16" t="str">
        <x:v>Coffee Friendzone</x:v>
      </x:c>
      <x:c r="B415" s="16" t="str">
        <x:v>İzmir</x:v>
      </x:c>
      <x:c r="C415" s="16" t="str">
        <x:v>Kısmi doğrulama</x:v>
      </x:c>
      <x:c r="D415" s="16" t="str">
        <x:v>Ürün kaydı</x:v>
      </x:c>
      <x:c r="E415" s="16" t="str">
        <x:v>Intense Blend Nitelikli Yöresel Çikolata Bar 100 Gr.</x:v>
      </x:c>
      <x:c r="F415" s="16" t="str">
        <x:v>Harman – menşe belirtilmemiş</x:v>
      </x:c>
      <x:c r="G415" s="17" t="n">
        <x:v>100</x:v>
      </x:c>
      <x:c r="H415" s="16" t="str">
        <x:v>Erişildi</x:v>
      </x:c>
      <x:c r="I415" s="18" t="n">
        <x:v>190</x:v>
      </x:c>
      <x:c r="J415" s="18" t="str">
        <x:v>Erişildi</x:v>
      </x:c>
      <x:c r="K415" s="18" t="n">
        <x:f>IF(AND(ISNUMBER(G415),ISNUMBER(I415)),I415/G415*1000,"Erişilemedi")</x:f>
        <x:v>1900</x:v>
      </x:c>
      <x:c r="L415" s="16" t="str">
        <x:v>Stokta yok</x:v>
      </x:c>
      <x:c r="M415" s="16" t="str">
        <x:v>Harman</x:v>
      </x:c>
      <x:c r="N415" s="16" t="str">
        <x:v>WooCommerce Store API</x:v>
      </x:c>
      <x:c r="O415" s="16" t="str">
        <x:v>Yüksek</x:v>
      </x:c>
      <x:c r="P415" s="19" t="n">
        <x:v>46245</x:v>
      </x:c>
      <x:c r="Q415" s="20" t="str">
        <x:v>https://coffeefriendzone.com/intense-blend-nitelikli-yoresel-cikolata-bar-100-gr/</x:v>
      </x:c>
      <x:c r="R415" s="20" t="str">
        <x:v>Fiyat veya gramaj eksik olsa da ürün korundu.</x:v>
      </x:c>
    </x:row>
    <x:row r="416" ht="40" customHeight="1">
      <x:c r="A416" s="16" t="str">
        <x:v>Coffee Friendzone</x:v>
      </x:c>
      <x:c r="B416" s="16" t="str">
        <x:v>İzmir</x:v>
      </x:c>
      <x:c r="C416" s="16" t="str">
        <x:v>Kısmi doğrulama</x:v>
      </x:c>
      <x:c r="D416" s="16" t="str">
        <x:v>Ürün kaydı</x:v>
      </x:c>
      <x:c r="E416" s="16" t="str">
        <x:v>Kahve Aboneliği 250 Gr. Haftalık Gönderim 6 lı Paket Premium Çekirdekler</x:v>
      </x:c>
      <x:c r="F416" s="16" t="str">
        <x:v>Menşe belirtilmemiş</x:v>
      </x:c>
      <x:c r="G416" s="17" t="n">
        <x:v>250</x:v>
      </x:c>
      <x:c r="H416" s="16" t="str">
        <x:v>Erişildi</x:v>
      </x:c>
      <x:c r="I416" s="18" t="n">
        <x:v>14900</x:v>
      </x:c>
      <x:c r="J416" s="18" t="str">
        <x:v>Erişildi</x:v>
      </x:c>
      <x:c r="K416" s="18" t="n">
        <x:f>IF(AND(ISNUMBER(G416),ISNUMBER(I416)),I416/G416*1000,"Erişilemedi")</x:f>
        <x:v>59600</x:v>
      </x:c>
      <x:c r="L416" s="16" t="str">
        <x:v>Stokta yok</x:v>
      </x:c>
      <x:c r="M416" s="16" t="str">
        <x:v>Kahve ürünü</x:v>
      </x:c>
      <x:c r="N416" s="16" t="str">
        <x:v>WooCommerce Store API</x:v>
      </x:c>
      <x:c r="O416" s="16" t="str">
        <x:v>Yüksek</x:v>
      </x:c>
      <x:c r="P416" s="19" t="n">
        <x:v>46245</x:v>
      </x:c>
      <x:c r="Q416" s="20" t="str">
        <x:v>https://coffeefriendzone.com/kahve-aboneligi-250-gr-haftalik-gonderim-4-lu-paket-premium-cekirdekler/</x:v>
      </x:c>
      <x:c r="R416" s="20" t="str">
        <x:v>Fiyat veya gramaj eksik olsa da ürün korundu.</x:v>
      </x:c>
    </x:row>
    <x:row r="417" ht="40" customHeight="1">
      <x:c r="A417" s="16" t="str">
        <x:v>Coffee Friendzone</x:v>
      </x:c>
      <x:c r="B417" s="16" t="str">
        <x:v>İzmir</x:v>
      </x:c>
      <x:c r="C417" s="16" t="str">
        <x:v>Kısmi doğrulama</x:v>
      </x:c>
      <x:c r="D417" s="16" t="str">
        <x:v>Ürün kaydı</x:v>
      </x:c>
      <x:c r="E417" s="16" t="str">
        <x:v>Kahve Aboneliği 250 Gr. Haftalık Gönderim 8 li Paket</x:v>
      </x:c>
      <x:c r="F417" s="16" t="str">
        <x:v>Harman – menşe belirtilmemiş</x:v>
      </x:c>
      <x:c r="G417" s="17" t="n">
        <x:v>250</x:v>
      </x:c>
      <x:c r="H417" s="16" t="str">
        <x:v>Erişildi</x:v>
      </x:c>
      <x:c r="I417" s="18" t="n">
        <x:v>3800</x:v>
      </x:c>
      <x:c r="J417" s="18" t="str">
        <x:v>Erişildi</x:v>
      </x:c>
      <x:c r="K417" s="18" t="n">
        <x:f>IF(AND(ISNUMBER(G417),ISNUMBER(I417)),I417/G417*1000,"Erişilemedi")</x:f>
        <x:v>15200</x:v>
      </x:c>
      <x:c r="L417" s="16" t="str">
        <x:v>Stokta</x:v>
      </x:c>
      <x:c r="M417" s="16" t="str">
        <x:v>Harman</x:v>
      </x:c>
      <x:c r="N417" s="16" t="str">
        <x:v>WooCommerce Store API</x:v>
      </x:c>
      <x:c r="O417" s="16" t="str">
        <x:v>Yüksek</x:v>
      </x:c>
      <x:c r="P417" s="19" t="n">
        <x:v>46245</x:v>
      </x:c>
      <x:c r="Q417" s="20" t="str">
        <x:v>https://coffeefriendzone.com/kahve-aboneligi-250-gr/</x:v>
      </x:c>
      <x:c r="R417" s="20" t="str">
        <x:v>Başlık/açıklamada açık gramaj bulunan aktif ürün.</x:v>
      </x:c>
    </x:row>
    <x:row r="418" ht="40" customHeight="1">
      <x:c r="A418" s="16" t="str">
        <x:v>Coffee Friendzone</x:v>
      </x:c>
      <x:c r="B418" s="16" t="str">
        <x:v>İzmir</x:v>
      </x:c>
      <x:c r="C418" s="16" t="str">
        <x:v>Kısmi doğrulama</x:v>
      </x:c>
      <x:c r="D418" s="16" t="str">
        <x:v>Ürün kaydı</x:v>
      </x:c>
      <x:c r="E418" s="16" t="str">
        <x:v>Madagascar Mava Nitelikli Yöresel Çikolata Bar 100 Gr.</x:v>
      </x:c>
      <x:c r="F418" s="16" t="str">
        <x:v>Menşe belirtilmemiş</x:v>
      </x:c>
      <x:c r="G418" s="17" t="n">
        <x:v>100</x:v>
      </x:c>
      <x:c r="H418" s="16" t="str">
        <x:v>Erişildi</x:v>
      </x:c>
      <x:c r="I418" s="18" t="n">
        <x:v>190</x:v>
      </x:c>
      <x:c r="J418" s="18" t="str">
        <x:v>Erişildi</x:v>
      </x:c>
      <x:c r="K418" s="18" t="n">
        <x:f>IF(AND(ISNUMBER(G418),ISNUMBER(I418)),I418/G418*1000,"Erişilemedi")</x:f>
        <x:v>1900</x:v>
      </x:c>
      <x:c r="L418" s="16" t="str">
        <x:v>Stokta yok</x:v>
      </x:c>
      <x:c r="M418" s="16" t="str">
        <x:v>Kahve ürünü</x:v>
      </x:c>
      <x:c r="N418" s="16" t="str">
        <x:v>WooCommerce Store API</x:v>
      </x:c>
      <x:c r="O418" s="16" t="str">
        <x:v>Yüksek</x:v>
      </x:c>
      <x:c r="P418" s="19" t="n">
        <x:v>46245</x:v>
      </x:c>
      <x:c r="Q418" s="20" t="str">
        <x:v>https://coffeefriendzone.com/madagascar-mava-nitelikli-yoresel-cikolata-bar-100-gr/</x:v>
      </x:c>
      <x:c r="R418" s="20" t="str">
        <x:v>Fiyat veya gramaj eksik olsa da ürün korundu.</x:v>
      </x:c>
    </x:row>
    <x:row r="419" ht="40" customHeight="1">
      <x:c r="A419" s="16" t="str">
        <x:v>Coffee Friendzone</x:v>
      </x:c>
      <x:c r="B419" s="16" t="str">
        <x:v>İzmir</x:v>
      </x:c>
      <x:c r="C419" s="16" t="str">
        <x:v>Kısmi doğrulama</x:v>
      </x:c>
      <x:c r="D419" s="16" t="str">
        <x:v>Ürün kaydı</x:v>
      </x:c>
      <x:c r="E419" s="16" t="str">
        <x:v>Madagascar Sambirano No 1 Nitelikli Yöresel Çikolata Bar 100 Gr.</x:v>
      </x:c>
      <x:c r="F419" s="16" t="str">
        <x:v>Menşe belirtilmemiş</x:v>
      </x:c>
      <x:c r="G419" s="17" t="n">
        <x:v>100</x:v>
      </x:c>
      <x:c r="H419" s="16" t="str">
        <x:v>Erişildi</x:v>
      </x:c>
      <x:c r="I419" s="18" t="n">
        <x:v>190</x:v>
      </x:c>
      <x:c r="J419" s="18" t="str">
        <x:v>Erişildi</x:v>
      </x:c>
      <x:c r="K419" s="18" t="n">
        <x:f>IF(AND(ISNUMBER(G419),ISNUMBER(I419)),I419/G419*1000,"Erişilemedi")</x:f>
        <x:v>1900</x:v>
      </x:c>
      <x:c r="L419" s="16" t="str">
        <x:v>Stokta yok</x:v>
      </x:c>
      <x:c r="M419" s="16" t="str">
        <x:v>Kahve ürünü</x:v>
      </x:c>
      <x:c r="N419" s="16" t="str">
        <x:v>WooCommerce Store API</x:v>
      </x:c>
      <x:c r="O419" s="16" t="str">
        <x:v>Yüksek</x:v>
      </x:c>
      <x:c r="P419" s="19" t="n">
        <x:v>46245</x:v>
      </x:c>
      <x:c r="Q419" s="20" t="str">
        <x:v>https://coffeefriendzone.com/madagascar-sanbirano-no-1-nitelikli-yoresel-cikolata-bar-100-gr/</x:v>
      </x:c>
      <x:c r="R419" s="20" t="str">
        <x:v>Fiyat veya gramaj eksik olsa da ürün korundu.</x:v>
      </x:c>
    </x:row>
    <x:row r="420" ht="40" customHeight="1">
      <x:c r="A420" s="16" t="str">
        <x:v>Coffee Friendzone</x:v>
      </x:c>
      <x:c r="B420" s="16" t="str">
        <x:v>İzmir</x:v>
      </x:c>
      <x:c r="C420" s="16" t="str">
        <x:v>Kısmi doğrulama</x:v>
      </x:c>
      <x:c r="D420" s="16" t="str">
        <x:v>Ürün kaydı</x:v>
      </x:c>
      <x:c r="E420" s="16" t="str">
        <x:v>Microlot Kahveler Deneme Seti</x:v>
      </x:c>
      <x:c r="F420" s="16" t="str">
        <x:v>Etiyopya | Kolombiya | Guatemala | Kosta Rika</x:v>
      </x:c>
      <x:c r="G420" s="17" t="n">
        <x:v>50</x:v>
      </x:c>
      <x:c r="H420" s="16" t="str">
        <x:v>Erişildi</x:v>
      </x:c>
      <x:c r="I420" s="18" t="n">
        <x:v>420</x:v>
      </x:c>
      <x:c r="J420" s="18" t="str">
        <x:v>Erişildi</x:v>
      </x:c>
      <x:c r="K420" s="18" t="n">
        <x:f>IF(AND(ISNUMBER(G420),ISNUMBER(I420)),I420/G420*1000,"Erişilemedi")</x:f>
        <x:v>8400</x:v>
      </x:c>
      <x:c r="L420" s="16" t="str">
        <x:v>Stokta yok</x:v>
      </x:c>
      <x:c r="M420" s="16" t="str">
        <x:v>Kahve ürünü</x:v>
      </x:c>
      <x:c r="N420" s="16" t="str">
        <x:v>WooCommerce Store API</x:v>
      </x:c>
      <x:c r="O420" s="16" t="str">
        <x:v>Yüksek</x:v>
      </x:c>
      <x:c r="P420" s="19" t="n">
        <x:v>46245</x:v>
      </x:c>
      <x:c r="Q420" s="20" t="str">
        <x:v>https://coffeefriendzone.com/microlot-kahveler-deneme-seti/</x:v>
      </x:c>
      <x:c r="R420" s="20" t="str">
        <x:v>Fiyat veya gramaj eksik olsa da ürün korundu.</x:v>
      </x:c>
    </x:row>
    <x:row r="421" ht="40" customHeight="1">
      <x:c r="A421" s="16" t="str">
        <x:v>Coffee Friendzone</x:v>
      </x:c>
      <x:c r="B421" s="16" t="str">
        <x:v>İzmir</x:v>
      </x:c>
      <x:c r="C421" s="16" t="str">
        <x:v>Kısmi doğrulama</x:v>
      </x:c>
      <x:c r="D421" s="16" t="str">
        <x:v>Ürün kaydı</x:v>
      </x:c>
      <x:c r="E421" s="16" t="str">
        <x:v>Nitelikli Kahveler Deneme Seti</x:v>
      </x:c>
      <x:c r="F421" s="16" t="str">
        <x:v>Etiyopya | Kolombiya | Burundi | Endonezya</x:v>
      </x:c>
      <x:c r="G421" s="17" t="n">
        <x:v>50</x:v>
      </x:c>
      <x:c r="H421" s="16" t="str">
        <x:v>Erişildi</x:v>
      </x:c>
      <x:c r="I421" s="18" t="n">
        <x:v>290</x:v>
      </x:c>
      <x:c r="J421" s="18" t="str">
        <x:v>Erişildi</x:v>
      </x:c>
      <x:c r="K421" s="18" t="n">
        <x:f>IF(AND(ISNUMBER(G421),ISNUMBER(I421)),I421/G421*1000,"Erişilemedi")</x:f>
        <x:v>5800</x:v>
      </x:c>
      <x:c r="L421" s="16" t="str">
        <x:v>Stokta yok</x:v>
      </x:c>
      <x:c r="M421" s="16" t="str">
        <x:v>Kahve ürünü</x:v>
      </x:c>
      <x:c r="N421" s="16" t="str">
        <x:v>WooCommerce Store API</x:v>
      </x:c>
      <x:c r="O421" s="16" t="str">
        <x:v>Yüksek</x:v>
      </x:c>
      <x:c r="P421" s="19" t="n">
        <x:v>46245</x:v>
      </x:c>
      <x:c r="Q421" s="20" t="str">
        <x:v>https://coffeefriendzone.com/nitelikli-kahveler-deneme-seti/</x:v>
      </x:c>
      <x:c r="R421" s="20" t="str">
        <x:v>Fiyat veya gramaj eksik olsa da ürün korundu.</x:v>
      </x:c>
    </x:row>
    <x:row r="422" ht="40" customHeight="1">
      <x:c r="A422" s="16" t="str">
        <x:v>Coffee Friendzone</x:v>
      </x:c>
      <x:c r="B422" s="16" t="str">
        <x:v>İzmir</x:v>
      </x:c>
      <x:c r="C422" s="16" t="str">
        <x:v>Kısmi doğrulama</x:v>
      </x:c>
      <x:c r="D422" s="16" t="str">
        <x:v>Ürün kaydı</x:v>
      </x:c>
      <x:c r="E422" s="16" t="str">
        <x:v>Nitelikli Türk Kahvesi Blend</x:v>
      </x:c>
      <x:c r="F422" s="16" t="str">
        <x:v>Brezilya | Yemen</x:v>
      </x:c>
      <x:c r="G422" s="17" t="str">
        <x:v>Erişilemedi</x:v>
      </x:c>
      <x:c r="H422" s="16" t="str">
        <x:v>Erişilemedi</x:v>
      </x:c>
      <x:c r="I422" s="18" t="n">
        <x:v>300</x:v>
      </x:c>
      <x:c r="J422" s="18" t="str">
        <x:v>Erişildi</x:v>
      </x:c>
      <x:c r="K422" s="18" t="str">
        <x:f>IF(AND(ISNUMBER(G422),ISNUMBER(I422)),I422/G422*1000,"Erişilemedi")</x:f>
        <x:v>Erişilemedi</x:v>
      </x:c>
      <x:c r="L422" s="16" t="str">
        <x:v>Stokta</x:v>
      </x:c>
      <x:c r="M422" s="16" t="str">
        <x:v>Harman</x:v>
      </x:c>
      <x:c r="N422" s="16" t="str">
        <x:v>WooCommerce Store API</x:v>
      </x:c>
      <x:c r="O422" s="16" t="str">
        <x:v>Orta</x:v>
      </x:c>
      <x:c r="P422" s="19" t="n">
        <x:v>46245</x:v>
      </x:c>
      <x:c r="Q422" s="20" t="str">
        <x:v>https://coffeefriendzone.com/turk-kahvesi-blend/</x:v>
      </x:c>
      <x:c r="R422" s="20" t="str">
        <x:v>Fiyat veya gramaj eksik olsa da ürün korundu.</x:v>
      </x:c>
    </x:row>
    <x:row r="423" ht="40" customHeight="1">
      <x:c r="A423" s="16" t="str">
        <x:v>Coffee Friendzone</x:v>
      </x:c>
      <x:c r="B423" s="16" t="str">
        <x:v>İzmir</x:v>
      </x:c>
      <x:c r="C423" s="16" t="str">
        <x:v>Kısmi doğrulama</x:v>
      </x:c>
      <x:c r="D423" s="16" t="str">
        <x:v>Ürün kaydı</x:v>
      </x:c>
      <x:c r="E423" s="16" t="str">
        <x:v>Papua New Guinea Elimbari A Grainpro</x:v>
      </x:c>
      <x:c r="F423" s="16" t="str">
        <x:v>Menşe belirtilmemiş</x:v>
      </x:c>
      <x:c r="G423" s="17" t="str">
        <x:v>Erişilemedi</x:v>
      </x:c>
      <x:c r="H423" s="16" t="str">
        <x:v>Erişilemedi</x:v>
      </x:c>
      <x:c r="I423" s="18" t="n">
        <x:v>495</x:v>
      </x:c>
      <x:c r="J423" s="18" t="str">
        <x:v>Erişildi</x:v>
      </x:c>
      <x:c r="K423" s="18" t="str">
        <x:f>IF(AND(ISNUMBER(G423),ISNUMBER(I423)),I423/G423*1000,"Erişilemedi")</x:f>
        <x:v>Erişilemedi</x:v>
      </x:c>
      <x:c r="L423" s="16" t="str">
        <x:v>Stokta</x:v>
      </x:c>
      <x:c r="M423" s="16" t="str">
        <x:v>Kahve ürünü</x:v>
      </x:c>
      <x:c r="N423" s="16" t="str">
        <x:v>WooCommerce Store API</x:v>
      </x:c>
      <x:c r="O423" s="16" t="str">
        <x:v>Orta</x:v>
      </x:c>
      <x:c r="P423" s="19" t="n">
        <x:v>46245</x:v>
      </x:c>
      <x:c r="Q423" s="20" t="str">
        <x:v>https://coffeefriendzone.com/papua-new-guinea-elimbari-a/</x:v>
      </x:c>
      <x:c r="R423" s="20" t="str">
        <x:v>Fiyat veya gramaj eksik olsa da ürün korundu.</x:v>
      </x:c>
    </x:row>
    <x:row r="424" ht="40" customHeight="1">
      <x:c r="A424" s="16" t="str">
        <x:v>Coffee Friendzone</x:v>
      </x:c>
      <x:c r="B424" s="16" t="str">
        <x:v>İzmir</x:v>
      </x:c>
      <x:c r="C424" s="16" t="str">
        <x:v>Kısmi doğrulama</x:v>
      </x:c>
      <x:c r="D424" s="16" t="str">
        <x:v>Ürün kaydı</x:v>
      </x:c>
      <x:c r="E424" s="16" t="str">
        <x:v>Papua Yeni Gine Markham Nitelikli Yöresel Çikolata Bar 100 Gr.</x:v>
      </x:c>
      <x:c r="F424" s="16" t="str">
        <x:v>Menşe belirtilmemiş</x:v>
      </x:c>
      <x:c r="G424" s="17" t="n">
        <x:v>100</x:v>
      </x:c>
      <x:c r="H424" s="16" t="str">
        <x:v>Erişildi</x:v>
      </x:c>
      <x:c r="I424" s="18" t="n">
        <x:v>190</x:v>
      </x:c>
      <x:c r="J424" s="18" t="str">
        <x:v>Erişildi</x:v>
      </x:c>
      <x:c r="K424" s="18" t="n">
        <x:f>IF(AND(ISNUMBER(G424),ISNUMBER(I424)),I424/G424*1000,"Erişilemedi")</x:f>
        <x:v>1900</x:v>
      </x:c>
      <x:c r="L424" s="16" t="str">
        <x:v>Stokta yok</x:v>
      </x:c>
      <x:c r="M424" s="16" t="str">
        <x:v>Kahve ürünü</x:v>
      </x:c>
      <x:c r="N424" s="16" t="str">
        <x:v>WooCommerce Store API</x:v>
      </x:c>
      <x:c r="O424" s="16" t="str">
        <x:v>Yüksek</x:v>
      </x:c>
      <x:c r="P424" s="19" t="n">
        <x:v>46245</x:v>
      </x:c>
      <x:c r="Q424" s="20" t="str">
        <x:v>https://coffeefriendzone.com/papua-yeni-gine-markham-nitelikli-yoresel-cikolata-bar-100-gr/</x:v>
      </x:c>
      <x:c r="R424" s="20" t="str">
        <x:v>Fiyat veya gramaj eksik olsa da ürün korundu.</x:v>
      </x:c>
    </x:row>
    <x:row r="425" ht="40" customHeight="1">
      <x:c r="A425" s="16" t="str">
        <x:v>Coffee Friendzone</x:v>
      </x:c>
      <x:c r="B425" s="16" t="str">
        <x:v>İzmir</x:v>
      </x:c>
      <x:c r="C425" s="16" t="str">
        <x:v>Kısmi doğrulama</x:v>
      </x:c>
      <x:c r="D425" s="16" t="str">
        <x:v>Ürün kaydı</x:v>
      </x:c>
      <x:c r="E425" s="16" t="str">
        <x:v>Peru San Martin Nitelikli Yöresel Çikolata Bar 100 Gr.</x:v>
      </x:c>
      <x:c r="F425" s="16" t="str">
        <x:v>Peru | Hindistan</x:v>
      </x:c>
      <x:c r="G425" s="17" t="n">
        <x:v>100</x:v>
      </x:c>
      <x:c r="H425" s="16" t="str">
        <x:v>Erişildi</x:v>
      </x:c>
      <x:c r="I425" s="18" t="n">
        <x:v>190</x:v>
      </x:c>
      <x:c r="J425" s="18" t="str">
        <x:v>Erişildi</x:v>
      </x:c>
      <x:c r="K425" s="18" t="n">
        <x:f>IF(AND(ISNUMBER(G425),ISNUMBER(I425)),I425/G425*1000,"Erişilemedi")</x:f>
        <x:v>1900</x:v>
      </x:c>
      <x:c r="L425" s="16" t="str">
        <x:v>Stokta yok</x:v>
      </x:c>
      <x:c r="M425" s="16" t="str">
        <x:v>Kahve ürünü</x:v>
      </x:c>
      <x:c r="N425" s="16" t="str">
        <x:v>WooCommerce Store API</x:v>
      </x:c>
      <x:c r="O425" s="16" t="str">
        <x:v>Yüksek</x:v>
      </x:c>
      <x:c r="P425" s="19" t="n">
        <x:v>46245</x:v>
      </x:c>
      <x:c r="Q425" s="20" t="str">
        <x:v>https://coffeefriendzone.com/peru-san-martin-nitelikli-yoresel-cikolata-bar-100-gr/</x:v>
      </x:c>
      <x:c r="R425" s="20" t="str">
        <x:v>Fiyat veya gramaj eksik olsa da ürün korundu.</x:v>
      </x:c>
    </x:row>
    <x:row r="426" ht="40" customHeight="1">
      <x:c r="A426" s="16" t="str">
        <x:v>Coffee Friendzone</x:v>
      </x:c>
      <x:c r="B426" s="16" t="str">
        <x:v>İzmir</x:v>
      </x:c>
      <x:c r="C426" s="16" t="str">
        <x:v>Kısmi doğrulama</x:v>
      </x:c>
      <x:c r="D426" s="16" t="str">
        <x:v>Ürün kaydı</x:v>
      </x:c>
      <x:c r="E426" s="16" t="str">
        <x:v>Premium Espresso Blend</x:v>
      </x:c>
      <x:c r="F426" s="16" t="str">
        <x:v>Harman – menşe belirtilmemiş</x:v>
      </x:c>
      <x:c r="G426" s="17" t="str">
        <x:v>Erişilemedi</x:v>
      </x:c>
      <x:c r="H426" s="16" t="str">
        <x:v>Erişilemedi</x:v>
      </x:c>
      <x:c r="I426" s="18" t="n">
        <x:v>450</x:v>
      </x:c>
      <x:c r="J426" s="18" t="str">
        <x:v>Erişildi</x:v>
      </x:c>
      <x:c r="K426" s="18" t="str">
        <x:f>IF(AND(ISNUMBER(G426),ISNUMBER(I426)),I426/G426*1000,"Erişilemedi")</x:f>
        <x:v>Erişilemedi</x:v>
      </x:c>
      <x:c r="L426" s="16" t="str">
        <x:v>Stokta</x:v>
      </x:c>
      <x:c r="M426" s="16" t="str">
        <x:v>Harman</x:v>
      </x:c>
      <x:c r="N426" s="16" t="str">
        <x:v>WooCommerce Store API</x:v>
      </x:c>
      <x:c r="O426" s="16" t="str">
        <x:v>Orta</x:v>
      </x:c>
      <x:c r="P426" s="19" t="n">
        <x:v>46245</x:v>
      </x:c>
      <x:c r="Q426" s="20" t="str">
        <x:v>https://coffeefriendzone.com/premium-espresso-blend/</x:v>
      </x:c>
      <x:c r="R426" s="20" t="str">
        <x:v>Fiyat veya gramaj eksik olsa da ürün korundu.</x:v>
      </x:c>
    </x:row>
    <x:row r="427" ht="40" customHeight="1">
      <x:c r="A427" s="16" t="str">
        <x:v>Coffee Friendzone</x:v>
      </x:c>
      <x:c r="B427" s="16" t="str">
        <x:v>İzmir</x:v>
      </x:c>
      <x:c r="C427" s="16" t="str">
        <x:v>Kısmi doğrulama</x:v>
      </x:c>
      <x:c r="D427" s="16" t="str">
        <x:v>Ürün kaydı</x:v>
      </x:c>
      <x:c r="E427" s="16" t="str">
        <x:v>Premium Filter Coffee Blend</x:v>
      </x:c>
      <x:c r="F427" s="16" t="str">
        <x:v>Harman – menşe belirtilmemiş</x:v>
      </x:c>
      <x:c r="G427" s="17" t="str">
        <x:v>Erişilemedi</x:v>
      </x:c>
      <x:c r="H427" s="16" t="str">
        <x:v>Erişilemedi</x:v>
      </x:c>
      <x:c r="I427" s="18" t="n">
        <x:v>450</x:v>
      </x:c>
      <x:c r="J427" s="18" t="str">
        <x:v>Erişildi</x:v>
      </x:c>
      <x:c r="K427" s="18" t="str">
        <x:f>IF(AND(ISNUMBER(G427),ISNUMBER(I427)),I427/G427*1000,"Erişilemedi")</x:f>
        <x:v>Erişilemedi</x:v>
      </x:c>
      <x:c r="L427" s="16" t="str">
        <x:v>Stokta</x:v>
      </x:c>
      <x:c r="M427" s="16" t="str">
        <x:v>Harman</x:v>
      </x:c>
      <x:c r="N427" s="16" t="str">
        <x:v>WooCommerce Store API</x:v>
      </x:c>
      <x:c r="O427" s="16" t="str">
        <x:v>Orta</x:v>
      </x:c>
      <x:c r="P427" s="19" t="n">
        <x:v>46245</x:v>
      </x:c>
      <x:c r="Q427" s="20" t="str">
        <x:v>https://coffeefriendzone.com/premium-filter-coffee-blend/</x:v>
      </x:c>
      <x:c r="R427" s="20" t="str">
        <x:v>Fiyat veya gramaj eksik olsa da ürün korundu.</x:v>
      </x:c>
    </x:row>
    <x:row r="428" ht="40" customHeight="1">
      <x:c r="A428" s="16" t="str">
        <x:v>Coffee Friendzone</x:v>
      </x:c>
      <x:c r="B428" s="16" t="str">
        <x:v>İzmir</x:v>
      </x:c>
      <x:c r="C428" s="16" t="str">
        <x:v>Kısmi doğrulama</x:v>
      </x:c>
      <x:c r="D428" s="16" t="str">
        <x:v>Ürün kaydı</x:v>
      </x:c>
      <x:c r="E428" s="16" t="str">
        <x:v>Smooth Blend Nitelikli Yöresel Çikolata Bar 100 Gr.</x:v>
      </x:c>
      <x:c r="F428" s="16" t="str">
        <x:v>Harman – menşe belirtilmemiş</x:v>
      </x:c>
      <x:c r="G428" s="17" t="n">
        <x:v>100</x:v>
      </x:c>
      <x:c r="H428" s="16" t="str">
        <x:v>Erişildi</x:v>
      </x:c>
      <x:c r="I428" s="18" t="n">
        <x:v>190</x:v>
      </x:c>
      <x:c r="J428" s="18" t="str">
        <x:v>Erişildi</x:v>
      </x:c>
      <x:c r="K428" s="18" t="n">
        <x:f>IF(AND(ISNUMBER(G428),ISNUMBER(I428)),I428/G428*1000,"Erişilemedi")</x:f>
        <x:v>1900</x:v>
      </x:c>
      <x:c r="L428" s="16" t="str">
        <x:v>Stokta yok</x:v>
      </x:c>
      <x:c r="M428" s="16" t="str">
        <x:v>Harman</x:v>
      </x:c>
      <x:c r="N428" s="16" t="str">
        <x:v>WooCommerce Store API</x:v>
      </x:c>
      <x:c r="O428" s="16" t="str">
        <x:v>Yüksek</x:v>
      </x:c>
      <x:c r="P428" s="19" t="n">
        <x:v>46245</x:v>
      </x:c>
      <x:c r="Q428" s="20" t="str">
        <x:v>https://coffeefriendzone.com/smooth-blend-nitelikli-yoresel-cikolata-bar-100-gr/</x:v>
      </x:c>
      <x:c r="R428" s="20" t="str">
        <x:v>Fiyat veya gramaj eksik olsa da ürün korundu.</x:v>
      </x:c>
    </x:row>
    <x:row r="429" ht="40" customHeight="1">
      <x:c r="A429" s="16" t="str">
        <x:v>Coffee Friendzone</x:v>
      </x:c>
      <x:c r="B429" s="16" t="str">
        <x:v>İzmir</x:v>
      </x:c>
      <x:c r="C429" s="16" t="str">
        <x:v>Kısmi doğrulama</x:v>
      </x:c>
      <x:c r="D429" s="16" t="str">
        <x:v>Ürün kaydı</x:v>
      </x:c>
      <x:c r="E429" s="16" t="str">
        <x:v>Uganda Bugishu AA</x:v>
      </x:c>
      <x:c r="F429" s="16" t="str">
        <x:v>Menşe belirtilmemiş</x:v>
      </x:c>
      <x:c r="G429" s="17" t="str">
        <x:v>Erişilemedi</x:v>
      </x:c>
      <x:c r="H429" s="16" t="str">
        <x:v>Erişilemedi</x:v>
      </x:c>
      <x:c r="I429" s="18" t="n">
        <x:v>495</x:v>
      </x:c>
      <x:c r="J429" s="18" t="str">
        <x:v>Erişildi</x:v>
      </x:c>
      <x:c r="K429" s="18" t="str">
        <x:f>IF(AND(ISNUMBER(G429),ISNUMBER(I429)),I429/G429*1000,"Erişilemedi")</x:f>
        <x:v>Erişilemedi</x:v>
      </x:c>
      <x:c r="L429" s="16" t="str">
        <x:v>Stokta</x:v>
      </x:c>
      <x:c r="M429" s="16" t="str">
        <x:v>Kahve ürünü</x:v>
      </x:c>
      <x:c r="N429" s="16" t="str">
        <x:v>WooCommerce Store API</x:v>
      </x:c>
      <x:c r="O429" s="16" t="str">
        <x:v>Orta</x:v>
      </x:c>
      <x:c r="P429" s="19" t="n">
        <x:v>46245</x:v>
      </x:c>
      <x:c r="Q429" s="20" t="str">
        <x:v>https://coffeefriendzone.com/uganda-bugishu/</x:v>
      </x:c>
      <x:c r="R429" s="20" t="str">
        <x:v>Fiyat veya gramaj eksik olsa da ürün korundu.</x:v>
      </x:c>
    </x:row>
    <x:row r="430" ht="40" customHeight="1">
      <x:c r="A430" s="16" t="str">
        <x:v>Coffee Lab</x:v>
      </x:c>
      <x:c r="B430" s="16" t="str">
        <x:v>Ankara</x:v>
      </x:c>
      <x:c r="C430" s="16" t="str">
        <x:v>Doğrulandı</x:v>
      </x:c>
      <x:c r="D430" s="16" t="str">
        <x:v>Ürün kaydı</x:v>
      </x:c>
      <x:c r="E430" s="16" t="str">
        <x:v>3. Nesil Kahve Demleme Çeşitleri</x:v>
      </x:c>
      <x:c r="F430" s="16" t="str">
        <x:v>Menşe belirtilmemiş</x:v>
      </x:c>
      <x:c r="G430" s="17" t="str">
        <x:v>Erişilemedi</x:v>
      </x:c>
      <x:c r="H430" s="16" t="str">
        <x:v>Erişilemedi</x:v>
      </x:c>
      <x:c r="I430" s="18" t="str">
        <x:v>Erişilemedi</x:v>
      </x:c>
      <x:c r="J430" s="18" t="str">
        <x:v>Erişilemedi</x:v>
      </x:c>
      <x:c r="K430" s="18" t="str">
        <x:f>IF(AND(ISNUMBER(G430),ISNUMBER(I430)),I430/G430*1000,"Erişilemedi")</x:f>
        <x:v>Erişilemedi</x:v>
      </x:c>
      <x:c r="L430" s="16" t="str">
        <x:v>Belirsiz</x:v>
      </x:c>
      <x:c r="M430" s="16" t="str">
        <x:v>Kahve ürünü</x:v>
      </x:c>
      <x:c r="N430" s="16" t="str">
        <x:v>Site haritası ürün sayfası</x:v>
      </x:c>
      <x:c r="O430" s="16" t="str">
        <x:v>Düşük</x:v>
      </x:c>
      <x:c r="P430" s="19" t="n">
        <x:v>46245</x:v>
      </x:c>
      <x:c r="Q430" s="20" t="str">
        <x:v>https://coffeelab.com.tr/3-nesil-kahve-demleme-cesitleri/</x:v>
      </x:c>
      <x:c r="R430" s="20" t="str">
        <x:v>Ürün kimliği korundu; eksik alanlar erişilemedi olarak işaretlenecek.</x:v>
      </x:c>
    </x:row>
    <x:row r="431" ht="40" customHeight="1">
      <x:c r="A431" s="16" t="str">
        <x:v>Coffee Lab</x:v>
      </x:c>
      <x:c r="B431" s="16" t="str">
        <x:v>Ankara</x:v>
      </x:c>
      <x:c r="C431" s="16" t="str">
        <x:v>Doğrulandı</x:v>
      </x:c>
      <x:c r="D431" s="16" t="str">
        <x:v>Ürün kaydı</x:v>
      </x:c>
      <x:c r="E431" s="16" t="str">
        <x:v>Aeropress</x:v>
      </x:c>
      <x:c r="F431" s="16" t="str">
        <x:v>Menşe belirtilmemiş</x:v>
      </x:c>
      <x:c r="G431" s="17" t="str">
        <x:v>Erişilemedi</x:v>
      </x:c>
      <x:c r="H431" s="16" t="str">
        <x:v>Erişilemedi</x:v>
      </x:c>
      <x:c r="I431" s="18" t="str">
        <x:v>Erişilemedi</x:v>
      </x:c>
      <x:c r="J431" s="18" t="str">
        <x:v>Erişilemedi</x:v>
      </x:c>
      <x:c r="K431" s="18" t="str">
        <x:f>IF(AND(ISNUMBER(G431),ISNUMBER(I431)),I431/G431*1000,"Erişilemedi")</x:f>
        <x:v>Erişilemedi</x:v>
      </x:c>
      <x:c r="L431" s="16" t="str">
        <x:v>Belirsiz</x:v>
      </x:c>
      <x:c r="M431" s="16" t="str">
        <x:v>Kahve ürünü</x:v>
      </x:c>
      <x:c r="N431" s="16" t="str">
        <x:v>Site haritası ürün sayfası</x:v>
      </x:c>
      <x:c r="O431" s="16" t="str">
        <x:v>Düşük</x:v>
      </x:c>
      <x:c r="P431" s="19" t="n">
        <x:v>46245</x:v>
      </x:c>
      <x:c r="Q431" s="20" t="str">
        <x:v>https://coffeelab.com.tr/product/aeropress/</x:v>
      </x:c>
      <x:c r="R431" s="20" t="str">
        <x:v>Ürün kimliği korundu; eksik alanlar erişilemedi olarak işaretlenecek.</x:v>
      </x:c>
    </x:row>
    <x:row r="432" ht="40" customHeight="1">
      <x:c r="A432" s="16" t="str">
        <x:v>Coffee Lab</x:v>
      </x:c>
      <x:c r="B432" s="16" t="str">
        <x:v>Ankara</x:v>
      </x:c>
      <x:c r="C432" s="16" t="str">
        <x:v>Doğrulandı</x:v>
      </x:c>
      <x:c r="D432" s="16" t="str">
        <x:v>Ürün kaydı</x:v>
      </x:c>
      <x:c r="E432" s="16" t="str">
        <x:v>Coffee frappe</x:v>
      </x:c>
      <x:c r="F432" s="16" t="str">
        <x:v>Menşe belirtilmemiş</x:v>
      </x:c>
      <x:c r="G432" s="17" t="str">
        <x:v>Erişilemedi</x:v>
      </x:c>
      <x:c r="H432" s="16" t="str">
        <x:v>Erişilemedi</x:v>
      </x:c>
      <x:c r="I432" s="18" t="str">
        <x:v>Erişilemedi</x:v>
      </x:c>
      <x:c r="J432" s="18" t="str">
        <x:v>Erişilemedi</x:v>
      </x:c>
      <x:c r="K432" s="18" t="str">
        <x:f>IF(AND(ISNUMBER(G432),ISNUMBER(I432)),I432/G432*1000,"Erişilemedi")</x:f>
        <x:v>Erişilemedi</x:v>
      </x:c>
      <x:c r="L432" s="16" t="str">
        <x:v>Belirsiz</x:v>
      </x:c>
      <x:c r="M432" s="16" t="str">
        <x:v>Kahve ürünü</x:v>
      </x:c>
      <x:c r="N432" s="16" t="str">
        <x:v>Site haritası ürün sayfası</x:v>
      </x:c>
      <x:c r="O432" s="16" t="str">
        <x:v>Düşük</x:v>
      </x:c>
      <x:c r="P432" s="19" t="n">
        <x:v>46245</x:v>
      </x:c>
      <x:c r="Q432" s="20" t="str">
        <x:v>https://coffeelab.com.tr/product/coffee-frappe/</x:v>
      </x:c>
      <x:c r="R432" s="20" t="str">
        <x:v>Ürün kimliği korundu; eksik alanlar erişilemedi olarak işaretlenecek.</x:v>
      </x:c>
    </x:row>
    <x:row r="433" ht="40" customHeight="1">
      <x:c r="A433" s="16" t="str">
        <x:v>Coffee Lab</x:v>
      </x:c>
      <x:c r="B433" s="16" t="str">
        <x:v>Ankara</x:v>
      </x:c>
      <x:c r="C433" s="16" t="str">
        <x:v>Doğrulandı</x:v>
      </x:c>
      <x:c r="D433" s="16" t="str">
        <x:v>Ürün kaydı</x:v>
      </x:c>
      <x:c r="E433" s="16" t="str">
        <x:v>Cold Brew</x:v>
      </x:c>
      <x:c r="F433" s="16" t="str">
        <x:v>Menşe belirtilmemiş</x:v>
      </x:c>
      <x:c r="G433" s="17" t="str">
        <x:v>Erişilemedi</x:v>
      </x:c>
      <x:c r="H433" s="16" t="str">
        <x:v>Erişilemedi</x:v>
      </x:c>
      <x:c r="I433" s="18" t="str">
        <x:v>Erişilemedi</x:v>
      </x:c>
      <x:c r="J433" s="18" t="str">
        <x:v>Erişilemedi</x:v>
      </x:c>
      <x:c r="K433" s="18" t="str">
        <x:f>IF(AND(ISNUMBER(G433),ISNUMBER(I433)),I433/G433*1000,"Erişilemedi")</x:f>
        <x:v>Erişilemedi</x:v>
      </x:c>
      <x:c r="L433" s="16" t="str">
        <x:v>Belirsiz</x:v>
      </x:c>
      <x:c r="M433" s="16" t="str">
        <x:v>Kahve ürünü</x:v>
      </x:c>
      <x:c r="N433" s="16" t="str">
        <x:v>Site haritası ürün sayfası</x:v>
      </x:c>
      <x:c r="O433" s="16" t="str">
        <x:v>Düşük</x:v>
      </x:c>
      <x:c r="P433" s="19" t="n">
        <x:v>46245</x:v>
      </x:c>
      <x:c r="Q433" s="20" t="str">
        <x:v>https://coffeelab.com.tr/product/cold-brew/</x:v>
      </x:c>
      <x:c r="R433" s="20" t="str">
        <x:v>Ürün kimliği korundu; eksik alanlar erişilemedi olarak işaretlenecek.</x:v>
      </x:c>
    </x:row>
    <x:row r="434" ht="40" customHeight="1">
      <x:c r="A434" s="16" t="str">
        <x:v>Coffee Lab</x:v>
      </x:c>
      <x:c r="B434" s="16" t="str">
        <x:v>Ankara</x:v>
      </x:c>
      <x:c r="C434" s="16" t="str">
        <x:v>Doğrulandı</x:v>
      </x:c>
      <x:c r="D434" s="16" t="str">
        <x:v>Ürün kaydı</x:v>
      </x:c>
      <x:c r="E434" s="16" t="str">
        <x:v>Cortado</x:v>
      </x:c>
      <x:c r="F434" s="16" t="str">
        <x:v>Menşe belirtilmemiş</x:v>
      </x:c>
      <x:c r="G434" s="17" t="str">
        <x:v>Erişilemedi</x:v>
      </x:c>
      <x:c r="H434" s="16" t="str">
        <x:v>Erişilemedi</x:v>
      </x:c>
      <x:c r="I434" s="18" t="str">
        <x:v>Erişilemedi</x:v>
      </x:c>
      <x:c r="J434" s="18" t="str">
        <x:v>Erişilemedi</x:v>
      </x:c>
      <x:c r="K434" s="18" t="str">
        <x:f>IF(AND(ISNUMBER(G434),ISNUMBER(I434)),I434/G434*1000,"Erişilemedi")</x:f>
        <x:v>Erişilemedi</x:v>
      </x:c>
      <x:c r="L434" s="16" t="str">
        <x:v>Belirsiz</x:v>
      </x:c>
      <x:c r="M434" s="16" t="str">
        <x:v>Kahve ürünü</x:v>
      </x:c>
      <x:c r="N434" s="16" t="str">
        <x:v>Site haritası ürün sayfası</x:v>
      </x:c>
      <x:c r="O434" s="16" t="str">
        <x:v>Düşük</x:v>
      </x:c>
      <x:c r="P434" s="19" t="n">
        <x:v>46245</x:v>
      </x:c>
      <x:c r="Q434" s="20" t="str">
        <x:v>https://coffeelab.com.tr/product/cortado/</x:v>
      </x:c>
      <x:c r="R434" s="20" t="str">
        <x:v>Ürün kimliği korundu; eksik alanlar erişilemedi olarak işaretlenecek.</x:v>
      </x:c>
    </x:row>
    <x:row r="435" ht="40" customHeight="1">
      <x:c r="A435" s="16" t="str">
        <x:v>Coffee Lab</x:v>
      </x:c>
      <x:c r="B435" s="16" t="str">
        <x:v>Ankara</x:v>
      </x:c>
      <x:c r="C435" s="16" t="str">
        <x:v>Doğrulandı</x:v>
      </x:c>
      <x:c r="D435" s="16" t="str">
        <x:v>Ürün kaydı</x:v>
      </x:c>
      <x:c r="E435" s="16" t="str">
        <x:v>Espresso</x:v>
      </x:c>
      <x:c r="F435" s="16" t="str">
        <x:v>Menşe belirtilmemiş</x:v>
      </x:c>
      <x:c r="G435" s="17" t="str">
        <x:v>Erişilemedi</x:v>
      </x:c>
      <x:c r="H435" s="16" t="str">
        <x:v>Erişilemedi</x:v>
      </x:c>
      <x:c r="I435" s="18" t="str">
        <x:v>Erişilemedi</x:v>
      </x:c>
      <x:c r="J435" s="18" t="str">
        <x:v>Erişilemedi</x:v>
      </x:c>
      <x:c r="K435" s="18" t="str">
        <x:f>IF(AND(ISNUMBER(G435),ISNUMBER(I435)),I435/G435*1000,"Erişilemedi")</x:f>
        <x:v>Erişilemedi</x:v>
      </x:c>
      <x:c r="L435" s="16" t="str">
        <x:v>Belirsiz</x:v>
      </x:c>
      <x:c r="M435" s="16" t="str">
        <x:v>Kahve ürünü</x:v>
      </x:c>
      <x:c r="N435" s="16" t="str">
        <x:v>Site haritası ürün sayfası</x:v>
      </x:c>
      <x:c r="O435" s="16" t="str">
        <x:v>Düşük</x:v>
      </x:c>
      <x:c r="P435" s="19" t="n">
        <x:v>46245</x:v>
      </x:c>
      <x:c r="Q435" s="20" t="str">
        <x:v>https://coffeelab.com.tr/product/espresso/</x:v>
      </x:c>
      <x:c r="R435" s="20" t="str">
        <x:v>Ürün kimliği korundu; eksik alanlar erişilemedi olarak işaretlenecek.</x:v>
      </x:c>
    </x:row>
    <x:row r="436" ht="40" customHeight="1">
      <x:c r="A436" s="16" t="str">
        <x:v>Coffee Lab</x:v>
      </x:c>
      <x:c r="B436" s="16" t="str">
        <x:v>Ankara</x:v>
      </x:c>
      <x:c r="C436" s="16" t="str">
        <x:v>Doğrulandı</x:v>
      </x:c>
      <x:c r="D436" s="16" t="str">
        <x:v>Ürün kaydı</x:v>
      </x:c>
      <x:c r="E436" s="16" t="str">
        <x:v>Espresso Con Panna</x:v>
      </x:c>
      <x:c r="F436" s="16" t="str">
        <x:v>Menşe belirtilmemiş</x:v>
      </x:c>
      <x:c r="G436" s="17" t="str">
        <x:v>Erişilemedi</x:v>
      </x:c>
      <x:c r="H436" s="16" t="str">
        <x:v>Erişilemedi</x:v>
      </x:c>
      <x:c r="I436" s="18" t="str">
        <x:v>Erişilemedi</x:v>
      </x:c>
      <x:c r="J436" s="18" t="str">
        <x:v>Erişilemedi</x:v>
      </x:c>
      <x:c r="K436" s="18" t="str">
        <x:f>IF(AND(ISNUMBER(G436),ISNUMBER(I436)),I436/G436*1000,"Erişilemedi")</x:f>
        <x:v>Erişilemedi</x:v>
      </x:c>
      <x:c r="L436" s="16" t="str">
        <x:v>Belirsiz</x:v>
      </x:c>
      <x:c r="M436" s="16" t="str">
        <x:v>Kahve ürünü</x:v>
      </x:c>
      <x:c r="N436" s="16" t="str">
        <x:v>Site haritası ürün sayfası</x:v>
      </x:c>
      <x:c r="O436" s="16" t="str">
        <x:v>Düşük</x:v>
      </x:c>
      <x:c r="P436" s="19" t="n">
        <x:v>46245</x:v>
      </x:c>
      <x:c r="Q436" s="20" t="str">
        <x:v>https://coffeelab.com.tr/product/espressoconpanna/</x:v>
      </x:c>
      <x:c r="R436" s="20" t="str">
        <x:v>Ürün kimliği korundu; eksik alanlar erişilemedi olarak işaretlenecek.</x:v>
      </x:c>
    </x:row>
    <x:row r="437" ht="40" customHeight="1">
      <x:c r="A437" s="16" t="str">
        <x:v>Coffee Lab</x:v>
      </x:c>
      <x:c r="B437" s="16" t="str">
        <x:v>Ankara</x:v>
      </x:c>
      <x:c r="C437" s="16" t="str">
        <x:v>Doğrulandı</x:v>
      </x:c>
      <x:c r="D437" s="16" t="str">
        <x:v>Ürün kaydı</x:v>
      </x:c>
      <x:c r="E437" s="16" t="str">
        <x:v>Espresso Macchiato</x:v>
      </x:c>
      <x:c r="F437" s="16" t="str">
        <x:v>Menşe belirtilmemiş</x:v>
      </x:c>
      <x:c r="G437" s="17" t="str">
        <x:v>Erişilemedi</x:v>
      </x:c>
      <x:c r="H437" s="16" t="str">
        <x:v>Erişilemedi</x:v>
      </x:c>
      <x:c r="I437" s="18" t="str">
        <x:v>Erişilemedi</x:v>
      </x:c>
      <x:c r="J437" s="18" t="str">
        <x:v>Erişilemedi</x:v>
      </x:c>
      <x:c r="K437" s="18" t="str">
        <x:f>IF(AND(ISNUMBER(G437),ISNUMBER(I437)),I437/G437*1000,"Erişilemedi")</x:f>
        <x:v>Erişilemedi</x:v>
      </x:c>
      <x:c r="L437" s="16" t="str">
        <x:v>Belirsiz</x:v>
      </x:c>
      <x:c r="M437" s="16" t="str">
        <x:v>Kahve ürünü</x:v>
      </x:c>
      <x:c r="N437" s="16" t="str">
        <x:v>Site haritası ürün sayfası</x:v>
      </x:c>
      <x:c r="O437" s="16" t="str">
        <x:v>Düşük</x:v>
      </x:c>
      <x:c r="P437" s="19" t="n">
        <x:v>46245</x:v>
      </x:c>
      <x:c r="Q437" s="20" t="str">
        <x:v>https://coffeelab.com.tr/product/espresso-macchiato/</x:v>
      </x:c>
      <x:c r="R437" s="20" t="str">
        <x:v>Ürün kimliği korundu; eksik alanlar erişilemedi olarak işaretlenecek.</x:v>
      </x:c>
    </x:row>
    <x:row r="438" ht="40" customHeight="1">
      <x:c r="A438" s="16" t="str">
        <x:v>Coffee Lab</x:v>
      </x:c>
      <x:c r="B438" s="16" t="str">
        <x:v>Ankara</x:v>
      </x:c>
      <x:c r="C438" s="16" t="str">
        <x:v>Doğrulandı</x:v>
      </x:c>
      <x:c r="D438" s="16" t="str">
        <x:v>Ürün kaydı</x:v>
      </x:c>
      <x:c r="E438" s="16" t="str">
        <x:v>Evinizde Uygulayabileceğiniz Süt Köpürtme Yöntemleri</x:v>
      </x:c>
      <x:c r="F438" s="16" t="str">
        <x:v>Menşe belirtilmemiş</x:v>
      </x:c>
      <x:c r="G438" s="17" t="str">
        <x:v>Erişilemedi</x:v>
      </x:c>
      <x:c r="H438" s="16" t="str">
        <x:v>Erişilemedi</x:v>
      </x:c>
      <x:c r="I438" s="18" t="str">
        <x:v>Erişilemedi</x:v>
      </x:c>
      <x:c r="J438" s="18" t="str">
        <x:v>Erişilemedi</x:v>
      </x:c>
      <x:c r="K438" s="18" t="str">
        <x:f>IF(AND(ISNUMBER(G438),ISNUMBER(I438)),I438/G438*1000,"Erişilemedi")</x:f>
        <x:v>Erişilemedi</x:v>
      </x:c>
      <x:c r="L438" s="16" t="str">
        <x:v>Belirsiz</x:v>
      </x:c>
      <x:c r="M438" s="16" t="str">
        <x:v>Kahve ürünü</x:v>
      </x:c>
      <x:c r="N438" s="16" t="str">
        <x:v>Site haritası ürün sayfası</x:v>
      </x:c>
      <x:c r="O438" s="16" t="str">
        <x:v>Düşük</x:v>
      </x:c>
      <x:c r="P438" s="19" t="n">
        <x:v>46245</x:v>
      </x:c>
      <x:c r="Q438" s="20" t="str">
        <x:v>https://coffeelab.com.tr/evinizde-uygulayabileceginiz-sut-kopurtme-yontemleri/</x:v>
      </x:c>
      <x:c r="R438" s="20" t="str">
        <x:v>Ürün kimliği korundu; eksik alanlar erişilemedi olarak işaretlenecek.</x:v>
      </x:c>
    </x:row>
    <x:row r="439" ht="40" customHeight="1">
      <x:c r="A439" s="16" t="str">
        <x:v>Coffee Lab</x:v>
      </x:c>
      <x:c r="B439" s="16" t="str">
        <x:v>Ankara</x:v>
      </x:c>
      <x:c r="C439" s="16" t="str">
        <x:v>Doğrulandı</x:v>
      </x:c>
      <x:c r="D439" s="16" t="str">
        <x:v>Ürün kaydı</x:v>
      </x:c>
      <x:c r="E439" s="16" t="str">
        <x:v>Filtre Kahve</x:v>
      </x:c>
      <x:c r="F439" s="16" t="str">
        <x:v>Menşe belirtilmemiş</x:v>
      </x:c>
      <x:c r="G439" s="17" t="str">
        <x:v>Erişilemedi</x:v>
      </x:c>
      <x:c r="H439" s="16" t="str">
        <x:v>Erişilemedi</x:v>
      </x:c>
      <x:c r="I439" s="18" t="str">
        <x:v>Erişilemedi</x:v>
      </x:c>
      <x:c r="J439" s="18" t="str">
        <x:v>Erişilemedi</x:v>
      </x:c>
      <x:c r="K439" s="18" t="str">
        <x:f>IF(AND(ISNUMBER(G439),ISNUMBER(I439)),I439/G439*1000,"Erişilemedi")</x:f>
        <x:v>Erişilemedi</x:v>
      </x:c>
      <x:c r="L439" s="16" t="str">
        <x:v>Belirsiz</x:v>
      </x:c>
      <x:c r="M439" s="16" t="str">
        <x:v>Kahve ürünü</x:v>
      </x:c>
      <x:c r="N439" s="16" t="str">
        <x:v>Site haritası ürün sayfası</x:v>
      </x:c>
      <x:c r="O439" s="16" t="str">
        <x:v>Düşük</x:v>
      </x:c>
      <x:c r="P439" s="19" t="n">
        <x:v>46245</x:v>
      </x:c>
      <x:c r="Q439" s="20" t="str">
        <x:v>https://coffeelab.com.tr/product/filtrekahve/</x:v>
      </x:c>
      <x:c r="R439" s="20" t="str">
        <x:v>Ürün kimliği korundu; eksik alanlar erişilemedi olarak işaretlenecek.</x:v>
      </x:c>
    </x:row>
    <x:row r="440" ht="40" customHeight="1">
      <x:c r="A440" s="16" t="str">
        <x:v>Coffee Lab</x:v>
      </x:c>
      <x:c r="B440" s="16" t="str">
        <x:v>Ankara</x:v>
      </x:c>
      <x:c r="C440" s="16" t="str">
        <x:v>Doğrulandı</x:v>
      </x:c>
      <x:c r="D440" s="16" t="str">
        <x:v>Ürün kaydı</x:v>
      </x:c>
      <x:c r="E440" s="16" t="str">
        <x:v>Iced Coffe</x:v>
      </x:c>
      <x:c r="F440" s="16" t="str">
        <x:v>Menşe belirtilmemiş</x:v>
      </x:c>
      <x:c r="G440" s="17" t="str">
        <x:v>Erişilemedi</x:v>
      </x:c>
      <x:c r="H440" s="16" t="str">
        <x:v>Erişilemedi</x:v>
      </x:c>
      <x:c r="I440" s="18" t="str">
        <x:v>Erişilemedi</x:v>
      </x:c>
      <x:c r="J440" s="18" t="str">
        <x:v>Erişilemedi</x:v>
      </x:c>
      <x:c r="K440" s="18" t="str">
        <x:f>IF(AND(ISNUMBER(G440),ISNUMBER(I440)),I440/G440*1000,"Erişilemedi")</x:f>
        <x:v>Erişilemedi</x:v>
      </x:c>
      <x:c r="L440" s="16" t="str">
        <x:v>Belirsiz</x:v>
      </x:c>
      <x:c r="M440" s="16" t="str">
        <x:v>Kahve ürünü</x:v>
      </x:c>
      <x:c r="N440" s="16" t="str">
        <x:v>Site haritası ürün sayfası</x:v>
      </x:c>
      <x:c r="O440" s="16" t="str">
        <x:v>Düşük</x:v>
      </x:c>
      <x:c r="P440" s="19" t="n">
        <x:v>46245</x:v>
      </x:c>
      <x:c r="Q440" s="20" t="str">
        <x:v>https://coffeelab.com.tr/product/icedcoffe/</x:v>
      </x:c>
      <x:c r="R440" s="20" t="str">
        <x:v>Ürün kimliği korundu; eksik alanlar erişilemedi olarak işaretlenecek.</x:v>
      </x:c>
    </x:row>
    <x:row r="441" ht="40" customHeight="1">
      <x:c r="A441" s="16" t="str">
        <x:v>Coffee Lab</x:v>
      </x:c>
      <x:c r="B441" s="16" t="str">
        <x:v>Ankara</x:v>
      </x:c>
      <x:c r="C441" s="16" t="str">
        <x:v>Doğrulandı</x:v>
      </x:c>
      <x:c r="D441" s="16" t="str">
        <x:v>Ürün kaydı</x:v>
      </x:c>
      <x:c r="E441" s="16" t="str">
        <x:v>Iced Mocha</x:v>
      </x:c>
      <x:c r="F441" s="16" t="str">
        <x:v>Menşe belirtilmemiş</x:v>
      </x:c>
      <x:c r="G441" s="17" t="str">
        <x:v>Erişilemedi</x:v>
      </x:c>
      <x:c r="H441" s="16" t="str">
        <x:v>Erişilemedi</x:v>
      </x:c>
      <x:c r="I441" s="18" t="str">
        <x:v>Erişilemedi</x:v>
      </x:c>
      <x:c r="J441" s="18" t="str">
        <x:v>Erişilemedi</x:v>
      </x:c>
      <x:c r="K441" s="18" t="str">
        <x:f>IF(AND(ISNUMBER(G441),ISNUMBER(I441)),I441/G441*1000,"Erişilemedi")</x:f>
        <x:v>Erişilemedi</x:v>
      </x:c>
      <x:c r="L441" s="16" t="str">
        <x:v>Belirsiz</x:v>
      </x:c>
      <x:c r="M441" s="16" t="str">
        <x:v>Kahve ürünü</x:v>
      </x:c>
      <x:c r="N441" s="16" t="str">
        <x:v>Site haritası ürün sayfası</x:v>
      </x:c>
      <x:c r="O441" s="16" t="str">
        <x:v>Düşük</x:v>
      </x:c>
      <x:c r="P441" s="19" t="n">
        <x:v>46245</x:v>
      </x:c>
      <x:c r="Q441" s="20" t="str">
        <x:v>https://coffeelab.com.tr/product/icedmocha/</x:v>
      </x:c>
      <x:c r="R441" s="20" t="str">
        <x:v>Ürün kimliği korundu; eksik alanlar erişilemedi olarak işaretlenecek.</x:v>
      </x:c>
    </x:row>
    <x:row r="442" ht="40" customHeight="1">
      <x:c r="A442" s="16" t="str">
        <x:v>Coffee Lab</x:v>
      </x:c>
      <x:c r="B442" s="16" t="str">
        <x:v>Ankara</x:v>
      </x:c>
      <x:c r="C442" s="16" t="str">
        <x:v>Doğrulandı</x:v>
      </x:c>
      <x:c r="D442" s="16" t="str">
        <x:v>Ürün kaydı</x:v>
      </x:c>
      <x:c r="E442" s="16" t="str">
        <x:v>Limonata</x:v>
      </x:c>
      <x:c r="F442" s="16" t="str">
        <x:v>Menşe belirtilmemiş</x:v>
      </x:c>
      <x:c r="G442" s="17" t="str">
        <x:v>Erişilemedi</x:v>
      </x:c>
      <x:c r="H442" s="16" t="str">
        <x:v>Erişilemedi</x:v>
      </x:c>
      <x:c r="I442" s="18" t="str">
        <x:v>Erişilemedi</x:v>
      </x:c>
      <x:c r="J442" s="18" t="str">
        <x:v>Erişilemedi</x:v>
      </x:c>
      <x:c r="K442" s="18" t="str">
        <x:f>IF(AND(ISNUMBER(G442),ISNUMBER(I442)),I442/G442*1000,"Erişilemedi")</x:f>
        <x:v>Erişilemedi</x:v>
      </x:c>
      <x:c r="L442" s="16" t="str">
        <x:v>Belirsiz</x:v>
      </x:c>
      <x:c r="M442" s="16" t="str">
        <x:v>Kahve ürünü</x:v>
      </x:c>
      <x:c r="N442" s="16" t="str">
        <x:v>Site haritası ürün sayfası</x:v>
      </x:c>
      <x:c r="O442" s="16" t="str">
        <x:v>Düşük</x:v>
      </x:c>
      <x:c r="P442" s="19" t="n">
        <x:v>46245</x:v>
      </x:c>
      <x:c r="Q442" s="20" t="str">
        <x:v>https://coffeelab.com.tr/product/limonata/</x:v>
      </x:c>
      <x:c r="R442" s="20" t="str">
        <x:v>Ürün kimliği korundu; eksik alanlar erişilemedi olarak işaretlenecek.</x:v>
      </x:c>
    </x:row>
    <x:row r="443" ht="40" customHeight="1">
      <x:c r="A443" s="16" t="str">
        <x:v>Coffee Lab</x:v>
      </x:c>
      <x:c r="B443" s="16" t="str">
        <x:v>Ankara</x:v>
      </x:c>
      <x:c r="C443" s="16" t="str">
        <x:v>Doğrulandı</x:v>
      </x:c>
      <x:c r="D443" s="16" t="str">
        <x:v>Ürün kaydı</x:v>
      </x:c>
      <x:c r="E443" s="16" t="str">
        <x:v>Toffe Coffee Latte</x:v>
      </x:c>
      <x:c r="F443" s="16" t="str">
        <x:v>Menşe belirtilmemiş</x:v>
      </x:c>
      <x:c r="G443" s="17" t="str">
        <x:v>Erişilemedi</x:v>
      </x:c>
      <x:c r="H443" s="16" t="str">
        <x:v>Erişilemedi</x:v>
      </x:c>
      <x:c r="I443" s="18" t="str">
        <x:v>Erişilemedi</x:v>
      </x:c>
      <x:c r="J443" s="18" t="str">
        <x:v>Erişilemedi</x:v>
      </x:c>
      <x:c r="K443" s="18" t="str">
        <x:f>IF(AND(ISNUMBER(G443),ISNUMBER(I443)),I443/G443*1000,"Erişilemedi")</x:f>
        <x:v>Erişilemedi</x:v>
      </x:c>
      <x:c r="L443" s="16" t="str">
        <x:v>Belirsiz</x:v>
      </x:c>
      <x:c r="M443" s="16" t="str">
        <x:v>Kahve ürünü</x:v>
      </x:c>
      <x:c r="N443" s="16" t="str">
        <x:v>Site haritası ürün sayfası</x:v>
      </x:c>
      <x:c r="O443" s="16" t="str">
        <x:v>Düşük</x:v>
      </x:c>
      <x:c r="P443" s="19" t="n">
        <x:v>46245</x:v>
      </x:c>
      <x:c r="Q443" s="20" t="str">
        <x:v>https://coffeelab.com.tr/product/toffe-coffee-latte/</x:v>
      </x:c>
      <x:c r="R443" s="20" t="str">
        <x:v>Ürün kimliği korundu; eksik alanlar erişilemedi olarak işaretlenecek.</x:v>
      </x:c>
    </x:row>
    <x:row r="444" ht="40" customHeight="1">
      <x:c r="A444" s="16" t="str">
        <x:v>Coffee Lab</x:v>
      </x:c>
      <x:c r="B444" s="16" t="str">
        <x:v>Ankara</x:v>
      </x:c>
      <x:c r="C444" s="16" t="str">
        <x:v>Doğrulandı</x:v>
      </x:c>
      <x:c r="D444" s="16" t="str">
        <x:v>Ürün kaydı</x:v>
      </x:c>
      <x:c r="E444" s="16" t="str">
        <x:v>Türk kahvesi</x:v>
      </x:c>
      <x:c r="F444" s="16" t="str">
        <x:v>Menşe belirtilmemiş</x:v>
      </x:c>
      <x:c r="G444" s="17" t="str">
        <x:v>Erişilemedi</x:v>
      </x:c>
      <x:c r="H444" s="16" t="str">
        <x:v>Erişilemedi</x:v>
      </x:c>
      <x:c r="I444" s="18" t="str">
        <x:v>Erişilemedi</x:v>
      </x:c>
      <x:c r="J444" s="18" t="str">
        <x:v>Erişilemedi</x:v>
      </x:c>
      <x:c r="K444" s="18" t="str">
        <x:f>IF(AND(ISNUMBER(G444),ISNUMBER(I444)),I444/G444*1000,"Erişilemedi")</x:f>
        <x:v>Erişilemedi</x:v>
      </x:c>
      <x:c r="L444" s="16" t="str">
        <x:v>Belirsiz</x:v>
      </x:c>
      <x:c r="M444" s="16" t="str">
        <x:v>Kahve ürünü</x:v>
      </x:c>
      <x:c r="N444" s="16" t="str">
        <x:v>Site haritası ürün sayfası</x:v>
      </x:c>
      <x:c r="O444" s="16" t="str">
        <x:v>Düşük</x:v>
      </x:c>
      <x:c r="P444" s="19" t="n">
        <x:v>46245</x:v>
      </x:c>
      <x:c r="Q444" s="20" t="str">
        <x:v>https://coffeelab.com.tr/product/turkkahvesi/</x:v>
      </x:c>
      <x:c r="R444" s="20" t="str">
        <x:v>Ürün kimliği korundu; eksik alanlar erişilemedi olarak işaretlenecek.</x:v>
      </x:c>
    </x:row>
    <x:row r="445" ht="40" customHeight="1">
      <x:c r="A445" s="16" t="str">
        <x:v>Coffee Manifesto</x:v>
      </x:c>
      <x:c r="B445" s="16" t="str">
        <x:v>İzmir</x:v>
      </x:c>
      <x:c r="C445" s="16" t="str">
        <x:v>Doğrulandı</x:v>
      </x:c>
      <x:c r="D445" s="16" t="str">
        <x:v>Ürün kaydı</x:v>
      </x:c>
      <x:c r="E445" s="16" t="str">
        <x:v>ESPRESSO DAILY DOSE 250 gr.</x:v>
      </x:c>
      <x:c r="F445" s="16" t="str">
        <x:v>Harman – menşe belirtilmemiş</x:v>
      </x:c>
      <x:c r="G445" s="17" t="n">
        <x:v>250</x:v>
      </x:c>
      <x:c r="H445" s="16" t="str">
        <x:v>Erişildi</x:v>
      </x:c>
      <x:c r="I445" s="18" t="n">
        <x:v>440</x:v>
      </x:c>
      <x:c r="J445" s="18" t="str">
        <x:v>Erişildi</x:v>
      </x:c>
      <x:c r="K445" s="18" t="n">
        <x:f>IF(AND(ISNUMBER(G445),ISNUMBER(I445)),I445/G445*1000,"Erişilemedi")</x:f>
        <x:v>1760</x:v>
      </x:c>
      <x:c r="L445" s="16" t="str">
        <x:v>Stokta</x:v>
      </x:c>
      <x:c r="M445" s="16" t="str">
        <x:v>Tek köken/ürün</x:v>
      </x:c>
      <x:c r="N445" s="16" t="str">
        <x:v>WooCommerce Store API</x:v>
      </x:c>
      <x:c r="O445" s="16" t="str">
        <x:v>Yüksek</x:v>
      </x:c>
      <x:c r="P445" s="19" t="n">
        <x:v>46245</x:v>
      </x:c>
      <x:c r="Q445" s="20" t="str">
        <x:v>https://coffeemanifesto.com/product/espresso-daily-dose/</x:v>
      </x:c>
      <x:c r="R445" s="20" t="str">
        <x:v>Başlık/açıklamada açık gramaj bulunan aktif ürün.</x:v>
      </x:c>
    </x:row>
    <x:row r="446" ht="40" customHeight="1">
      <x:c r="A446" s="16" t="str">
        <x:v>Coffee Manifesto</x:v>
      </x:c>
      <x:c r="B446" s="16" t="str"/>
      <x:c r="C446" s="16" t="str">
        <x:v>Pilot doğrulaması</x:v>
      </x:c>
      <x:c r="D446" s="16" t="str">
        <x:v>Ürün kaydı</x:v>
      </x:c>
      <x:c r="E446" s="16" t="str">
        <x:v>Espresso Daily Dose</x:v>
      </x:c>
      <x:c r="F446" s="16" t="str">
        <x:v>Harman – menşe belirtilmemiş</x:v>
      </x:c>
      <x:c r="G446" s="17" t="n">
        <x:v>250</x:v>
      </x:c>
      <x:c r="H446" s="16" t="str">
        <x:v>Erişildi</x:v>
      </x:c>
      <x:c r="I446" s="18" t="n">
        <x:v>440</x:v>
      </x:c>
      <x:c r="J446" s="18" t="str">
        <x:v>Erişildi</x:v>
      </x:c>
      <x:c r="K446" s="18" t="n">
        <x:f>IF(AND(ISNUMBER(G446),ISNUMBER(I446)),I446/G446*1000,"Erişilemedi")</x:f>
        <x:v>1760</x:v>
      </x:c>
      <x:c r="L446" s="16" t="str">
        <x:v>Stokta</x:v>
      </x:c>
      <x:c r="M446" s="16" t="str">
        <x:v>Harman</x:v>
      </x:c>
      <x:c r="N446" s="16" t="str">
        <x:v>Pilot manuel/API doğrulaması</x:v>
      </x:c>
      <x:c r="O446" s="16" t="str">
        <x:v>Yüksek</x:v>
      </x:c>
      <x:c r="P446" s="19" t="n">
        <x:v>46245</x:v>
      </x:c>
      <x:c r="Q446" s="20" t="str">
        <x:v>https://coffeemanifesto.com/wp-json/wc/store/v1/products?per_page=100</x:v>
      </x:c>
      <x:c r="R446" s="20" t="str"/>
    </x:row>
    <x:row r="447" ht="40" customHeight="1">
      <x:c r="A447" s="16" t="str">
        <x:v>Coffee Manifesto</x:v>
      </x:c>
      <x:c r="B447" s="16" t="str"/>
      <x:c r="C447" s="16" t="str">
        <x:v>Pilot doğrulaması</x:v>
      </x:c>
      <x:c r="D447" s="16" t="str">
        <x:v>Ürün kaydı</x:v>
      </x:c>
      <x:c r="E447" s="16" t="str">
        <x:v>No 00 Decaf</x:v>
      </x:c>
      <x:c r="F447" s="16" t="str">
        <x:v>Menşe belirtilmemiş</x:v>
      </x:c>
      <x:c r="G447" s="17" t="n">
        <x:v>250</x:v>
      </x:c>
      <x:c r="H447" s="16" t="str">
        <x:v>Erişildi</x:v>
      </x:c>
      <x:c r="I447" s="18" t="n">
        <x:v>580</x:v>
      </x:c>
      <x:c r="J447" s="18" t="str">
        <x:v>Erişildi</x:v>
      </x:c>
      <x:c r="K447" s="18" t="n">
        <x:f>IF(AND(ISNUMBER(G447),ISNUMBER(I447)),I447/G447*1000,"Erişilemedi")</x:f>
        <x:v>2320</x:v>
      </x:c>
      <x:c r="L447" s="16" t="str">
        <x:v>Stokta</x:v>
      </x:c>
      <x:c r="M447" s="16" t="str">
        <x:v>Tek köken</x:v>
      </x:c>
      <x:c r="N447" s="16" t="str">
        <x:v>Pilot manuel/API doğrulaması</x:v>
      </x:c>
      <x:c r="O447" s="16" t="str">
        <x:v>Yüksek</x:v>
      </x:c>
      <x:c r="P447" s="19" t="n">
        <x:v>46245</x:v>
      </x:c>
      <x:c r="Q447" s="20" t="str">
        <x:v>https://coffeemanifesto.com/wp-json/wc/store/v1/products?per_page=100</x:v>
      </x:c>
      <x:c r="R447" s="20" t="str"/>
    </x:row>
    <x:row r="448" ht="40" customHeight="1">
      <x:c r="A448" s="16" t="str">
        <x:v>Coffee Manifesto</x:v>
      </x:c>
      <x:c r="B448" s="16" t="str">
        <x:v>İzmir</x:v>
      </x:c>
      <x:c r="C448" s="16" t="str">
        <x:v>Doğrulandı</x:v>
      </x:c>
      <x:c r="D448" s="16" t="str">
        <x:v>Ürün kaydı</x:v>
      </x:c>
      <x:c r="E448" s="16" t="str">
        <x:v>No 00 Decaf 250 gr.</x:v>
      </x:c>
      <x:c r="F448" s="16" t="str">
        <x:v>Harman – menşe belirtilmemiş</x:v>
      </x:c>
      <x:c r="G448" s="17" t="n">
        <x:v>250</x:v>
      </x:c>
      <x:c r="H448" s="16" t="str">
        <x:v>Erişildi</x:v>
      </x:c>
      <x:c r="I448" s="18" t="n">
        <x:v>580</x:v>
      </x:c>
      <x:c r="J448" s="18" t="str">
        <x:v>Erişildi</x:v>
      </x:c>
      <x:c r="K448" s="18" t="n">
        <x:f>IF(AND(ISNUMBER(G448),ISNUMBER(I448)),I448/G448*1000,"Erişilemedi")</x:f>
        <x:v>2320</x:v>
      </x:c>
      <x:c r="L448" s="16" t="str">
        <x:v>Stokta</x:v>
      </x:c>
      <x:c r="M448" s="16" t="str">
        <x:v>Tek köken/ürün</x:v>
      </x:c>
      <x:c r="N448" s="16" t="str">
        <x:v>WooCommerce Store API</x:v>
      </x:c>
      <x:c r="O448" s="16" t="str">
        <x:v>Yüksek</x:v>
      </x:c>
      <x:c r="P448" s="19" t="n">
        <x:v>46245</x:v>
      </x:c>
      <x:c r="Q448" s="20" t="str">
        <x:v>https://coffeemanifesto.com/product/no-00-decaff/</x:v>
      </x:c>
      <x:c r="R448" s="20" t="str">
        <x:v>Başlık/açıklamada açık gramaj bulunan aktif ürün.</x:v>
      </x:c>
    </x:row>
    <x:row r="449" ht="40" customHeight="1">
      <x:c r="A449" s="16" t="str">
        <x:v>Coffee Manifesto</x:v>
      </x:c>
      <x:c r="B449" s="16" t="str">
        <x:v>İzmir</x:v>
      </x:c>
      <x:c r="C449" s="16" t="str">
        <x:v>Doğrulandı</x:v>
      </x:c>
      <x:c r="D449" s="16" t="str">
        <x:v>Ürün kaydı</x:v>
      </x:c>
      <x:c r="E449" s="16" t="str">
        <x:v>No 01 ClassIc Espresso 250 gr.</x:v>
      </x:c>
      <x:c r="F449" s="16" t="str">
        <x:v>Kolombiya | Guatemala</x:v>
      </x:c>
      <x:c r="G449" s="17" t="n">
        <x:v>250</x:v>
      </x:c>
      <x:c r="H449" s="16" t="str">
        <x:v>Erişildi</x:v>
      </x:c>
      <x:c r="I449" s="18" t="n">
        <x:v>489.5</x:v>
      </x:c>
      <x:c r="J449" s="18" t="str">
        <x:v>Erişildi</x:v>
      </x:c>
      <x:c r="K449" s="18" t="n">
        <x:f>IF(AND(ISNUMBER(G449),ISNUMBER(I449)),I449/G449*1000,"Erişilemedi")</x:f>
        <x:v>1958</x:v>
      </x:c>
      <x:c r="L449" s="16" t="str">
        <x:v>Stokta</x:v>
      </x:c>
      <x:c r="M449" s="16" t="str">
        <x:v>Tek köken/ürün</x:v>
      </x:c>
      <x:c r="N449" s="16" t="str">
        <x:v>WooCommerce Store API</x:v>
      </x:c>
      <x:c r="O449" s="16" t="str">
        <x:v>Yüksek</x:v>
      </x:c>
      <x:c r="P449" s="19" t="n">
        <x:v>46245</x:v>
      </x:c>
      <x:c r="Q449" s="20" t="str">
        <x:v>https://coffeemanifesto.com/product/no-01-classic-espresso/</x:v>
      </x:c>
      <x:c r="R449" s="20" t="str">
        <x:v>Başlık/açıklamada açık gramaj bulunan aktif ürün.</x:v>
      </x:c>
    </x:row>
    <x:row r="450" ht="40" customHeight="1">
      <x:c r="A450" s="16" t="str">
        <x:v>Coffee Manifesto</x:v>
      </x:c>
      <x:c r="B450" s="16" t="str"/>
      <x:c r="C450" s="16" t="str">
        <x:v>Pilot doğrulaması</x:v>
      </x:c>
      <x:c r="D450" s="16" t="str">
        <x:v>Ürün kaydı</x:v>
      </x:c>
      <x:c r="E450" s="16" t="str">
        <x:v>No 01 Classic Espresso</x:v>
      </x:c>
      <x:c r="F450" s="16" t="str">
        <x:v>Harman – menşe belirtilmemiş</x:v>
      </x:c>
      <x:c r="G450" s="17" t="n">
        <x:v>250</x:v>
      </x:c>
      <x:c r="H450" s="16" t="str">
        <x:v>Erişildi</x:v>
      </x:c>
      <x:c r="I450" s="18" t="n">
        <x:v>489.5</x:v>
      </x:c>
      <x:c r="J450" s="18" t="str">
        <x:v>Erişildi</x:v>
      </x:c>
      <x:c r="K450" s="18" t="n">
        <x:f>IF(AND(ISNUMBER(G450),ISNUMBER(I450)),I450/G450*1000,"Erişilemedi")</x:f>
        <x:v>1958</x:v>
      </x:c>
      <x:c r="L450" s="16" t="str">
        <x:v>Stokta</x:v>
      </x:c>
      <x:c r="M450" s="16" t="str">
        <x:v>Harman</x:v>
      </x:c>
      <x:c r="N450" s="16" t="str">
        <x:v>Pilot manuel/API doğrulaması</x:v>
      </x:c>
      <x:c r="O450" s="16" t="str">
        <x:v>Yüksek</x:v>
      </x:c>
      <x:c r="P450" s="19" t="n">
        <x:v>46245</x:v>
      </x:c>
      <x:c r="Q450" s="20" t="str">
        <x:v>https://coffeemanifesto.com/wp-json/wc/store/v1/products?per_page=100</x:v>
      </x:c>
      <x:c r="R450" s="20" t="str"/>
    </x:row>
    <x:row r="451" ht="40" customHeight="1">
      <x:c r="A451" s="16" t="str">
        <x:v>Coffee Manifesto</x:v>
      </x:c>
      <x:c r="B451" s="16" t="str"/>
      <x:c r="C451" s="16" t="str">
        <x:v>Pilot doğrulaması</x:v>
      </x:c>
      <x:c r="D451" s="16" t="str">
        <x:v>Ürün kaydı</x:v>
      </x:c>
      <x:c r="E451" s="16" t="str">
        <x:v>No 02 Modern Espresso</x:v>
      </x:c>
      <x:c r="F451" s="16" t="str">
        <x:v>Harman – menşe belirtilmemiş</x:v>
      </x:c>
      <x:c r="G451" s="17" t="n">
        <x:v>250</x:v>
      </x:c>
      <x:c r="H451" s="16" t="str">
        <x:v>Erişildi</x:v>
      </x:c>
      <x:c r="I451" s="18" t="n">
        <x:v>506</x:v>
      </x:c>
      <x:c r="J451" s="18" t="str">
        <x:v>Erişildi</x:v>
      </x:c>
      <x:c r="K451" s="18" t="n">
        <x:f>IF(AND(ISNUMBER(G451),ISNUMBER(I451)),I451/G451*1000,"Erişilemedi")</x:f>
        <x:v>2024</x:v>
      </x:c>
      <x:c r="L451" s="16" t="str">
        <x:v>Stokta</x:v>
      </x:c>
      <x:c r="M451" s="16" t="str">
        <x:v>Harman</x:v>
      </x:c>
      <x:c r="N451" s="16" t="str">
        <x:v>Pilot manuel/API doğrulaması</x:v>
      </x:c>
      <x:c r="O451" s="16" t="str">
        <x:v>Yüksek</x:v>
      </x:c>
      <x:c r="P451" s="19" t="n">
        <x:v>46245</x:v>
      </x:c>
      <x:c r="Q451" s="20" t="str">
        <x:v>https://coffeemanifesto.com/wp-json/wc/store/v1/products?per_page=100</x:v>
      </x:c>
      <x:c r="R451" s="20" t="str"/>
    </x:row>
    <x:row r="452" ht="40" customHeight="1">
      <x:c r="A452" s="16" t="str">
        <x:v>Coffee Manifesto</x:v>
      </x:c>
      <x:c r="B452" s="16" t="str">
        <x:v>İzmir</x:v>
      </x:c>
      <x:c r="C452" s="16" t="str">
        <x:v>Doğrulandı</x:v>
      </x:c>
      <x:c r="D452" s="16" t="str">
        <x:v>Ürün kaydı</x:v>
      </x:c>
      <x:c r="E452" s="16" t="str">
        <x:v>No 02 Modern Espresso 250 Gr.</x:v>
      </x:c>
      <x:c r="F452" s="16" t="str">
        <x:v>Kolombiya | Guatemala</x:v>
      </x:c>
      <x:c r="G452" s="17" t="n">
        <x:v>250</x:v>
      </x:c>
      <x:c r="H452" s="16" t="str">
        <x:v>Erişildi</x:v>
      </x:c>
      <x:c r="I452" s="18" t="n">
        <x:v>506</x:v>
      </x:c>
      <x:c r="J452" s="18" t="str">
        <x:v>Erişildi</x:v>
      </x:c>
      <x:c r="K452" s="18" t="n">
        <x:f>IF(AND(ISNUMBER(G452),ISNUMBER(I452)),I452/G452*1000,"Erişilemedi")</x:f>
        <x:v>2024</x:v>
      </x:c>
      <x:c r="L452" s="16" t="str">
        <x:v>Stokta</x:v>
      </x:c>
      <x:c r="M452" s="16" t="str">
        <x:v>Tek köken/ürün</x:v>
      </x:c>
      <x:c r="N452" s="16" t="str">
        <x:v>WooCommerce Store API</x:v>
      </x:c>
      <x:c r="O452" s="16" t="str">
        <x:v>Yüksek</x:v>
      </x:c>
      <x:c r="P452" s="19" t="n">
        <x:v>46245</x:v>
      </x:c>
      <x:c r="Q452" s="20" t="str">
        <x:v>https://coffeemanifesto.com/product/no-02-modern-espresso/</x:v>
      </x:c>
      <x:c r="R452" s="20" t="str">
        <x:v>Başlık/açıklamada açık gramaj bulunan aktif ürün.</x:v>
      </x:c>
    </x:row>
    <x:row r="453" ht="40" customHeight="1">
      <x:c r="A453" s="16" t="str">
        <x:v>Coffee Manifesto</x:v>
      </x:c>
      <x:c r="B453" s="16" t="str">
        <x:v>İzmir</x:v>
      </x:c>
      <x:c r="C453" s="16" t="str">
        <x:v>Doğrulandı</x:v>
      </x:c>
      <x:c r="D453" s="16" t="str">
        <x:v>Ürün kaydı</x:v>
      </x:c>
      <x:c r="E453" s="16" t="str">
        <x:v>No 03 ExclusIve Espresso 250 Gr.</x:v>
      </x:c>
      <x:c r="F453" s="16" t="str">
        <x:v>Etiyopya | Kenya</x:v>
      </x:c>
      <x:c r="G453" s="17" t="n">
        <x:v>250</x:v>
      </x:c>
      <x:c r="H453" s="16" t="str">
        <x:v>Erişildi</x:v>
      </x:c>
      <x:c r="I453" s="18" t="n">
        <x:v>550</x:v>
      </x:c>
      <x:c r="J453" s="18" t="str">
        <x:v>Erişildi</x:v>
      </x:c>
      <x:c r="K453" s="18" t="n">
        <x:f>IF(AND(ISNUMBER(G453),ISNUMBER(I453)),I453/G453*1000,"Erişilemedi")</x:f>
        <x:v>2200</x:v>
      </x:c>
      <x:c r="L453" s="16" t="str">
        <x:v>Stokta</x:v>
      </x:c>
      <x:c r="M453" s="16" t="str">
        <x:v>Tek köken/ürün</x:v>
      </x:c>
      <x:c r="N453" s="16" t="str">
        <x:v>WooCommerce Store API</x:v>
      </x:c>
      <x:c r="O453" s="16" t="str">
        <x:v>Yüksek</x:v>
      </x:c>
      <x:c r="P453" s="19" t="n">
        <x:v>46245</x:v>
      </x:c>
      <x:c r="Q453" s="20" t="str">
        <x:v>https://coffeemanifesto.com/product/no-03-exclusive-espresso/</x:v>
      </x:c>
      <x:c r="R453" s="20" t="str">
        <x:v>Başlık/açıklamada açık gramaj bulunan aktif ürün.</x:v>
      </x:c>
    </x:row>
    <x:row r="454" ht="40" customHeight="1">
      <x:c r="A454" s="16" t="str">
        <x:v>Coffee Manifesto</x:v>
      </x:c>
      <x:c r="B454" s="16" t="str"/>
      <x:c r="C454" s="16" t="str">
        <x:v>Pilot doğrulaması</x:v>
      </x:c>
      <x:c r="D454" s="16" t="str">
        <x:v>Ürün kaydı</x:v>
      </x:c>
      <x:c r="E454" s="16" t="str">
        <x:v>No 03 Exclusive Espresso</x:v>
      </x:c>
      <x:c r="F454" s="16" t="str">
        <x:v>Harman – menşe belirtilmemiş</x:v>
      </x:c>
      <x:c r="G454" s="17" t="n">
        <x:v>250</x:v>
      </x:c>
      <x:c r="H454" s="16" t="str">
        <x:v>Erişildi</x:v>
      </x:c>
      <x:c r="I454" s="18" t="n">
        <x:v>550</x:v>
      </x:c>
      <x:c r="J454" s="18" t="str">
        <x:v>Erişildi</x:v>
      </x:c>
      <x:c r="K454" s="18" t="n">
        <x:f>IF(AND(ISNUMBER(G454),ISNUMBER(I454)),I454/G454*1000,"Erişilemedi")</x:f>
        <x:v>2200</x:v>
      </x:c>
      <x:c r="L454" s="16" t="str">
        <x:v>Stokta</x:v>
      </x:c>
      <x:c r="M454" s="16" t="str">
        <x:v>Harman</x:v>
      </x:c>
      <x:c r="N454" s="16" t="str">
        <x:v>Pilot manuel/API doğrulaması</x:v>
      </x:c>
      <x:c r="O454" s="16" t="str">
        <x:v>Yüksek</x:v>
      </x:c>
      <x:c r="P454" s="19" t="n">
        <x:v>46245</x:v>
      </x:c>
      <x:c r="Q454" s="20" t="str">
        <x:v>https://coffeemanifesto.com/wp-json/wc/store/v1/products?per_page=100</x:v>
      </x:c>
      <x:c r="R454" s="20" t="str"/>
    </x:row>
    <x:row r="455" ht="40" customHeight="1">
      <x:c r="A455" s="16" t="str">
        <x:v>Coffee Manifesto</x:v>
      </x:c>
      <x:c r="B455" s="16" t="str"/>
      <x:c r="C455" s="16" t="str">
        <x:v>Pilot doğrulaması</x:v>
      </x:c>
      <x:c r="D455" s="16" t="str">
        <x:v>Ürün kaydı</x:v>
      </x:c>
      <x:c r="E455" s="16" t="str">
        <x:v>No 05 Ethiopia Sidamo</x:v>
      </x:c>
      <x:c r="F455" s="16" t="str">
        <x:v>Etiyopya</x:v>
      </x:c>
      <x:c r="G455" s="17" t="n">
        <x:v>250</x:v>
      </x:c>
      <x:c r="H455" s="16" t="str">
        <x:v>Erişildi</x:v>
      </x:c>
      <x:c r="I455" s="18" t="n">
        <x:v>726</x:v>
      </x:c>
      <x:c r="J455" s="18" t="str">
        <x:v>Erişildi</x:v>
      </x:c>
      <x:c r="K455" s="18" t="n">
        <x:f>IF(AND(ISNUMBER(G455),ISNUMBER(I455)),I455/G455*1000,"Erişilemedi")</x:f>
        <x:v>2904</x:v>
      </x:c>
      <x:c r="L455" s="16" t="str">
        <x:v>Stokta</x:v>
      </x:c>
      <x:c r="M455" s="16" t="str">
        <x:v>Tek köken</x:v>
      </x:c>
      <x:c r="N455" s="16" t="str">
        <x:v>Pilot manuel/API doğrulaması</x:v>
      </x:c>
      <x:c r="O455" s="16" t="str">
        <x:v>Yüksek</x:v>
      </x:c>
      <x:c r="P455" s="19" t="n">
        <x:v>46245</x:v>
      </x:c>
      <x:c r="Q455" s="20" t="str">
        <x:v>https://coffeemanifesto.com/wp-json/wc/store/v1/products?per_page=100</x:v>
      </x:c>
      <x:c r="R455" s="20" t="str"/>
    </x:row>
    <x:row r="456" ht="40" customHeight="1">
      <x:c r="A456" s="16" t="str">
        <x:v>Coffee Manifesto</x:v>
      </x:c>
      <x:c r="B456" s="16" t="str">
        <x:v>İzmir</x:v>
      </x:c>
      <x:c r="C456" s="16" t="str">
        <x:v>Doğrulandı</x:v>
      </x:c>
      <x:c r="D456" s="16" t="str">
        <x:v>Ürün kaydı</x:v>
      </x:c>
      <x:c r="E456" s="16" t="str">
        <x:v>No 05 Ethiopia Sidamo 250 Gr.</x:v>
      </x:c>
      <x:c r="F456" s="16" t="str">
        <x:v>Etiyopya</x:v>
      </x:c>
      <x:c r="G456" s="17" t="n">
        <x:v>250</x:v>
      </x:c>
      <x:c r="H456" s="16" t="str">
        <x:v>Erişildi</x:v>
      </x:c>
      <x:c r="I456" s="18" t="n">
        <x:v>726</x:v>
      </x:c>
      <x:c r="J456" s="18" t="str">
        <x:v>Erişildi</x:v>
      </x:c>
      <x:c r="K456" s="18" t="n">
        <x:f>IF(AND(ISNUMBER(G456),ISNUMBER(I456)),I456/G456*1000,"Erişilemedi")</x:f>
        <x:v>2904</x:v>
      </x:c>
      <x:c r="L456" s="16" t="str">
        <x:v>Stokta</x:v>
      </x:c>
      <x:c r="M456" s="16" t="str">
        <x:v>Tek köken/ürün</x:v>
      </x:c>
      <x:c r="N456" s="16" t="str">
        <x:v>WooCommerce Store API</x:v>
      </x:c>
      <x:c r="O456" s="16" t="str">
        <x:v>Yüksek</x:v>
      </x:c>
      <x:c r="P456" s="19" t="n">
        <x:v>46245</x:v>
      </x:c>
      <x:c r="Q456" s="20" t="str">
        <x:v>https://coffeemanifesto.com/product/no-05-ethiopia-sidamo-bensa-keramo-250-gr/</x:v>
      </x:c>
      <x:c r="R456" s="20" t="str">
        <x:v>Başlık/açıklamada açık gramaj bulunan aktif ürün.</x:v>
      </x:c>
    </x:row>
    <x:row r="457" ht="40" customHeight="1">
      <x:c r="A457" s="16" t="str">
        <x:v>Coffee Manifesto</x:v>
      </x:c>
      <x:c r="B457" s="16" t="str">
        <x:v>İzmir</x:v>
      </x:c>
      <x:c r="C457" s="16" t="str">
        <x:v>Doğrulandı</x:v>
      </x:c>
      <x:c r="D457" s="16" t="str">
        <x:v>Ürün kaydı</x:v>
      </x:c>
      <x:c r="E457" s="16" t="str">
        <x:v>No 08 EthIopIa YIrgacheffe 250 Gr.</x:v>
      </x:c>
      <x:c r="F457" s="16" t="str">
        <x:v>Etiyopya</x:v>
      </x:c>
      <x:c r="G457" s="17" t="n">
        <x:v>250</x:v>
      </x:c>
      <x:c r="H457" s="16" t="str">
        <x:v>Erişildi</x:v>
      </x:c>
      <x:c r="I457" s="18" t="n">
        <x:v>726</x:v>
      </x:c>
      <x:c r="J457" s="18" t="str">
        <x:v>Erişildi</x:v>
      </x:c>
      <x:c r="K457" s="18" t="n">
        <x:f>IF(AND(ISNUMBER(G457),ISNUMBER(I457)),I457/G457*1000,"Erişilemedi")</x:f>
        <x:v>2904</x:v>
      </x:c>
      <x:c r="L457" s="16" t="str">
        <x:v>Stokta</x:v>
      </x:c>
      <x:c r="M457" s="16" t="str">
        <x:v>Tek köken/ürün</x:v>
      </x:c>
      <x:c r="N457" s="16" t="str">
        <x:v>WooCommerce Store API</x:v>
      </x:c>
      <x:c r="O457" s="16" t="str">
        <x:v>Yüksek</x:v>
      </x:c>
      <x:c r="P457" s="19" t="n">
        <x:v>46245</x:v>
      </x:c>
      <x:c r="Q457" s="20" t="str">
        <x:v>https://coffeemanifesto.com/product/no-08-ethiopia-yirgacheffe/</x:v>
      </x:c>
      <x:c r="R457" s="20" t="str">
        <x:v>Başlık/açıklamada açık gramaj bulunan aktif ürün.</x:v>
      </x:c>
    </x:row>
    <x:row r="458" ht="40" customHeight="1">
      <x:c r="A458" s="16" t="str">
        <x:v>Coffee Manifesto</x:v>
      </x:c>
      <x:c r="B458" s="16" t="str"/>
      <x:c r="C458" s="16" t="str">
        <x:v>Pilot doğrulaması</x:v>
      </x:c>
      <x:c r="D458" s="16" t="str">
        <x:v>Ürün kaydı</x:v>
      </x:c>
      <x:c r="E458" s="16" t="str">
        <x:v>No 08 Ethiopia Yirgacheffe</x:v>
      </x:c>
      <x:c r="F458" s="16" t="str">
        <x:v>Etiyopya</x:v>
      </x:c>
      <x:c r="G458" s="17" t="n">
        <x:v>250</x:v>
      </x:c>
      <x:c r="H458" s="16" t="str">
        <x:v>Erişildi</x:v>
      </x:c>
      <x:c r="I458" s="18" t="n">
        <x:v>726</x:v>
      </x:c>
      <x:c r="J458" s="18" t="str">
        <x:v>Erişildi</x:v>
      </x:c>
      <x:c r="K458" s="18" t="n">
        <x:f>IF(AND(ISNUMBER(G458),ISNUMBER(I458)),I458/G458*1000,"Erişilemedi")</x:f>
        <x:v>2904</x:v>
      </x:c>
      <x:c r="L458" s="16" t="str">
        <x:v>Stokta</x:v>
      </x:c>
      <x:c r="M458" s="16" t="str">
        <x:v>Tek köken</x:v>
      </x:c>
      <x:c r="N458" s="16" t="str">
        <x:v>Pilot manuel/API doğrulaması</x:v>
      </x:c>
      <x:c r="O458" s="16" t="str">
        <x:v>Yüksek</x:v>
      </x:c>
      <x:c r="P458" s="19" t="n">
        <x:v>46245</x:v>
      </x:c>
      <x:c r="Q458" s="20" t="str">
        <x:v>https://coffeemanifesto.com/wp-json/wc/store/v1/products?per_page=100</x:v>
      </x:c>
      <x:c r="R458" s="20" t="str"/>
    </x:row>
    <x:row r="459" ht="40" customHeight="1">
      <x:c r="A459" s="16" t="str">
        <x:v>Coffee Manifesto</x:v>
      </x:c>
      <x:c r="B459" s="16" t="str">
        <x:v>İzmir</x:v>
      </x:c>
      <x:c r="C459" s="16" t="str">
        <x:v>Doğrulandı</x:v>
      </x:c>
      <x:c r="D459" s="16" t="str">
        <x:v>Ürün kaydı</x:v>
      </x:c>
      <x:c r="E459" s="16" t="str">
        <x:v>No 11 ColombIa 250 Gr.</x:v>
      </x:c>
      <x:c r="F459" s="16" t="str">
        <x:v>Kolombiya</x:v>
      </x:c>
      <x:c r="G459" s="17" t="n">
        <x:v>250</x:v>
      </x:c>
      <x:c r="H459" s="16" t="str">
        <x:v>Erişildi</x:v>
      </x:c>
      <x:c r="I459" s="18" t="n">
        <x:v>572</x:v>
      </x:c>
      <x:c r="J459" s="18" t="str">
        <x:v>Erişildi</x:v>
      </x:c>
      <x:c r="K459" s="18" t="n">
        <x:f>IF(AND(ISNUMBER(G459),ISNUMBER(I459)),I459/G459*1000,"Erişilemedi")</x:f>
        <x:v>2288</x:v>
      </x:c>
      <x:c r="L459" s="16" t="str">
        <x:v>Stokta</x:v>
      </x:c>
      <x:c r="M459" s="16" t="str">
        <x:v>Tek köken/ürün</x:v>
      </x:c>
      <x:c r="N459" s="16" t="str">
        <x:v>WooCommerce Store API</x:v>
      </x:c>
      <x:c r="O459" s="16" t="str">
        <x:v>Yüksek</x:v>
      </x:c>
      <x:c r="P459" s="19" t="n">
        <x:v>46245</x:v>
      </x:c>
      <x:c r="Q459" s="20" t="str">
        <x:v>https://coffeemanifesto.com/product/no-11-colombia/</x:v>
      </x:c>
      <x:c r="R459" s="20" t="str">
        <x:v>Başlık/açıklamada açık gramaj bulunan aktif ürün.</x:v>
      </x:c>
    </x:row>
    <x:row r="460" ht="40" customHeight="1">
      <x:c r="A460" s="16" t="str">
        <x:v>Coffee Manifesto</x:v>
      </x:c>
      <x:c r="B460" s="16" t="str"/>
      <x:c r="C460" s="16" t="str">
        <x:v>Pilot doğrulaması</x:v>
      </x:c>
      <x:c r="D460" s="16" t="str">
        <x:v>Ürün kaydı</x:v>
      </x:c>
      <x:c r="E460" s="16" t="str">
        <x:v>No 11 Colombia</x:v>
      </x:c>
      <x:c r="F460" s="16" t="str">
        <x:v>Kolombiya</x:v>
      </x:c>
      <x:c r="G460" s="17" t="n">
        <x:v>250</x:v>
      </x:c>
      <x:c r="H460" s="16" t="str">
        <x:v>Erişildi</x:v>
      </x:c>
      <x:c r="I460" s="18" t="n">
        <x:v>572</x:v>
      </x:c>
      <x:c r="J460" s="18" t="str">
        <x:v>Erişildi</x:v>
      </x:c>
      <x:c r="K460" s="18" t="n">
        <x:f>IF(AND(ISNUMBER(G460),ISNUMBER(I460)),I460/G460*1000,"Erişilemedi")</x:f>
        <x:v>2288</x:v>
      </x:c>
      <x:c r="L460" s="16" t="str">
        <x:v>Stokta</x:v>
      </x:c>
      <x:c r="M460" s="16" t="str">
        <x:v>Tek köken</x:v>
      </x:c>
      <x:c r="N460" s="16" t="str">
        <x:v>Pilot manuel/API doğrulaması</x:v>
      </x:c>
      <x:c r="O460" s="16" t="str">
        <x:v>Yüksek</x:v>
      </x:c>
      <x:c r="P460" s="19" t="n">
        <x:v>46245</x:v>
      </x:c>
      <x:c r="Q460" s="20" t="str">
        <x:v>https://coffeemanifesto.com/wp-json/wc/store/v1/products?per_page=100</x:v>
      </x:c>
      <x:c r="R460" s="20" t="str"/>
    </x:row>
    <x:row r="461" ht="40" customHeight="1">
      <x:c r="A461" s="16" t="str">
        <x:v>Coffee Manifesto</x:v>
      </x:c>
      <x:c r="B461" s="16" t="str">
        <x:v>İzmir</x:v>
      </x:c>
      <x:c r="C461" s="16" t="str">
        <x:v>Doğrulandı</x:v>
      </x:c>
      <x:c r="D461" s="16" t="str">
        <x:v>Ürün kaydı</x:v>
      </x:c>
      <x:c r="E461" s="16" t="str">
        <x:v>No 12 Guatemala 250 Gr.</x:v>
      </x:c>
      <x:c r="F461" s="16" t="str">
        <x:v>Guatemala</x:v>
      </x:c>
      <x:c r="G461" s="17" t="n">
        <x:v>250</x:v>
      </x:c>
      <x:c r="H461" s="16" t="str">
        <x:v>Erişildi</x:v>
      </x:c>
      <x:c r="I461" s="18" t="n">
        <x:v>572</x:v>
      </x:c>
      <x:c r="J461" s="18" t="str">
        <x:v>Erişildi</x:v>
      </x:c>
      <x:c r="K461" s="18" t="n">
        <x:f>IF(AND(ISNUMBER(G461),ISNUMBER(I461)),I461/G461*1000,"Erişilemedi")</x:f>
        <x:v>2288</x:v>
      </x:c>
      <x:c r="L461" s="16" t="str">
        <x:v>Stokta yok</x:v>
      </x:c>
      <x:c r="M461" s="16" t="str">
        <x:v>Kahve ürünü</x:v>
      </x:c>
      <x:c r="N461" s="16" t="str">
        <x:v>WooCommerce Store API</x:v>
      </x:c>
      <x:c r="O461" s="16" t="str">
        <x:v>Yüksek</x:v>
      </x:c>
      <x:c r="P461" s="19" t="n">
        <x:v>46245</x:v>
      </x:c>
      <x:c r="Q461" s="20" t="str">
        <x:v>https://coffeemanifesto.com/product/no-12-guatemala/</x:v>
      </x:c>
      <x:c r="R461" s="20" t="str">
        <x:v>Fiyat veya gramaj eksik olsa da ürün korundu.</x:v>
      </x:c>
    </x:row>
    <x:row r="462" ht="40" customHeight="1">
      <x:c r="A462" s="16" t="str">
        <x:v>Coffee Manifesto</x:v>
      </x:c>
      <x:c r="B462" s="16" t="str">
        <x:v>İzmir</x:v>
      </x:c>
      <x:c r="C462" s="16" t="str">
        <x:v>Doğrulandı</x:v>
      </x:c>
      <x:c r="D462" s="16" t="str">
        <x:v>Ürün kaydı</x:v>
      </x:c>
      <x:c r="E462" s="16" t="str">
        <x:v>No 13 Honduras 250 Gr.</x:v>
      </x:c>
      <x:c r="F462" s="16" t="str">
        <x:v>Honduras</x:v>
      </x:c>
      <x:c r="G462" s="17" t="n">
        <x:v>250</x:v>
      </x:c>
      <x:c r="H462" s="16" t="str">
        <x:v>Erişildi</x:v>
      </x:c>
      <x:c r="I462" s="18" t="n">
        <x:v>726</x:v>
      </x:c>
      <x:c r="J462" s="18" t="str">
        <x:v>Erişildi</x:v>
      </x:c>
      <x:c r="K462" s="18" t="n">
        <x:f>IF(AND(ISNUMBER(G462),ISNUMBER(I462)),I462/G462*1000,"Erişilemedi")</x:f>
        <x:v>2904</x:v>
      </x:c>
      <x:c r="L462" s="16" t="str">
        <x:v>Stokta yok</x:v>
      </x:c>
      <x:c r="M462" s="16" t="str">
        <x:v>Kahve ürünü</x:v>
      </x:c>
      <x:c r="N462" s="16" t="str">
        <x:v>WooCommerce Store API</x:v>
      </x:c>
      <x:c r="O462" s="16" t="str">
        <x:v>Yüksek</x:v>
      </x:c>
      <x:c r="P462" s="19" t="n">
        <x:v>46245</x:v>
      </x:c>
      <x:c r="Q462" s="20" t="str">
        <x:v>https://coffeemanifesto.com/product/no-13-honduras-250-gr/</x:v>
      </x:c>
      <x:c r="R462" s="20" t="str">
        <x:v>Fiyat veya gramaj eksik olsa da ürün korundu.</x:v>
      </x:c>
    </x:row>
    <x:row r="463" ht="40" customHeight="1">
      <x:c r="A463" s="16" t="str">
        <x:v>Coffee Manifesto</x:v>
      </x:c>
      <x:c r="B463" s="16" t="str"/>
      <x:c r="C463" s="16" t="str">
        <x:v>Pilot doğrulaması</x:v>
      </x:c>
      <x:c r="D463" s="16" t="str">
        <x:v>Ürün kaydı</x:v>
      </x:c>
      <x:c r="E463" s="16" t="str">
        <x:v>No 20 Brezilya</x:v>
      </x:c>
      <x:c r="F463" s="16" t="str">
        <x:v>Brezilya</x:v>
      </x:c>
      <x:c r="G463" s="17" t="n">
        <x:v>250</x:v>
      </x:c>
      <x:c r="H463" s="16" t="str">
        <x:v>Erişildi</x:v>
      </x:c>
      <x:c r="I463" s="18" t="n">
        <x:v>561</x:v>
      </x:c>
      <x:c r="J463" s="18" t="str">
        <x:v>Erişildi</x:v>
      </x:c>
      <x:c r="K463" s="18" t="n">
        <x:f>IF(AND(ISNUMBER(G463),ISNUMBER(I463)),I463/G463*1000,"Erişilemedi")</x:f>
        <x:v>2244</x:v>
      </x:c>
      <x:c r="L463" s="16" t="str">
        <x:v>Stokta</x:v>
      </x:c>
      <x:c r="M463" s="16" t="str">
        <x:v>Tek köken</x:v>
      </x:c>
      <x:c r="N463" s="16" t="str">
        <x:v>Pilot manuel/API doğrulaması</x:v>
      </x:c>
      <x:c r="O463" s="16" t="str">
        <x:v>Yüksek</x:v>
      </x:c>
      <x:c r="P463" s="19" t="n">
        <x:v>46245</x:v>
      </x:c>
      <x:c r="Q463" s="20" t="str">
        <x:v>https://coffeemanifesto.com/wp-json/wc/store/v1/products?per_page=100</x:v>
      </x:c>
      <x:c r="R463" s="20" t="str"/>
    </x:row>
    <x:row r="464" ht="40" customHeight="1">
      <x:c r="A464" s="16" t="str">
        <x:v>Coffee Manifesto</x:v>
      </x:c>
      <x:c r="B464" s="16" t="str">
        <x:v>İzmir</x:v>
      </x:c>
      <x:c r="C464" s="16" t="str">
        <x:v>Doğrulandı</x:v>
      </x:c>
      <x:c r="D464" s="16" t="str">
        <x:v>Ürün kaydı</x:v>
      </x:c>
      <x:c r="E464" s="16" t="str">
        <x:v>No 20 Brezilya 250 Gr.</x:v>
      </x:c>
      <x:c r="F464" s="16" t="str">
        <x:v>Brezilya</x:v>
      </x:c>
      <x:c r="G464" s="17" t="n">
        <x:v>250</x:v>
      </x:c>
      <x:c r="H464" s="16" t="str">
        <x:v>Erişildi</x:v>
      </x:c>
      <x:c r="I464" s="18" t="n">
        <x:v>561</x:v>
      </x:c>
      <x:c r="J464" s="18" t="str">
        <x:v>Erişildi</x:v>
      </x:c>
      <x:c r="K464" s="18" t="n">
        <x:f>IF(AND(ISNUMBER(G464),ISNUMBER(I464)),I464/G464*1000,"Erişilemedi")</x:f>
        <x:v>2244</x:v>
      </x:c>
      <x:c r="L464" s="16" t="str">
        <x:v>Stokta</x:v>
      </x:c>
      <x:c r="M464" s="16" t="str">
        <x:v>Tek köken/ürün</x:v>
      </x:c>
      <x:c r="N464" s="16" t="str">
        <x:v>WooCommerce Store API</x:v>
      </x:c>
      <x:c r="O464" s="16" t="str">
        <x:v>Yüksek</x:v>
      </x:c>
      <x:c r="P464" s="19" t="n">
        <x:v>46245</x:v>
      </x:c>
      <x:c r="Q464" s="20" t="str">
        <x:v>https://coffeemanifesto.com/product/no-20-brezilya-250-gr/</x:v>
      </x:c>
      <x:c r="R464" s="20" t="str">
        <x:v>Başlık/açıklamada açık gramaj bulunan aktif ürün.</x:v>
      </x:c>
    </x:row>
    <x:row r="465" ht="40" customHeight="1">
      <x:c r="A465" s="16" t="str">
        <x:v>Coffee Manifesto</x:v>
      </x:c>
      <x:c r="B465" s="16" t="str"/>
      <x:c r="C465" s="16" t="str">
        <x:v>Pilot doğrulaması</x:v>
      </x:c>
      <x:c r="D465" s="16" t="str">
        <x:v>Ürün kaydı</x:v>
      </x:c>
      <x:c r="E465" s="16" t="str">
        <x:v>No 22 El Salvador</x:v>
      </x:c>
      <x:c r="F465" s="16" t="str">
        <x:v>El Salvador</x:v>
      </x:c>
      <x:c r="G465" s="17" t="n">
        <x:v>250</x:v>
      </x:c>
      <x:c r="H465" s="16" t="str">
        <x:v>Erişildi</x:v>
      </x:c>
      <x:c r="I465" s="18" t="n">
        <x:v>726</x:v>
      </x:c>
      <x:c r="J465" s="18" t="str">
        <x:v>Erişildi</x:v>
      </x:c>
      <x:c r="K465" s="18" t="n">
        <x:f>IF(AND(ISNUMBER(G465),ISNUMBER(I465)),I465/G465*1000,"Erişilemedi")</x:f>
        <x:v>2904</x:v>
      </x:c>
      <x:c r="L465" s="16" t="str">
        <x:v>Stokta</x:v>
      </x:c>
      <x:c r="M465" s="16" t="str">
        <x:v>Tek köken</x:v>
      </x:c>
      <x:c r="N465" s="16" t="str">
        <x:v>Pilot manuel/API doğrulaması</x:v>
      </x:c>
      <x:c r="O465" s="16" t="str">
        <x:v>Yüksek</x:v>
      </x:c>
      <x:c r="P465" s="19" t="n">
        <x:v>46245</x:v>
      </x:c>
      <x:c r="Q465" s="20" t="str">
        <x:v>https://coffeemanifesto.com/wp-json/wc/store/v1/products?per_page=100</x:v>
      </x:c>
      <x:c r="R465" s="20" t="str"/>
    </x:row>
    <x:row r="466" ht="40" customHeight="1">
      <x:c r="A466" s="16" t="str">
        <x:v>Coffee Manifesto</x:v>
      </x:c>
      <x:c r="B466" s="16" t="str">
        <x:v>İzmir</x:v>
      </x:c>
      <x:c r="C466" s="16" t="str">
        <x:v>Doğrulandı</x:v>
      </x:c>
      <x:c r="D466" s="16" t="str">
        <x:v>Ürün kaydı</x:v>
      </x:c>
      <x:c r="E466" s="16" t="str">
        <x:v>No 22 El Salvador 250 Gr.</x:v>
      </x:c>
      <x:c r="F466" s="16" t="str">
        <x:v>El Salvador</x:v>
      </x:c>
      <x:c r="G466" s="17" t="n">
        <x:v>250</x:v>
      </x:c>
      <x:c r="H466" s="16" t="str">
        <x:v>Erişildi</x:v>
      </x:c>
      <x:c r="I466" s="18" t="n">
        <x:v>726</x:v>
      </x:c>
      <x:c r="J466" s="18" t="str">
        <x:v>Erişildi</x:v>
      </x:c>
      <x:c r="K466" s="18" t="n">
        <x:f>IF(AND(ISNUMBER(G466),ISNUMBER(I466)),I466/G466*1000,"Erişilemedi")</x:f>
        <x:v>2904</x:v>
      </x:c>
      <x:c r="L466" s="16" t="str">
        <x:v>Stokta</x:v>
      </x:c>
      <x:c r="M466" s="16" t="str">
        <x:v>Tek köken/ürün</x:v>
      </x:c>
      <x:c r="N466" s="16" t="str">
        <x:v>WooCommerce Store API</x:v>
      </x:c>
      <x:c r="O466" s="16" t="str">
        <x:v>Yüksek</x:v>
      </x:c>
      <x:c r="P466" s="19" t="n">
        <x:v>46245</x:v>
      </x:c>
      <x:c r="Q466" s="20" t="str">
        <x:v>https://coffeemanifesto.com/product/no-22-elsalvador-250-gr/</x:v>
      </x:c>
      <x:c r="R466" s="20" t="str">
        <x:v>Başlık/açıklamada açık gramaj bulunan aktif ürün.</x:v>
      </x:c>
    </x:row>
    <x:row r="467" ht="40" customHeight="1">
      <x:c r="A467" s="16" t="str">
        <x:v>Coffee Manifesto</x:v>
      </x:c>
      <x:c r="B467" s="16" t="str"/>
      <x:c r="C467" s="16" t="str">
        <x:v>Pilot doğrulaması</x:v>
      </x:c>
      <x:c r="D467" s="16" t="str">
        <x:v>Ürün kaydı</x:v>
      </x:c>
      <x:c r="E467" s="16" t="str">
        <x:v>No Matter When</x:v>
      </x:c>
      <x:c r="F467" s="16" t="str">
        <x:v>Harman – menşe belirtilmemiş</x:v>
      </x:c>
      <x:c r="G467" s="17" t="n">
        <x:v>250</x:v>
      </x:c>
      <x:c r="H467" s="16" t="str">
        <x:v>Erişildi</x:v>
      </x:c>
      <x:c r="I467" s="18" t="n">
        <x:v>632.5</x:v>
      </x:c>
      <x:c r="J467" s="18" t="str">
        <x:v>Erişildi</x:v>
      </x:c>
      <x:c r="K467" s="18" t="n">
        <x:f>IF(AND(ISNUMBER(G467),ISNUMBER(I467)),I467/G467*1000,"Erişilemedi")</x:f>
        <x:v>2530</x:v>
      </x:c>
      <x:c r="L467" s="16" t="str">
        <x:v>Stokta</x:v>
      </x:c>
      <x:c r="M467" s="16" t="str">
        <x:v>Harman</x:v>
      </x:c>
      <x:c r="N467" s="16" t="str">
        <x:v>Pilot manuel/API doğrulaması</x:v>
      </x:c>
      <x:c r="O467" s="16" t="str">
        <x:v>Yüksek</x:v>
      </x:c>
      <x:c r="P467" s="19" t="n">
        <x:v>46245</x:v>
      </x:c>
      <x:c r="Q467" s="20" t="str">
        <x:v>https://coffeemanifesto.com/wp-json/wc/store/v1/products?per_page=100</x:v>
      </x:c>
      <x:c r="R467" s="20" t="str"/>
    </x:row>
    <x:row r="468" ht="40" customHeight="1">
      <x:c r="A468" s="16" t="str">
        <x:v>Coffee Manifesto</x:v>
      </x:c>
      <x:c r="B468" s="16" t="str">
        <x:v>İzmir</x:v>
      </x:c>
      <x:c r="C468" s="16" t="str">
        <x:v>Doğrulandı</x:v>
      </x:c>
      <x:c r="D468" s="16" t="str">
        <x:v>Ürün kaydı</x:v>
      </x:c>
      <x:c r="E468" s="16" t="str">
        <x:v>No Matter When 250 Gr.</x:v>
      </x:c>
      <x:c r="F468" s="16" t="str">
        <x:v>Menşe belirtilmemiş</x:v>
      </x:c>
      <x:c r="G468" s="17" t="n">
        <x:v>250</x:v>
      </x:c>
      <x:c r="H468" s="16" t="str">
        <x:v>Erişildi</x:v>
      </x:c>
      <x:c r="I468" s="18" t="n">
        <x:v>632.5</x:v>
      </x:c>
      <x:c r="J468" s="18" t="str">
        <x:v>Erişildi</x:v>
      </x:c>
      <x:c r="K468" s="18" t="n">
        <x:f>IF(AND(ISNUMBER(G468),ISNUMBER(I468)),I468/G468*1000,"Erişilemedi")</x:f>
        <x:v>2530</x:v>
      </x:c>
      <x:c r="L468" s="16" t="str">
        <x:v>Stokta</x:v>
      </x:c>
      <x:c r="M468" s="16" t="str">
        <x:v>Tek köken/ürün</x:v>
      </x:c>
      <x:c r="N468" s="16" t="str">
        <x:v>WooCommerce Store API</x:v>
      </x:c>
      <x:c r="O468" s="16" t="str">
        <x:v>Yüksek</x:v>
      </x:c>
      <x:c r="P468" s="19" t="n">
        <x:v>46245</x:v>
      </x:c>
      <x:c r="Q468" s="20" t="str">
        <x:v>https://coffeemanifesto.com/product/no-natter-when/</x:v>
      </x:c>
      <x:c r="R468" s="20" t="str">
        <x:v>Başlık/açıklamada açık gramaj bulunan aktif ürün.</x:v>
      </x:c>
    </x:row>
    <x:row r="469" ht="40" customHeight="1">
      <x:c r="A469" s="16" t="str">
        <x:v>Coffee Manifesto</x:v>
      </x:c>
      <x:c r="B469" s="16" t="str">
        <x:v>İzmir</x:v>
      </x:c>
      <x:c r="C469" s="16" t="str">
        <x:v>Doğrulandı</x:v>
      </x:c>
      <x:c r="D469" s="16" t="str">
        <x:v>Ürün kaydı</x:v>
      </x:c>
      <x:c r="E469" s="16" t="str">
        <x:v>Türk Kahvesi</x:v>
      </x:c>
      <x:c r="F469" s="16" t="str">
        <x:v>Menşe belirtilmemiş</x:v>
      </x:c>
      <x:c r="G469" s="17" t="str">
        <x:v>Erişilemedi</x:v>
      </x:c>
      <x:c r="H469" s="16" t="str">
        <x:v>Erişilemedi</x:v>
      </x:c>
      <x:c r="I469" s="18" t="n">
        <x:v>132</x:v>
      </x:c>
      <x:c r="J469" s="18" t="str">
        <x:v>Erişildi</x:v>
      </x:c>
      <x:c r="K469" s="18" t="str">
        <x:f>IF(AND(ISNUMBER(G469),ISNUMBER(I469)),I469/G469*1000,"Erişilemedi")</x:f>
        <x:v>Erişilemedi</x:v>
      </x:c>
      <x:c r="L469" s="16" t="str">
        <x:v>Stokta</x:v>
      </x:c>
      <x:c r="M469" s="16" t="str">
        <x:v>Türk kahvesi</x:v>
      </x:c>
      <x:c r="N469" s="16" t="str">
        <x:v>WooCommerce Store API</x:v>
      </x:c>
      <x:c r="O469" s="16" t="str">
        <x:v>Orta</x:v>
      </x:c>
      <x:c r="P469" s="19" t="n">
        <x:v>46245</x:v>
      </x:c>
      <x:c r="Q469" s="20" t="str">
        <x:v>https://coffeemanifesto.com/product/turk-kahvesi/</x:v>
      </x:c>
      <x:c r="R469" s="20" t="str">
        <x:v>Fiyat veya gramaj eksik olsa da ürün korundu.</x:v>
      </x:c>
    </x:row>
    <x:row r="470" ht="40" customHeight="1">
      <x:c r="A470" s="16" t="str">
        <x:v>Coffee Manifesto</x:v>
      </x:c>
      <x:c r="B470" s="16" t="str">
        <x:v>İzmir</x:v>
      </x:c>
      <x:c r="C470" s="16" t="str">
        <x:v>Doğrulandı</x:v>
      </x:c>
      <x:c r="D470" s="16" t="str">
        <x:v>Ürün kaydı</x:v>
      </x:c>
      <x:c r="E470" s="16" t="str">
        <x:v>Wake Up Call</x:v>
      </x:c>
      <x:c r="F470" s="16" t="str">
        <x:v>Menşe belirtilmemiş</x:v>
      </x:c>
      <x:c r="G470" s="17" t="str">
        <x:v>Erişilemedi</x:v>
      </x:c>
      <x:c r="H470" s="16" t="str">
        <x:v>Erişilemedi</x:v>
      </x:c>
      <x:c r="I470" s="18" t="n">
        <x:v>528</x:v>
      </x:c>
      <x:c r="J470" s="18" t="str">
        <x:v>Erişildi</x:v>
      </x:c>
      <x:c r="K470" s="18" t="str">
        <x:f>IF(AND(ISNUMBER(G470),ISNUMBER(I470)),I470/G470*1000,"Erişilemedi")</x:f>
        <x:v>Erişilemedi</x:v>
      </x:c>
      <x:c r="L470" s="16" t="str">
        <x:v>Stokta</x:v>
      </x:c>
      <x:c r="M470" s="16" t="str">
        <x:v>Kahve ürünü</x:v>
      </x:c>
      <x:c r="N470" s="16" t="str">
        <x:v>WooCommerce Store API</x:v>
      </x:c>
      <x:c r="O470" s="16" t="str">
        <x:v>Orta</x:v>
      </x:c>
      <x:c r="P470" s="19" t="n">
        <x:v>46245</x:v>
      </x:c>
      <x:c r="Q470" s="20" t="str">
        <x:v>https://coffeemanifesto.com/product/wake-up-call/</x:v>
      </x:c>
      <x:c r="R470" s="20" t="str">
        <x:v>Fiyat veya gramaj eksik olsa da ürün korundu.</x:v>
      </x:c>
    </x:row>
    <x:row r="471" ht="40" customHeight="1">
      <x:c r="A471" s="16" t="str">
        <x:v>Coffee Manifesto</x:v>
      </x:c>
      <x:c r="B471" s="16" t="str"/>
      <x:c r="C471" s="16" t="str">
        <x:v>Pilot doğrulaması</x:v>
      </x:c>
      <x:c r="D471" s="16" t="str">
        <x:v>Ürün kaydı</x:v>
      </x:c>
      <x:c r="E471" s="16" t="str">
        <x:v>Wake Up Call</x:v>
      </x:c>
      <x:c r="F471" s="16" t="str">
        <x:v>Harman – menşe belirtilmemiş</x:v>
      </x:c>
      <x:c r="G471" s="17" t="n">
        <x:v>250</x:v>
      </x:c>
      <x:c r="H471" s="16" t="str">
        <x:v>Erişildi</x:v>
      </x:c>
      <x:c r="I471" s="18" t="n">
        <x:v>528</x:v>
      </x:c>
      <x:c r="J471" s="18" t="str">
        <x:v>Erişildi</x:v>
      </x:c>
      <x:c r="K471" s="18" t="n">
        <x:f>IF(AND(ISNUMBER(G471),ISNUMBER(I471)),I471/G471*1000,"Erişilemedi")</x:f>
        <x:v>2112</x:v>
      </x:c>
      <x:c r="L471" s="16" t="str">
        <x:v>Stokta</x:v>
      </x:c>
      <x:c r="M471" s="16" t="str">
        <x:v>Harman</x:v>
      </x:c>
      <x:c r="N471" s="16" t="str">
        <x:v>Pilot manuel/API doğrulaması</x:v>
      </x:c>
      <x:c r="O471" s="16" t="str">
        <x:v>Yüksek</x:v>
      </x:c>
      <x:c r="P471" s="19" t="n">
        <x:v>46245</x:v>
      </x:c>
      <x:c r="Q471" s="20" t="str">
        <x:v>https://coffeemanifesto.com/wp-json/wc/store/v1/products?per_page=100</x:v>
      </x:c>
      <x:c r="R471" s="20" t="str"/>
    </x:row>
    <x:row r="472" ht="40" customHeight="1">
      <x:c r="A472" s="16" t="str">
        <x:v>Coffee Project</x:v>
      </x:c>
      <x:c r="B472" s="16" t="str">
        <x:v>Ankara</x:v>
      </x:c>
      <x:c r="C472" s="16" t="str">
        <x:v>Doğrulandı</x:v>
      </x:c>
      <x:c r="D472" s="16" t="str">
        <x:v>Ürün kaydı</x:v>
      </x:c>
      <x:c r="E472" s="16" t="str">
        <x:v>%100 Soya Mum | Ekho Premium Kokulu</x:v>
      </x:c>
      <x:c r="F472" s="16" t="str">
        <x:v>Menşe belirtilmemiş</x:v>
      </x:c>
      <x:c r="G472" s="17" t="str">
        <x:v>Erişilemedi</x:v>
      </x:c>
      <x:c r="H472" s="16" t="str">
        <x:v>Erişilemedi</x:v>
      </x:c>
      <x:c r="I472" s="18" t="n">
        <x:v>0</x:v>
      </x:c>
      <x:c r="J472" s="18" t="str">
        <x:v>Erişilemedi</x:v>
      </x:c>
      <x:c r="K472" s="18" t="str">
        <x:f>IF(AND(ISNUMBER(G472),ISNUMBER(I472)),I472/G472*1000,"Erişilemedi")</x:f>
        <x:v>Erişilemedi</x:v>
      </x:c>
      <x:c r="L472" s="16" t="str">
        <x:v>Belirsiz</x:v>
      </x:c>
      <x:c r="M472" s="16" t="str">
        <x:v>Kahve ürünü</x:v>
      </x:c>
      <x:c r="N472" s="16" t="str">
        <x:v>Site haritası ürün sayfası</x:v>
      </x:c>
      <x:c r="O472" s="16" t="str">
        <x:v>Düşük</x:v>
      </x:c>
      <x:c r="P472" s="19" t="n">
        <x:v>46245</x:v>
      </x:c>
      <x:c r="Q472" s="20" t="str">
        <x:v>https://www.coffeeproject.com.tr/100-soya-mum</x:v>
      </x:c>
      <x:c r="R472" s="20" t="str">
        <x:v>Ürün kimliği korundu; eksik alanlar erişilemedi olarak işaretlenecek.</x:v>
      </x:c>
    </x:row>
    <x:row r="473" ht="40" customHeight="1">
      <x:c r="A473" s="16" t="str">
        <x:v>Coffee Project</x:v>
      </x:c>
      <x:c r="B473" s="16" t="str">
        <x:v>Ankara</x:v>
      </x:c>
      <x:c r="C473" s="16" t="str">
        <x:v>Doğrulandı</x:v>
      </x:c>
      <x:c r="D473" s="16" t="str">
        <x:v>Ürün kaydı</x:v>
      </x:c>
      <x:c r="E473" s="16" t="str">
        <x:v>2'li Kumaş Kahve Filtresi | Doğa Dostu Doğal Bez 1x4</x:v>
      </x:c>
      <x:c r="F473" s="16" t="str">
        <x:v>Menşe belirtilmemiş</x:v>
      </x:c>
      <x:c r="G473" s="17" t="str">
        <x:v>Erişilemedi</x:v>
      </x:c>
      <x:c r="H473" s="16" t="str">
        <x:v>Erişilemedi</x:v>
      </x:c>
      <x:c r="I473" s="18" t="n">
        <x:v>0</x:v>
      </x:c>
      <x:c r="J473" s="18" t="str">
        <x:v>Erişilemedi</x:v>
      </x:c>
      <x:c r="K473" s="18" t="str">
        <x:f>IF(AND(ISNUMBER(G473),ISNUMBER(I473)),I473/G473*1000,"Erişilemedi")</x:f>
        <x:v>Erişilemedi</x:v>
      </x:c>
      <x:c r="L473" s="16" t="str">
        <x:v>Belirsiz</x:v>
      </x:c>
      <x:c r="M473" s="16" t="str">
        <x:v>Kahve ürünü</x:v>
      </x:c>
      <x:c r="N473" s="16" t="str">
        <x:v>Site haritası ürün sayfası</x:v>
      </x:c>
      <x:c r="O473" s="16" t="str">
        <x:v>Düşük</x:v>
      </x:c>
      <x:c r="P473" s="19" t="n">
        <x:v>46245</x:v>
      </x:c>
      <x:c r="Q473" s="20" t="str">
        <x:v>https://www.coffeeproject.com.tr/2-adet-kumas-kahve-filtresi-dogal</x:v>
      </x:c>
      <x:c r="R473" s="20" t="str">
        <x:v>Ürün kimliği korundu; eksik alanlar erişilemedi olarak işaretlenecek.</x:v>
      </x:c>
    </x:row>
    <x:row r="474" ht="40" customHeight="1">
      <x:c r="A474" s="16" t="str">
        <x:v>Coffee Project</x:v>
      </x:c>
      <x:c r="B474" s="16" t="str">
        <x:v>Ankara</x:v>
      </x:c>
      <x:c r="C474" s="16" t="str">
        <x:v>Doğrulandı</x:v>
      </x:c>
      <x:c r="D474" s="16" t="str">
        <x:v>Ürün kaydı</x:v>
      </x:c>
      <x:c r="E474" s="16" t="str">
        <x:v>4'lü Kahve Tadım Seti</x:v>
      </x:c>
      <x:c r="F474" s="16" t="str">
        <x:v>Menşe belirtilmemiş</x:v>
      </x:c>
      <x:c r="G474" s="17" t="str">
        <x:v>Erişilemedi</x:v>
      </x:c>
      <x:c r="H474" s="16" t="str">
        <x:v>Erişilemedi</x:v>
      </x:c>
      <x:c r="I474" s="18" t="n">
        <x:v>0</x:v>
      </x:c>
      <x:c r="J474" s="18" t="str">
        <x:v>Erişilemedi</x:v>
      </x:c>
      <x:c r="K474" s="18" t="str">
        <x:f>IF(AND(ISNUMBER(G474),ISNUMBER(I474)),I474/G474*1000,"Erişilemedi")</x:f>
        <x:v>Erişilemedi</x:v>
      </x:c>
      <x:c r="L474" s="16" t="str">
        <x:v>Belirsiz</x:v>
      </x:c>
      <x:c r="M474" s="16" t="str">
        <x:v>Kahve ürünü</x:v>
      </x:c>
      <x:c r="N474" s="16" t="str">
        <x:v>Site haritası ürün sayfası</x:v>
      </x:c>
      <x:c r="O474" s="16" t="str">
        <x:v>Düşük</x:v>
      </x:c>
      <x:c r="P474" s="19" t="n">
        <x:v>46245</x:v>
      </x:c>
      <x:c r="Q474" s="20" t="str">
        <x:v>https://www.coffeeproject.com.tr/kahveler/tadim-seti</x:v>
      </x:c>
      <x:c r="R474" s="20" t="str">
        <x:v>Ürün kimliği korundu; eksik alanlar erişilemedi olarak işaretlenecek.</x:v>
      </x:c>
    </x:row>
    <x:row r="475" ht="40" customHeight="1">
      <x:c r="A475" s="16" t="str">
        <x:v>Coffee Project</x:v>
      </x:c>
      <x:c r="B475" s="16" t="str">
        <x:v>Ankara</x:v>
      </x:c>
      <x:c r="C475" s="16" t="str">
        <x:v>Doğrulandı</x:v>
      </x:c>
      <x:c r="D475" s="16" t="str">
        <x:v>Ürün kaydı</x:v>
      </x:c>
      <x:c r="E475" s="16" t="str">
        <x:v>Ahşap Telefon / Tablet Standı [Gojo]</x:v>
      </x:c>
      <x:c r="F475" s="16" t="str">
        <x:v>Menşe belirtilmemiş</x:v>
      </x:c>
      <x:c r="G475" s="17" t="str">
        <x:v>Erişilemedi</x:v>
      </x:c>
      <x:c r="H475" s="16" t="str">
        <x:v>Erişilemedi</x:v>
      </x:c>
      <x:c r="I475" s="18" t="n">
        <x:v>0</x:v>
      </x:c>
      <x:c r="J475" s="18" t="str">
        <x:v>Erişilemedi</x:v>
      </x:c>
      <x:c r="K475" s="18" t="str">
        <x:f>IF(AND(ISNUMBER(G475),ISNUMBER(I475)),I475/G475*1000,"Erişilemedi")</x:f>
        <x:v>Erişilemedi</x:v>
      </x:c>
      <x:c r="L475" s="16" t="str">
        <x:v>Belirsiz</x:v>
      </x:c>
      <x:c r="M475" s="16" t="str">
        <x:v>Kahve ürünü</x:v>
      </x:c>
      <x:c r="N475" s="16" t="str">
        <x:v>Site haritası ürün sayfası</x:v>
      </x:c>
      <x:c r="O475" s="16" t="str">
        <x:v>Düşük</x:v>
      </x:c>
      <x:c r="P475" s="19" t="n">
        <x:v>46245</x:v>
      </x:c>
      <x:c r="Q475" s="20" t="str">
        <x:v>https://www.coffeeproject.com.tr/ahsap-telefon-tablet-tutacagi-gojo</x:v>
      </x:c>
      <x:c r="R475" s="20" t="str">
        <x:v>Ürün kimliği korundu; eksik alanlar erişilemedi olarak işaretlenecek.</x:v>
      </x:c>
    </x:row>
    <x:row r="476" ht="40" customHeight="1">
      <x:c r="A476" s="16" t="str">
        <x:v>Coffee Project</x:v>
      </x:c>
      <x:c r="B476" s="16" t="str">
        <x:v>Ankara</x:v>
      </x:c>
      <x:c r="C476" s="16" t="str">
        <x:v>Doğrulandı</x:v>
      </x:c>
      <x:c r="D476" s="16" t="str">
        <x:v>Ürün kaydı</x:v>
      </x:c>
      <x:c r="E476" s="16" t="str">
        <x:v>Analog Hassas Süt Termometresi</x:v>
      </x:c>
      <x:c r="F476" s="16" t="str">
        <x:v>Menşe belirtilmemiş</x:v>
      </x:c>
      <x:c r="G476" s="17" t="str">
        <x:v>Erişilemedi</x:v>
      </x:c>
      <x:c r="H476" s="16" t="str">
        <x:v>Erişilemedi</x:v>
      </x:c>
      <x:c r="I476" s="18" t="n">
        <x:v>0</x:v>
      </x:c>
      <x:c r="J476" s="18" t="str">
        <x:v>Erişilemedi</x:v>
      </x:c>
      <x:c r="K476" s="18" t="str">
        <x:f>IF(AND(ISNUMBER(G476),ISNUMBER(I476)),I476/G476*1000,"Erişilemedi")</x:f>
        <x:v>Erişilemedi</x:v>
      </x:c>
      <x:c r="L476" s="16" t="str">
        <x:v>Belirsiz</x:v>
      </x:c>
      <x:c r="M476" s="16" t="str">
        <x:v>Kahve ürünü</x:v>
      </x:c>
      <x:c r="N476" s="16" t="str">
        <x:v>Site haritası ürün sayfası</x:v>
      </x:c>
      <x:c r="O476" s="16" t="str">
        <x:v>Düşük</x:v>
      </x:c>
      <x:c r="P476" s="19" t="n">
        <x:v>46245</x:v>
      </x:c>
      <x:c r="Q476" s="20" t="str">
        <x:v>https://www.coffeeproject.com.tr/urunlerimiz/hassas-sut-termometresi</x:v>
      </x:c>
      <x:c r="R476" s="20" t="str">
        <x:v>Ürün kimliği korundu; eksik alanlar erişilemedi olarak işaretlenecek.</x:v>
      </x:c>
    </x:row>
    <x:row r="477" ht="40" customHeight="1">
      <x:c r="A477" s="16" t="str">
        <x:v>Coffee Project</x:v>
      </x:c>
      <x:c r="B477" s="16" t="str">
        <x:v>Ankara</x:v>
      </x:c>
      <x:c r="C477" s="16" t="str">
        <x:v>Doğrulandı</x:v>
      </x:c>
      <x:c r="D477" s="16" t="str">
        <x:v>Ürün kaydı</x:v>
      </x:c>
      <x:c r="E477" s="16" t="str">
        <x:v>Baratza Encore - Otomatik Kahve Öğütücüsü | Siyah</x:v>
      </x:c>
      <x:c r="F477" s="16" t="str">
        <x:v>Menşe belirtilmemiş</x:v>
      </x:c>
      <x:c r="G477" s="17" t="str">
        <x:v>Erişilemedi</x:v>
      </x:c>
      <x:c r="H477" s="16" t="str">
        <x:v>Erişilemedi</x:v>
      </x:c>
      <x:c r="I477" s="18" t="n">
        <x:v>0</x:v>
      </x:c>
      <x:c r="J477" s="18" t="str">
        <x:v>Erişilemedi</x:v>
      </x:c>
      <x:c r="K477" s="18" t="str">
        <x:f>IF(AND(ISNUMBER(G477),ISNUMBER(I477)),I477/G477*1000,"Erişilemedi")</x:f>
        <x:v>Erişilemedi</x:v>
      </x:c>
      <x:c r="L477" s="16" t="str">
        <x:v>Belirsiz</x:v>
      </x:c>
      <x:c r="M477" s="16" t="str">
        <x:v>Kahve ürünü</x:v>
      </x:c>
      <x:c r="N477" s="16" t="str">
        <x:v>Site haritası ürün sayfası</x:v>
      </x:c>
      <x:c r="O477" s="16" t="str">
        <x:v>Düşük</x:v>
      </x:c>
      <x:c r="P477" s="19" t="n">
        <x:v>46245</x:v>
      </x:c>
      <x:c r="Q477" s="20" t="str">
        <x:v>https://www.coffeeproject.com.tr/urunlerimiz/baratza-encore-kahve-ogutucu</x:v>
      </x:c>
      <x:c r="R477" s="20" t="str">
        <x:v>Ürün kimliği korundu; eksik alanlar erişilemedi olarak işaretlenecek.</x:v>
      </x:c>
    </x:row>
    <x:row r="478" ht="40" customHeight="1">
      <x:c r="A478" s="16" t="str">
        <x:v>Coffee Project</x:v>
      </x:c>
      <x:c r="B478" s="16" t="str"/>
      <x:c r="C478" s="16" t="str">
        <x:v>Pilot doğrulaması</x:v>
      </x:c>
      <x:c r="D478" s="16" t="str">
        <x:v>Ürün kaydı</x:v>
      </x:c>
      <x:c r="E478" s="16" t="str">
        <x:v>Brezilya Bella Giana</x:v>
      </x:c>
      <x:c r="F478" s="16" t="str">
        <x:v>Brezilya</x:v>
      </x:c>
      <x:c r="G478" s="17" t="n">
        <x:v>250</x:v>
      </x:c>
      <x:c r="H478" s="16" t="str">
        <x:v>Erişildi</x:v>
      </x:c>
      <x:c r="I478" s="18" t="n">
        <x:v>802</x:v>
      </x:c>
      <x:c r="J478" s="18" t="str">
        <x:v>Erişildi</x:v>
      </x:c>
      <x:c r="K478" s="18" t="n">
        <x:f>IF(AND(ISNUMBER(G478),ISNUMBER(I478)),I478/G478*1000,"Erişilemedi")</x:f>
        <x:v>3208</x:v>
      </x:c>
      <x:c r="L478" s="16" t="str">
        <x:v>Stokta</x:v>
      </x:c>
      <x:c r="M478" s="16" t="str">
        <x:v>Tek köken</x:v>
      </x:c>
      <x:c r="N478" s="16" t="str">
        <x:v>Pilot manuel/API doğrulaması</x:v>
      </x:c>
      <x:c r="O478" s="16" t="str">
        <x:v>Yüksek</x:v>
      </x:c>
      <x:c r="P478" s="19" t="n">
        <x:v>46245</x:v>
      </x:c>
      <x:c r="Q478" s="20" t="str">
        <x:v>https://www.coffeeproject.com.tr/urun-kategori/kahveler</x:v>
      </x:c>
      <x:c r="R478" s="20" t="str"/>
    </x:row>
    <x:row r="479" ht="40" customHeight="1">
      <x:c r="A479" s="16" t="str">
        <x:v>Coffee Project</x:v>
      </x:c>
      <x:c r="B479" s="16" t="str">
        <x:v>Ankara</x:v>
      </x:c>
      <x:c r="C479" s="16" t="str">
        <x:v>Doğrulandı</x:v>
      </x:c>
      <x:c r="D479" s="16" t="str">
        <x:v>Ürün kaydı</x:v>
      </x:c>
      <x:c r="E479" s="16" t="str">
        <x:v>Brezilya, Bella Giana</x:v>
      </x:c>
      <x:c r="F479" s="16" t="str">
        <x:v>Brezilya</x:v>
      </x:c>
      <x:c r="G479" s="17" t="str">
        <x:v>Erişilemedi</x:v>
      </x:c>
      <x:c r="H479" s="16" t="str">
        <x:v>Erişilemedi</x:v>
      </x:c>
      <x:c r="I479" s="18" t="n">
        <x:v>0</x:v>
      </x:c>
      <x:c r="J479" s="18" t="str">
        <x:v>Erişilemedi</x:v>
      </x:c>
      <x:c r="K479" s="18" t="str">
        <x:f>IF(AND(ISNUMBER(G479),ISNUMBER(I479)),I479/G479*1000,"Erişilemedi")</x:f>
        <x:v>Erişilemedi</x:v>
      </x:c>
      <x:c r="L479" s="16" t="str">
        <x:v>Belirsiz</x:v>
      </x:c>
      <x:c r="M479" s="16" t="str">
        <x:v>Kahve ürünü</x:v>
      </x:c>
      <x:c r="N479" s="16" t="str">
        <x:v>Site haritası ürün sayfası</x:v>
      </x:c>
      <x:c r="O479" s="16" t="str">
        <x:v>Düşük</x:v>
      </x:c>
      <x:c r="P479" s="19" t="n">
        <x:v>46245</x:v>
      </x:c>
      <x:c r="Q479" s="20" t="str">
        <x:v>https://www.coffeeproject.com.tr/kahveler/brezilya-bella-giana</x:v>
      </x:c>
      <x:c r="R479" s="20" t="str">
        <x:v>Ürün kimliği korundu; eksik alanlar erişilemedi olarak işaretlenecek.</x:v>
      </x:c>
    </x:row>
    <x:row r="480" ht="40" customHeight="1">
      <x:c r="A480" s="16" t="str">
        <x:v>Coffee Project</x:v>
      </x:c>
      <x:c r="B480" s="16" t="str">
        <x:v>Ankara</x:v>
      </x:c>
      <x:c r="C480" s="16" t="str">
        <x:v>Doğrulandı</x:v>
      </x:c>
      <x:c r="D480" s="16" t="str">
        <x:v>Ürün kaydı</x:v>
      </x:c>
      <x:c r="E480" s="16" t="str">
        <x:v>Coffee Project, Türk Kahvesi</x:v>
      </x:c>
      <x:c r="F480" s="16" t="str">
        <x:v>Menşe belirtilmemiş</x:v>
      </x:c>
      <x:c r="G480" s="17" t="n">
        <x:v>100</x:v>
      </x:c>
      <x:c r="H480" s="16" t="str">
        <x:v>Erişildi</x:v>
      </x:c>
      <x:c r="I480" s="18" t="n">
        <x:v>0</x:v>
      </x:c>
      <x:c r="J480" s="18" t="str">
        <x:v>Erişilemedi</x:v>
      </x:c>
      <x:c r="K480" s="18" t="n">
        <x:f>IF(AND(ISNUMBER(G480),ISNUMBER(I480)),I480/G480*1000,"Erişilemedi")</x:f>
        <x:v>0</x:v>
      </x:c>
      <x:c r="L480" s="16" t="str">
        <x:v>Belirsiz</x:v>
      </x:c>
      <x:c r="M480" s="16" t="str">
        <x:v>Kahve ürünü</x:v>
      </x:c>
      <x:c r="N480" s="16" t="str">
        <x:v>Site haritası ürün sayfası</x:v>
      </x:c>
      <x:c r="O480" s="16" t="str">
        <x:v>Düşük</x:v>
      </x:c>
      <x:c r="P480" s="19" t="n">
        <x:v>46245</x:v>
      </x:c>
      <x:c r="Q480" s="20" t="str">
        <x:v>https://www.coffeeproject.com.tr/100-gr-turk-kahvesi</x:v>
      </x:c>
      <x:c r="R480" s="20" t="str">
        <x:v>Ürün kimliği korundu; eksik alanlar erişilemedi olarak işaretlenecek.</x:v>
      </x:c>
    </x:row>
    <x:row r="481" ht="40" customHeight="1">
      <x:c r="A481" s="16" t="str">
        <x:v>Coffee Project</x:v>
      </x:c>
      <x:c r="B481" s="16" t="str">
        <x:v>Ankara</x:v>
      </x:c>
      <x:c r="C481" s="16" t="str">
        <x:v>Doğrulandı</x:v>
      </x:c>
      <x:c r="D481" s="16" t="str">
        <x:v>Ürün kaydı</x:v>
      </x:c>
      <x:c r="E481" s="16" t="str">
        <x:v>Coffee Project, Türk Kahvesi</x:v>
      </x:c>
      <x:c r="F481" s="16" t="str">
        <x:v>Menşe belirtilmemiş</x:v>
      </x:c>
      <x:c r="G481" s="17" t="n">
        <x:v>1000</x:v>
      </x:c>
      <x:c r="H481" s="16" t="str">
        <x:v>Erişildi</x:v>
      </x:c>
      <x:c r="I481" s="18" t="n">
        <x:v>0</x:v>
      </x:c>
      <x:c r="J481" s="18" t="str">
        <x:v>Erişilemedi</x:v>
      </x:c>
      <x:c r="K481" s="18" t="n">
        <x:f>IF(AND(ISNUMBER(G481),ISNUMBER(I481)),I481/G481*1000,"Erişilemedi")</x:f>
        <x:v>0</x:v>
      </x:c>
      <x:c r="L481" s="16" t="str">
        <x:v>Belirsiz</x:v>
      </x:c>
      <x:c r="M481" s="16" t="str">
        <x:v>Kahve ürünü</x:v>
      </x:c>
      <x:c r="N481" s="16" t="str">
        <x:v>Site haritası ürün sayfası</x:v>
      </x:c>
      <x:c r="O481" s="16" t="str">
        <x:v>Düşük</x:v>
      </x:c>
      <x:c r="P481" s="19" t="n">
        <x:v>46245</x:v>
      </x:c>
      <x:c r="Q481" s="20" t="str">
        <x:v>https://www.coffeeproject.com.tr/turk-kahvesi-turkish-coffee-1kg</x:v>
      </x:c>
      <x:c r="R481" s="20" t="str">
        <x:v>Ürün kimliği korundu; eksik alanlar erişilemedi olarak işaretlenecek.</x:v>
      </x:c>
    </x:row>
    <x:row r="482" ht="40" customHeight="1">
      <x:c r="A482" s="16" t="str">
        <x:v>Coffee Project</x:v>
      </x:c>
      <x:c r="B482" s="16" t="str">
        <x:v>Ankara</x:v>
      </x:c>
      <x:c r="C482" s="16" t="str">
        <x:v>Doğrulandı</x:v>
      </x:c>
      <x:c r="D482" s="16" t="str">
        <x:v>Ürün kaydı</x:v>
      </x:c>
      <x:c r="E482" s="16" t="str">
        <x:v>Cold Brew Coffee, Soğuk Demleme Kahvesi</x:v>
      </x:c>
      <x:c r="F482" s="16" t="str">
        <x:v>Menşe belirtilmemiş</x:v>
      </x:c>
      <x:c r="G482" s="17" t="str">
        <x:v>Erişilemedi</x:v>
      </x:c>
      <x:c r="H482" s="16" t="str">
        <x:v>Erişilemedi</x:v>
      </x:c>
      <x:c r="I482" s="18" t="n">
        <x:v>0</x:v>
      </x:c>
      <x:c r="J482" s="18" t="str">
        <x:v>Erişilemedi</x:v>
      </x:c>
      <x:c r="K482" s="18" t="str">
        <x:f>IF(AND(ISNUMBER(G482),ISNUMBER(I482)),I482/G482*1000,"Erişilemedi")</x:f>
        <x:v>Erişilemedi</x:v>
      </x:c>
      <x:c r="L482" s="16" t="str">
        <x:v>Belirsiz</x:v>
      </x:c>
      <x:c r="M482" s="16" t="str">
        <x:v>Kahve ürünü</x:v>
      </x:c>
      <x:c r="N482" s="16" t="str">
        <x:v>Site haritası ürün sayfası</x:v>
      </x:c>
      <x:c r="O482" s="16" t="str">
        <x:v>Düşük</x:v>
      </x:c>
      <x:c r="P482" s="19" t="n">
        <x:v>46245</x:v>
      </x:c>
      <x:c r="Q482" s="20" t="str">
        <x:v>https://www.coffeeproject.com.tr/kahveler/cold-brew</x:v>
      </x:c>
      <x:c r="R482" s="20" t="str">
        <x:v>Ürün kimliği korundu; eksik alanlar erişilemedi olarak işaretlenecek.</x:v>
      </x:c>
    </x:row>
    <x:row r="483" ht="40" customHeight="1">
      <x:c r="A483" s="16" t="str">
        <x:v>Coffee Project</x:v>
      </x:c>
      <x:c r="B483" s="16" t="str"/>
      <x:c r="C483" s="16" t="str">
        <x:v>Pilot doğrulaması</x:v>
      </x:c>
      <x:c r="D483" s="16" t="str">
        <x:v>Ürün kaydı</x:v>
      </x:c>
      <x:c r="E483" s="16" t="str">
        <x:v>Colombia Excelso</x:v>
      </x:c>
      <x:c r="F483" s="16" t="str">
        <x:v>Kolombiya</x:v>
      </x:c>
      <x:c r="G483" s="17" t="n">
        <x:v>250</x:v>
      </x:c>
      <x:c r="H483" s="16" t="str">
        <x:v>Erişildi</x:v>
      </x:c>
      <x:c r="I483" s="18" t="n">
        <x:v>814</x:v>
      </x:c>
      <x:c r="J483" s="18" t="str">
        <x:v>Erişildi</x:v>
      </x:c>
      <x:c r="K483" s="18" t="n">
        <x:f>IF(AND(ISNUMBER(G483),ISNUMBER(I483)),I483/G483*1000,"Erişilemedi")</x:f>
        <x:v>3256</x:v>
      </x:c>
      <x:c r="L483" s="16" t="str">
        <x:v>Stokta</x:v>
      </x:c>
      <x:c r="M483" s="16" t="str">
        <x:v>Tek köken</x:v>
      </x:c>
      <x:c r="N483" s="16" t="str">
        <x:v>Pilot manuel/API doğrulaması</x:v>
      </x:c>
      <x:c r="O483" s="16" t="str">
        <x:v>Yüksek</x:v>
      </x:c>
      <x:c r="P483" s="19" t="n">
        <x:v>46245</x:v>
      </x:c>
      <x:c r="Q483" s="20" t="str">
        <x:v>https://www.coffeeproject.com.tr/urun-kategori/kahveler</x:v>
      </x:c>
      <x:c r="R483" s="20" t="str"/>
    </x:row>
    <x:row r="484" ht="40" customHeight="1">
      <x:c r="A484" s="16" t="str">
        <x:v>Coffee Project</x:v>
      </x:c>
      <x:c r="B484" s="16" t="str">
        <x:v>Ankara</x:v>
      </x:c>
      <x:c r="C484" s="16" t="str">
        <x:v>Doğrulandı</x:v>
      </x:c>
      <x:c r="D484" s="16" t="str">
        <x:v>Ürün kaydı</x:v>
      </x:c>
      <x:c r="E484" s="16" t="str">
        <x:v>Colombia, Excelso</x:v>
      </x:c>
      <x:c r="F484" s="16" t="str">
        <x:v>Kolombiya</x:v>
      </x:c>
      <x:c r="G484" s="17" t="str">
        <x:v>Erişilemedi</x:v>
      </x:c>
      <x:c r="H484" s="16" t="str">
        <x:v>Erişilemedi</x:v>
      </x:c>
      <x:c r="I484" s="18" t="n">
        <x:v>0</x:v>
      </x:c>
      <x:c r="J484" s="18" t="str">
        <x:v>Erişilemedi</x:v>
      </x:c>
      <x:c r="K484" s="18" t="str">
        <x:f>IF(AND(ISNUMBER(G484),ISNUMBER(I484)),I484/G484*1000,"Erişilemedi")</x:f>
        <x:v>Erişilemedi</x:v>
      </x:c>
      <x:c r="L484" s="16" t="str">
        <x:v>Belirsiz</x:v>
      </x:c>
      <x:c r="M484" s="16" t="str">
        <x:v>Kahve ürünü</x:v>
      </x:c>
      <x:c r="N484" s="16" t="str">
        <x:v>Site haritası ürün sayfası</x:v>
      </x:c>
      <x:c r="O484" s="16" t="str">
        <x:v>Düşük</x:v>
      </x:c>
      <x:c r="P484" s="19" t="n">
        <x:v>46245</x:v>
      </x:c>
      <x:c r="Q484" s="20" t="str">
        <x:v>https://www.coffeeproject.com.tr/kahveler/colombia-excelso</x:v>
      </x:c>
      <x:c r="R484" s="20" t="str">
        <x:v>Ürün kimliği korundu; eksik alanlar erişilemedi olarak işaretlenecek.</x:v>
      </x:c>
    </x:row>
    <x:row r="485" ht="40" customHeight="1">
      <x:c r="A485" s="16" t="str">
        <x:v>Coffee Project</x:v>
      </x:c>
      <x:c r="B485" s="16" t="str"/>
      <x:c r="C485" s="16" t="str">
        <x:v>Pilot doğrulaması</x:v>
      </x:c>
      <x:c r="D485" s="16" t="str">
        <x:v>Ürün kaydı</x:v>
      </x:c>
      <x:c r="E485" s="16" t="str">
        <x:v>Costa Rica Las Torres</x:v>
      </x:c>
      <x:c r="F485" s="16" t="str">
        <x:v>Kosta Rika</x:v>
      </x:c>
      <x:c r="G485" s="17" t="n">
        <x:v>250</x:v>
      </x:c>
      <x:c r="H485" s="16" t="str">
        <x:v>Erişildi</x:v>
      </x:c>
      <x:c r="I485" s="18" t="n">
        <x:v>1131</x:v>
      </x:c>
      <x:c r="J485" s="18" t="str">
        <x:v>Erişildi</x:v>
      </x:c>
      <x:c r="K485" s="18" t="n">
        <x:f>IF(AND(ISNUMBER(G485),ISNUMBER(I485)),I485/G485*1000,"Erişilemedi")</x:f>
        <x:v>4524</x:v>
      </x:c>
      <x:c r="L485" s="16" t="str">
        <x:v>Stokta</x:v>
      </x:c>
      <x:c r="M485" s="16" t="str">
        <x:v>Tek köken</x:v>
      </x:c>
      <x:c r="N485" s="16" t="str">
        <x:v>Pilot manuel/API doğrulaması</x:v>
      </x:c>
      <x:c r="O485" s="16" t="str">
        <x:v>Yüksek</x:v>
      </x:c>
      <x:c r="P485" s="19" t="n">
        <x:v>46245</x:v>
      </x:c>
      <x:c r="Q485" s="20" t="str">
        <x:v>https://www.coffeeproject.com.tr/urun-kategori/kahveler</x:v>
      </x:c>
      <x:c r="R485" s="20" t="str"/>
    </x:row>
    <x:row r="486" ht="40" customHeight="1">
      <x:c r="A486" s="16" t="str">
        <x:v>Coffee Project</x:v>
      </x:c>
      <x:c r="B486" s="16" t="str">
        <x:v>Ankara</x:v>
      </x:c>
      <x:c r="C486" s="16" t="str">
        <x:v>Doğrulandı</x:v>
      </x:c>
      <x:c r="D486" s="16" t="str">
        <x:v>Ürün kaydı</x:v>
      </x:c>
      <x:c r="E486" s="16" t="str">
        <x:v>Çift Katmanlı Cam Kahve Bardağı | 250 ml</x:v>
      </x:c>
      <x:c r="F486" s="16" t="str">
        <x:v>Menşe belirtilmemiş</x:v>
      </x:c>
      <x:c r="G486" s="17" t="str">
        <x:v>Erişilemedi</x:v>
      </x:c>
      <x:c r="H486" s="16" t="str">
        <x:v>Erişilemedi</x:v>
      </x:c>
      <x:c r="I486" s="18" t="n">
        <x:v>0</x:v>
      </x:c>
      <x:c r="J486" s="18" t="str">
        <x:v>Erişilemedi</x:v>
      </x:c>
      <x:c r="K486" s="18" t="str">
        <x:f>IF(AND(ISNUMBER(G486),ISNUMBER(I486)),I486/G486*1000,"Erişilemedi")</x:f>
        <x:v>Erişilemedi</x:v>
      </x:c>
      <x:c r="L486" s="16" t="str">
        <x:v>Belirsiz</x:v>
      </x:c>
      <x:c r="M486" s="16" t="str">
        <x:v>Kahve ürünü</x:v>
      </x:c>
      <x:c r="N486" s="16" t="str">
        <x:v>Site haritası ürün sayfası</x:v>
      </x:c>
      <x:c r="O486" s="16" t="str">
        <x:v>Düşük</x:v>
      </x:c>
      <x:c r="P486" s="19" t="n">
        <x:v>46245</x:v>
      </x:c>
      <x:c r="Q486" s="20" t="str">
        <x:v>https://www.coffeeproject.com.tr/cift-katmanli-kahve-bardagi-250-ml</x:v>
      </x:c>
      <x:c r="R486" s="20" t="str">
        <x:v>Ürün kimliği korundu; eksik alanlar erişilemedi olarak işaretlenecek.</x:v>
      </x:c>
    </x:row>
    <x:row r="487" ht="40" customHeight="1">
      <x:c r="A487" s="16" t="str">
        <x:v>Coffee Project</x:v>
      </x:c>
      <x:c r="B487" s="16" t="str">
        <x:v>Ankara</x:v>
      </x:c>
      <x:c r="C487" s="16" t="str">
        <x:v>Doğrulandı</x:v>
      </x:c>
      <x:c r="D487" s="16" t="str">
        <x:v>Ürün kaydı</x:v>
      </x:c>
      <x:c r="E487" s="16" t="str">
        <x:v>Dijital Süt Termometresi DT-03</x:v>
      </x:c>
      <x:c r="F487" s="16" t="str">
        <x:v>Menşe belirtilmemiş</x:v>
      </x:c>
      <x:c r="G487" s="17" t="str">
        <x:v>Erişilemedi</x:v>
      </x:c>
      <x:c r="H487" s="16" t="str">
        <x:v>Erişilemedi</x:v>
      </x:c>
      <x:c r="I487" s="18" t="n">
        <x:v>0</x:v>
      </x:c>
      <x:c r="J487" s="18" t="str">
        <x:v>Erişilemedi</x:v>
      </x:c>
      <x:c r="K487" s="18" t="str">
        <x:f>IF(AND(ISNUMBER(G487),ISNUMBER(I487)),I487/G487*1000,"Erişilemedi")</x:f>
        <x:v>Erişilemedi</x:v>
      </x:c>
      <x:c r="L487" s="16" t="str">
        <x:v>Belirsiz</x:v>
      </x:c>
      <x:c r="M487" s="16" t="str">
        <x:v>Kahve ürünü</x:v>
      </x:c>
      <x:c r="N487" s="16" t="str">
        <x:v>Site haritası ürün sayfası</x:v>
      </x:c>
      <x:c r="O487" s="16" t="str">
        <x:v>Düşük</x:v>
      </x:c>
      <x:c r="P487" s="19" t="n">
        <x:v>46245</x:v>
      </x:c>
      <x:c r="Q487" s="20" t="str">
        <x:v>https://www.coffeeproject.com.tr/dijital-sut-termometresi-dt-03</x:v>
      </x:c>
      <x:c r="R487" s="20" t="str">
        <x:v>Ürün kimliği korundu; eksik alanlar erişilemedi olarak işaretlenecek.</x:v>
      </x:c>
    </x:row>
    <x:row r="488" ht="40" customHeight="1">
      <x:c r="A488" s="16" t="str">
        <x:v>Coffee Project</x:v>
      </x:c>
      <x:c r="B488" s="16" t="str"/>
      <x:c r="C488" s="16" t="str">
        <x:v>Pilot doğrulaması</x:v>
      </x:c>
      <x:c r="D488" s="16" t="str">
        <x:v>Ürün kaydı</x:v>
      </x:c>
      <x:c r="E488" s="16" t="str">
        <x:v>El Salvador La Majada</x:v>
      </x:c>
      <x:c r="F488" s="16" t="str">
        <x:v>El Salvador</x:v>
      </x:c>
      <x:c r="G488" s="17" t="n">
        <x:v>250</x:v>
      </x:c>
      <x:c r="H488" s="16" t="str">
        <x:v>Erişildi</x:v>
      </x:c>
      <x:c r="I488" s="18" t="n">
        <x:v>802</x:v>
      </x:c>
      <x:c r="J488" s="18" t="str">
        <x:v>Erişildi</x:v>
      </x:c>
      <x:c r="K488" s="18" t="n">
        <x:f>IF(AND(ISNUMBER(G488),ISNUMBER(I488)),I488/G488*1000,"Erişilemedi")</x:f>
        <x:v>3208</x:v>
      </x:c>
      <x:c r="L488" s="16" t="str">
        <x:v>Stokta</x:v>
      </x:c>
      <x:c r="M488" s="16" t="str">
        <x:v>Tek köken</x:v>
      </x:c>
      <x:c r="N488" s="16" t="str">
        <x:v>Pilot manuel/API doğrulaması</x:v>
      </x:c>
      <x:c r="O488" s="16" t="str">
        <x:v>Yüksek</x:v>
      </x:c>
      <x:c r="P488" s="19" t="n">
        <x:v>46245</x:v>
      </x:c>
      <x:c r="Q488" s="20" t="str">
        <x:v>https://www.coffeeproject.com.tr/urun-kategori/kahveler</x:v>
      </x:c>
      <x:c r="R488" s="20" t="str"/>
    </x:row>
    <x:row r="489" ht="40" customHeight="1">
      <x:c r="A489" s="16" t="str">
        <x:v>Coffee Project</x:v>
      </x:c>
      <x:c r="B489" s="16" t="str">
        <x:v>Ankara</x:v>
      </x:c>
      <x:c r="C489" s="16" t="str">
        <x:v>Doğrulandı</x:v>
      </x:c>
      <x:c r="D489" s="16" t="str">
        <x:v>Ürün kaydı</x:v>
      </x:c>
      <x:c r="E489" s="16" t="str">
        <x:v>El Salvador, La Majada</x:v>
      </x:c>
      <x:c r="F489" s="16" t="str">
        <x:v>El Salvador</x:v>
      </x:c>
      <x:c r="G489" s="17" t="str">
        <x:v>Erişilemedi</x:v>
      </x:c>
      <x:c r="H489" s="16" t="str">
        <x:v>Erişilemedi</x:v>
      </x:c>
      <x:c r="I489" s="18" t="n">
        <x:v>0</x:v>
      </x:c>
      <x:c r="J489" s="18" t="str">
        <x:v>Erişilemedi</x:v>
      </x:c>
      <x:c r="K489" s="18" t="str">
        <x:f>IF(AND(ISNUMBER(G489),ISNUMBER(I489)),I489/G489*1000,"Erişilemedi")</x:f>
        <x:v>Erişilemedi</x:v>
      </x:c>
      <x:c r="L489" s="16" t="str">
        <x:v>Belirsiz</x:v>
      </x:c>
      <x:c r="M489" s="16" t="str">
        <x:v>Kahve ürünü</x:v>
      </x:c>
      <x:c r="N489" s="16" t="str">
        <x:v>Site haritası ürün sayfası</x:v>
      </x:c>
      <x:c r="O489" s="16" t="str">
        <x:v>Düşük</x:v>
      </x:c>
      <x:c r="P489" s="19" t="n">
        <x:v>46245</x:v>
      </x:c>
      <x:c r="Q489" s="20" t="str">
        <x:v>https://www.coffeeproject.com.tr/urunlerimiz/el-salvador-la-majada</x:v>
      </x:c>
      <x:c r="R489" s="20" t="str">
        <x:v>Ürün kimliği korundu; eksik alanlar erişilemedi olarak işaretlenecek.</x:v>
      </x:c>
    </x:row>
    <x:row r="490" ht="40" customHeight="1">
      <x:c r="A490" s="16" t="str">
        <x:v>Coffee Project</x:v>
      </x:c>
      <x:c r="B490" s="16" t="str">
        <x:v>Ankara</x:v>
      </x:c>
      <x:c r="C490" s="16" t="str">
        <x:v>Doğrulandı</x:v>
      </x:c>
      <x:c r="D490" s="16" t="str">
        <x:v>Ürün kaydı</x:v>
      </x:c>
      <x:c r="E490" s="16" t="str">
        <x:v>Epinox - Hassas Kahve Tartısı</x:v>
      </x:c>
      <x:c r="F490" s="16" t="str">
        <x:v>Menşe belirtilmemiş</x:v>
      </x:c>
      <x:c r="G490" s="17" t="str">
        <x:v>Erişilemedi</x:v>
      </x:c>
      <x:c r="H490" s="16" t="str">
        <x:v>Erişilemedi</x:v>
      </x:c>
      <x:c r="I490" s="18" t="n">
        <x:v>0</x:v>
      </x:c>
      <x:c r="J490" s="18" t="str">
        <x:v>Erişilemedi</x:v>
      </x:c>
      <x:c r="K490" s="18" t="str">
        <x:f>IF(AND(ISNUMBER(G490),ISNUMBER(I490)),I490/G490*1000,"Erişilemedi")</x:f>
        <x:v>Erişilemedi</x:v>
      </x:c>
      <x:c r="L490" s="16" t="str">
        <x:v>Belirsiz</x:v>
      </x:c>
      <x:c r="M490" s="16" t="str">
        <x:v>Kahve ürünü</x:v>
      </x:c>
      <x:c r="N490" s="16" t="str">
        <x:v>Site haritası ürün sayfası</x:v>
      </x:c>
      <x:c r="O490" s="16" t="str">
        <x:v>Düşük</x:v>
      </x:c>
      <x:c r="P490" s="19" t="n">
        <x:v>46245</x:v>
      </x:c>
      <x:c r="Q490" s="20" t="str">
        <x:v>https://www.coffeeproject.com.tr/urunlerimiz/hassas-kahve-tartisi</x:v>
      </x:c>
      <x:c r="R490" s="20" t="str">
        <x:v>Ürün kimliği korundu; eksik alanlar erişilemedi olarak işaretlenecek.</x:v>
      </x:c>
    </x:row>
    <x:row r="491" ht="40" customHeight="1">
      <x:c r="A491" s="16" t="str">
        <x:v>Coffee Project</x:v>
      </x:c>
      <x:c r="B491" s="16" t="str"/>
      <x:c r="C491" s="16" t="str">
        <x:v>Pilot doğrulaması</x:v>
      </x:c>
      <x:c r="D491" s="16" t="str">
        <x:v>Ürün kaydı</x:v>
      </x:c>
      <x:c r="E491" s="16" t="str">
        <x:v>Etiyopya Kochere</x:v>
      </x:c>
      <x:c r="F491" s="16" t="str">
        <x:v>Etiyopya</x:v>
      </x:c>
      <x:c r="G491" s="17" t="n">
        <x:v>250</x:v>
      </x:c>
      <x:c r="H491" s="16" t="str">
        <x:v>Erişildi</x:v>
      </x:c>
      <x:c r="I491" s="18" t="n">
        <x:v>968</x:v>
      </x:c>
      <x:c r="J491" s="18" t="str">
        <x:v>Erişildi</x:v>
      </x:c>
      <x:c r="K491" s="18" t="n">
        <x:f>IF(AND(ISNUMBER(G491),ISNUMBER(I491)),I491/G491*1000,"Erişilemedi")</x:f>
        <x:v>3872</x:v>
      </x:c>
      <x:c r="L491" s="16" t="str">
        <x:v>Stokta</x:v>
      </x:c>
      <x:c r="M491" s="16" t="str">
        <x:v>Tek köken</x:v>
      </x:c>
      <x:c r="N491" s="16" t="str">
        <x:v>Pilot manuel/API doğrulaması</x:v>
      </x:c>
      <x:c r="O491" s="16" t="str">
        <x:v>Yüksek</x:v>
      </x:c>
      <x:c r="P491" s="19" t="n">
        <x:v>46245</x:v>
      </x:c>
      <x:c r="Q491" s="20" t="str">
        <x:v>https://www.coffeeproject.com.tr/urun-kategori/kahveler</x:v>
      </x:c>
      <x:c r="R491" s="20" t="str"/>
    </x:row>
    <x:row r="492" ht="40" customHeight="1">
      <x:c r="A492" s="16" t="str">
        <x:v>Coffee Project</x:v>
      </x:c>
      <x:c r="B492" s="16" t="str">
        <x:v>Ankara</x:v>
      </x:c>
      <x:c r="C492" s="16" t="str">
        <x:v>Doğrulandı</x:v>
      </x:c>
      <x:c r="D492" s="16" t="str">
        <x:v>Ürün kaydı</x:v>
      </x:c>
      <x:c r="E492" s="16" t="str">
        <x:v>Etiyopya, Guji Gigesa</x:v>
      </x:c>
      <x:c r="F492" s="16" t="str">
        <x:v>Etiyopya</x:v>
      </x:c>
      <x:c r="G492" s="17" t="str">
        <x:v>Erişilemedi</x:v>
      </x:c>
      <x:c r="H492" s="16" t="str">
        <x:v>Erişilemedi</x:v>
      </x:c>
      <x:c r="I492" s="18" t="n">
        <x:v>0</x:v>
      </x:c>
      <x:c r="J492" s="18" t="str">
        <x:v>Erişilemedi</x:v>
      </x:c>
      <x:c r="K492" s="18" t="str">
        <x:f>IF(AND(ISNUMBER(G492),ISNUMBER(I492)),I492/G492*1000,"Erişilemedi")</x:f>
        <x:v>Erişilemedi</x:v>
      </x:c>
      <x:c r="L492" s="16" t="str">
        <x:v>Belirsiz</x:v>
      </x:c>
      <x:c r="M492" s="16" t="str">
        <x:v>Kahve ürünü</x:v>
      </x:c>
      <x:c r="N492" s="16" t="str">
        <x:v>Site haritası ürün sayfası</x:v>
      </x:c>
      <x:c r="O492" s="16" t="str">
        <x:v>Düşük</x:v>
      </x:c>
      <x:c r="P492" s="19" t="n">
        <x:v>46245</x:v>
      </x:c>
      <x:c r="Q492" s="20" t="str">
        <x:v>https://www.coffeeproject.com.tr/kahveler/etiyopya-guji-gigesa</x:v>
      </x:c>
      <x:c r="R492" s="20" t="str">
        <x:v>Ürün kimliği korundu; eksik alanlar erişilemedi olarak işaretlenecek.</x:v>
      </x:c>
    </x:row>
    <x:row r="493" ht="40" customHeight="1">
      <x:c r="A493" s="16" t="str">
        <x:v>Coffee Project</x:v>
      </x:c>
      <x:c r="B493" s="16" t="str"/>
      <x:c r="C493" s="16" t="str">
        <x:v>Pilot doğrulaması</x:v>
      </x:c>
      <x:c r="D493" s="16" t="str">
        <x:v>Ürün kaydı</x:v>
      </x:c>
      <x:c r="E493" s="16" t="str">
        <x:v>Feel It Filter Coffee</x:v>
      </x:c>
      <x:c r="F493" s="16" t="str">
        <x:v>Harman – menşe belirtilmemiş</x:v>
      </x:c>
      <x:c r="G493" s="17" t="n">
        <x:v>250</x:v>
      </x:c>
      <x:c r="H493" s="16" t="str">
        <x:v>Erişildi</x:v>
      </x:c>
      <x:c r="I493" s="18" t="n">
        <x:v>662</x:v>
      </x:c>
      <x:c r="J493" s="18" t="str">
        <x:v>Erişildi</x:v>
      </x:c>
      <x:c r="K493" s="18" t="n">
        <x:f>IF(AND(ISNUMBER(G493),ISNUMBER(I493)),I493/G493*1000,"Erişilemedi")</x:f>
        <x:v>2648</x:v>
      </x:c>
      <x:c r="L493" s="16" t="str">
        <x:v>Stokta</x:v>
      </x:c>
      <x:c r="M493" s="16" t="str">
        <x:v>Harman</x:v>
      </x:c>
      <x:c r="N493" s="16" t="str">
        <x:v>Pilot manuel/API doğrulaması</x:v>
      </x:c>
      <x:c r="O493" s="16" t="str">
        <x:v>Yüksek</x:v>
      </x:c>
      <x:c r="P493" s="19" t="n">
        <x:v>46245</x:v>
      </x:c>
      <x:c r="Q493" s="20" t="str">
        <x:v>https://www.coffeeproject.com.tr/urun-kategori/kahveler</x:v>
      </x:c>
      <x:c r="R493" s="20" t="str"/>
    </x:row>
    <x:row r="494" ht="40" customHeight="1">
      <x:c r="A494" s="16" t="str">
        <x:v>Coffee Project</x:v>
      </x:c>
      <x:c r="B494" s="16" t="str">
        <x:v>Ankara</x:v>
      </x:c>
      <x:c r="C494" s="16" t="str">
        <x:v>Doğrulandı</x:v>
      </x:c>
      <x:c r="D494" s="16" t="str">
        <x:v>Ürün kaydı</x:v>
      </x:c>
      <x:c r="E494" s="16" t="str">
        <x:v>Feel It, Filter Coffee</x:v>
      </x:c>
      <x:c r="F494" s="16" t="str">
        <x:v>Menşe belirtilmemiş</x:v>
      </x:c>
      <x:c r="G494" s="17" t="str">
        <x:v>Erişilemedi</x:v>
      </x:c>
      <x:c r="H494" s="16" t="str">
        <x:v>Erişilemedi</x:v>
      </x:c>
      <x:c r="I494" s="18" t="n">
        <x:v>0</x:v>
      </x:c>
      <x:c r="J494" s="18" t="str">
        <x:v>Erişilemedi</x:v>
      </x:c>
      <x:c r="K494" s="18" t="str">
        <x:f>IF(AND(ISNUMBER(G494),ISNUMBER(I494)),I494/G494*1000,"Erişilemedi")</x:f>
        <x:v>Erişilemedi</x:v>
      </x:c>
      <x:c r="L494" s="16" t="str">
        <x:v>Belirsiz</x:v>
      </x:c>
      <x:c r="M494" s="16" t="str">
        <x:v>Kahve ürünü</x:v>
      </x:c>
      <x:c r="N494" s="16" t="str">
        <x:v>Site haritası ürün sayfası</x:v>
      </x:c>
      <x:c r="O494" s="16" t="str">
        <x:v>Düşük</x:v>
      </x:c>
      <x:c r="P494" s="19" t="n">
        <x:v>46245</x:v>
      </x:c>
      <x:c r="Q494" s="20" t="str">
        <x:v>https://www.coffeeproject.com.tr/kahveler/feel-it-filter-coffee</x:v>
      </x:c>
      <x:c r="R494" s="20" t="str">
        <x:v>Ürün kimliği korundu; eksik alanlar erişilemedi olarak işaretlenecek.</x:v>
      </x:c>
    </x:row>
    <x:row r="495" ht="40" customHeight="1">
      <x:c r="A495" s="16" t="str">
        <x:v>Coffee Project</x:v>
      </x:c>
      <x:c r="B495" s="16" t="str">
        <x:v>Ankara</x:v>
      </x:c>
      <x:c r="C495" s="16" t="str">
        <x:v>Doğrulandı</x:v>
      </x:c>
      <x:c r="D495" s="16" t="str">
        <x:v>Ürün kaydı</x:v>
      </x:c>
      <x:c r="E495" s="16" t="str">
        <x:v>Feel It, Filter Coffee</x:v>
      </x:c>
      <x:c r="F495" s="16" t="str">
        <x:v>Menşe belirtilmemiş</x:v>
      </x:c>
      <x:c r="G495" s="17" t="n">
        <x:v>1000</x:v>
      </x:c>
      <x:c r="H495" s="16" t="str">
        <x:v>Erişildi</x:v>
      </x:c>
      <x:c r="I495" s="18" t="n">
        <x:v>0</x:v>
      </x:c>
      <x:c r="J495" s="18" t="str">
        <x:v>Erişilemedi</x:v>
      </x:c>
      <x:c r="K495" s="18" t="n">
        <x:f>IF(AND(ISNUMBER(G495),ISNUMBER(I495)),I495/G495*1000,"Erişilemedi")</x:f>
        <x:v>0</x:v>
      </x:c>
      <x:c r="L495" s="16" t="str">
        <x:v>Belirsiz</x:v>
      </x:c>
      <x:c r="M495" s="16" t="str">
        <x:v>Kahve ürünü</x:v>
      </x:c>
      <x:c r="N495" s="16" t="str">
        <x:v>Site haritası ürün sayfası</x:v>
      </x:c>
      <x:c r="O495" s="16" t="str">
        <x:v>Düşük</x:v>
      </x:c>
      <x:c r="P495" s="19" t="n">
        <x:v>46245</x:v>
      </x:c>
      <x:c r="Q495" s="20" t="str">
        <x:v>https://www.coffeeproject.com.tr/filter-coffee-filtre-kahve-feel-it-1-kg</x:v>
      </x:c>
      <x:c r="R495" s="20" t="str">
        <x:v>Ürün kimliği korundu; eksik alanlar erişilemedi olarak işaretlenecek.</x:v>
      </x:c>
    </x:row>
    <x:row r="496" ht="40" customHeight="1">
      <x:c r="A496" s="16" t="str">
        <x:v>Coffee Project</x:v>
      </x:c>
      <x:c r="B496" s="16" t="str"/>
      <x:c r="C496" s="16" t="str">
        <x:v>Pilot doğrulaması</x:v>
      </x:c>
      <x:c r="D496" s="16" t="str">
        <x:v>Ürün kaydı</x:v>
      </x:c>
      <x:c r="E496" s="16" t="str">
        <x:v>Guatemala Antigua</x:v>
      </x:c>
      <x:c r="F496" s="16" t="str">
        <x:v>Guatemala</x:v>
      </x:c>
      <x:c r="G496" s="17" t="n">
        <x:v>250</x:v>
      </x:c>
      <x:c r="H496" s="16" t="str">
        <x:v>Erişildi</x:v>
      </x:c>
      <x:c r="I496" s="18" t="n">
        <x:v>802</x:v>
      </x:c>
      <x:c r="J496" s="18" t="str">
        <x:v>Erişildi</x:v>
      </x:c>
      <x:c r="K496" s="18" t="n">
        <x:f>IF(AND(ISNUMBER(G496),ISNUMBER(I496)),I496/G496*1000,"Erişilemedi")</x:f>
        <x:v>3208</x:v>
      </x:c>
      <x:c r="L496" s="16" t="str">
        <x:v>Stokta</x:v>
      </x:c>
      <x:c r="M496" s="16" t="str">
        <x:v>Tek köken</x:v>
      </x:c>
      <x:c r="N496" s="16" t="str">
        <x:v>Pilot manuel/API doğrulaması</x:v>
      </x:c>
      <x:c r="O496" s="16" t="str">
        <x:v>Yüksek</x:v>
      </x:c>
      <x:c r="P496" s="19" t="n">
        <x:v>46245</x:v>
      </x:c>
      <x:c r="Q496" s="20" t="str">
        <x:v>https://www.coffeeproject.com.tr/urun-kategori/kahveler</x:v>
      </x:c>
      <x:c r="R496" s="20" t="str"/>
    </x:row>
    <x:row r="497" ht="40" customHeight="1">
      <x:c r="A497" s="16" t="str">
        <x:v>Coffee Project</x:v>
      </x:c>
      <x:c r="B497" s="16" t="str">
        <x:v>Ankara</x:v>
      </x:c>
      <x:c r="C497" s="16" t="str">
        <x:v>Doğrulandı</x:v>
      </x:c>
      <x:c r="D497" s="16" t="str">
        <x:v>Ürün kaydı</x:v>
      </x:c>
      <x:c r="E497" s="16" t="str">
        <x:v>Guatemala, Antigua</x:v>
      </x:c>
      <x:c r="F497" s="16" t="str">
        <x:v>Guatemala</x:v>
      </x:c>
      <x:c r="G497" s="17" t="str">
        <x:v>Erişilemedi</x:v>
      </x:c>
      <x:c r="H497" s="16" t="str">
        <x:v>Erişilemedi</x:v>
      </x:c>
      <x:c r="I497" s="18" t="n">
        <x:v>0</x:v>
      </x:c>
      <x:c r="J497" s="18" t="str">
        <x:v>Erişilemedi</x:v>
      </x:c>
      <x:c r="K497" s="18" t="str">
        <x:f>IF(AND(ISNUMBER(G497),ISNUMBER(I497)),I497/G497*1000,"Erişilemedi")</x:f>
        <x:v>Erişilemedi</x:v>
      </x:c>
      <x:c r="L497" s="16" t="str">
        <x:v>Belirsiz</x:v>
      </x:c>
      <x:c r="M497" s="16" t="str">
        <x:v>Kahve ürünü</x:v>
      </x:c>
      <x:c r="N497" s="16" t="str">
        <x:v>Site haritası ürün sayfası</x:v>
      </x:c>
      <x:c r="O497" s="16" t="str">
        <x:v>Düşük</x:v>
      </x:c>
      <x:c r="P497" s="19" t="n">
        <x:v>46245</x:v>
      </x:c>
      <x:c r="Q497" s="20" t="str">
        <x:v>https://www.coffeeproject.com.tr/kahveler/guatemala-antigua</x:v>
      </x:c>
      <x:c r="R497" s="20" t="str">
        <x:v>Ürün kimliği korundu; eksik alanlar erişilemedi olarak işaretlenecek.</x:v>
      </x:c>
    </x:row>
    <x:row r="498" ht="40" customHeight="1">
      <x:c r="A498" s="16" t="str">
        <x:v>Coffee Project</x:v>
      </x:c>
      <x:c r="B498" s="16" t="str">
        <x:v>Ankara</x:v>
      </x:c>
      <x:c r="C498" s="16" t="str">
        <x:v>Doğrulandı</x:v>
      </x:c>
      <x:c r="D498" s="16" t="str">
        <x:v>Ürün kaydı</x:v>
      </x:c>
      <x:c r="E498" s="16" t="str">
        <x:v>Hario - Hassas Kahve Tartısı</x:v>
      </x:c>
      <x:c r="F498" s="16" t="str">
        <x:v>Menşe belirtilmemiş</x:v>
      </x:c>
      <x:c r="G498" s="17" t="str">
        <x:v>Erişilemedi</x:v>
      </x:c>
      <x:c r="H498" s="16" t="str">
        <x:v>Erişilemedi</x:v>
      </x:c>
      <x:c r="I498" s="18" t="n">
        <x:v>0</x:v>
      </x:c>
      <x:c r="J498" s="18" t="str">
        <x:v>Erişilemedi</x:v>
      </x:c>
      <x:c r="K498" s="18" t="str">
        <x:f>IF(AND(ISNUMBER(G498),ISNUMBER(I498)),I498/G498*1000,"Erişilemedi")</x:f>
        <x:v>Erişilemedi</x:v>
      </x:c>
      <x:c r="L498" s="16" t="str">
        <x:v>Belirsiz</x:v>
      </x:c>
      <x:c r="M498" s="16" t="str">
        <x:v>Kahve ürünü</x:v>
      </x:c>
      <x:c r="N498" s="16" t="str">
        <x:v>Site haritası ürün sayfası</x:v>
      </x:c>
      <x:c r="O498" s="16" t="str">
        <x:v>Düşük</x:v>
      </x:c>
      <x:c r="P498" s="19" t="n">
        <x:v>46245</x:v>
      </x:c>
      <x:c r="Q498" s="20" t="str">
        <x:v>https://www.coffeeproject.com.tr/urunlerimiz/hario-hassas-tarti</x:v>
      </x:c>
      <x:c r="R498" s="20" t="str">
        <x:v>Ürün kimliği korundu; eksik alanlar erişilemedi olarak işaretlenecek.</x:v>
      </x:c>
    </x:row>
    <x:row r="499" ht="40" customHeight="1">
      <x:c r="A499" s="16" t="str">
        <x:v>Coffee Project</x:v>
      </x:c>
      <x:c r="B499" s="16" t="str">
        <x:v>Ankara</x:v>
      </x:c>
      <x:c r="C499" s="16" t="str">
        <x:v>Doğrulandı</x:v>
      </x:c>
      <x:c r="D499" s="16" t="str">
        <x:v>Ürün kaydı</x:v>
      </x:c>
      <x:c r="E499" s="16" t="str">
        <x:v>Hario - Kahve Demleme Tartısı “Wide”</x:v>
      </x:c>
      <x:c r="F499" s="16" t="str">
        <x:v>Menşe belirtilmemiş</x:v>
      </x:c>
      <x:c r="G499" s="17" t="str">
        <x:v>Erişilemedi</x:v>
      </x:c>
      <x:c r="H499" s="16" t="str">
        <x:v>Erişilemedi</x:v>
      </x:c>
      <x:c r="I499" s="18" t="n">
        <x:v>0</x:v>
      </x:c>
      <x:c r="J499" s="18" t="str">
        <x:v>Erişilemedi</x:v>
      </x:c>
      <x:c r="K499" s="18" t="str">
        <x:f>IF(AND(ISNUMBER(G499),ISNUMBER(I499)),I499/G499*1000,"Erişilemedi")</x:f>
        <x:v>Erişilemedi</x:v>
      </x:c>
      <x:c r="L499" s="16" t="str">
        <x:v>Belirsiz</x:v>
      </x:c>
      <x:c r="M499" s="16" t="str">
        <x:v>Kahve ürünü</x:v>
      </x:c>
      <x:c r="N499" s="16" t="str">
        <x:v>Site haritası ürün sayfası</x:v>
      </x:c>
      <x:c r="O499" s="16" t="str">
        <x:v>Düşük</x:v>
      </x:c>
      <x:c r="P499" s="19" t="n">
        <x:v>46245</x:v>
      </x:c>
      <x:c r="Q499" s="20" t="str">
        <x:v>https://www.coffeeproject.com.tr/hario-drip-tartisi-wide</x:v>
      </x:c>
      <x:c r="R499" s="20" t="str">
        <x:v>Ürün kimliği korundu; eksik alanlar erişilemedi olarak işaretlenecek.</x:v>
      </x:c>
    </x:row>
    <x:row r="500" ht="40" customHeight="1">
      <x:c r="A500" s="16" t="str">
        <x:v>Coffee Project</x:v>
      </x:c>
      <x:c r="B500" s="16" t="str">
        <x:v>Ankara</x:v>
      </x:c>
      <x:c r="C500" s="16" t="str">
        <x:v>Doğrulandı</x:v>
      </x:c>
      <x:c r="D500" s="16" t="str">
        <x:v>Ürün kaydı</x:v>
      </x:c>
      <x:c r="E500" s="16" t="str">
        <x:v>Kahve Çuvalı | 1 adet</x:v>
      </x:c>
      <x:c r="F500" s="16" t="str">
        <x:v>Menşe belirtilmemiş</x:v>
      </x:c>
      <x:c r="G500" s="17" t="str">
        <x:v>Erişilemedi</x:v>
      </x:c>
      <x:c r="H500" s="16" t="str">
        <x:v>Erişilemedi</x:v>
      </x:c>
      <x:c r="I500" s="18" t="n">
        <x:v>0</x:v>
      </x:c>
      <x:c r="J500" s="18" t="str">
        <x:v>Erişilemedi</x:v>
      </x:c>
      <x:c r="K500" s="18" t="str">
        <x:f>IF(AND(ISNUMBER(G500),ISNUMBER(I500)),I500/G500*1000,"Erişilemedi")</x:f>
        <x:v>Erişilemedi</x:v>
      </x:c>
      <x:c r="L500" s="16" t="str">
        <x:v>Belirsiz</x:v>
      </x:c>
      <x:c r="M500" s="16" t="str">
        <x:v>Kahve ürünü</x:v>
      </x:c>
      <x:c r="N500" s="16" t="str">
        <x:v>Site haritası ürün sayfası</x:v>
      </x:c>
      <x:c r="O500" s="16" t="str">
        <x:v>Düşük</x:v>
      </x:c>
      <x:c r="P500" s="19" t="n">
        <x:v>46245</x:v>
      </x:c>
      <x:c r="Q500" s="20" t="str">
        <x:v>https://www.coffeeproject.com.tr/urunlerimiz/kahve-cuvali</x:v>
      </x:c>
      <x:c r="R500" s="20" t="str">
        <x:v>Ürün kimliği korundu; eksik alanlar erişilemedi olarak işaretlenecek.</x:v>
      </x:c>
    </x:row>
    <x:row r="501" ht="40" customHeight="1">
      <x:c r="A501" s="16" t="str">
        <x:v>Coffee Project</x:v>
      </x:c>
      <x:c r="B501" s="16" t="str">
        <x:v>Ankara</x:v>
      </x:c>
      <x:c r="C501" s="16" t="str">
        <x:v>Doğrulandı</x:v>
      </x:c>
      <x:c r="D501" s="16" t="str">
        <x:v>Ürün kaydı</x:v>
      </x:c>
      <x:c r="E501" s="16" t="str">
        <x:v>Kahve Düzleştirici - Distribütör | 58 mm</x:v>
      </x:c>
      <x:c r="F501" s="16" t="str">
        <x:v>Menşe belirtilmemiş</x:v>
      </x:c>
      <x:c r="G501" s="17" t="str">
        <x:v>Erişilemedi</x:v>
      </x:c>
      <x:c r="H501" s="16" t="str">
        <x:v>Erişilemedi</x:v>
      </x:c>
      <x:c r="I501" s="18" t="n">
        <x:v>0</x:v>
      </x:c>
      <x:c r="J501" s="18" t="str">
        <x:v>Erişilemedi</x:v>
      </x:c>
      <x:c r="K501" s="18" t="str">
        <x:f>IF(AND(ISNUMBER(G501),ISNUMBER(I501)),I501/G501*1000,"Erişilemedi")</x:f>
        <x:v>Erişilemedi</x:v>
      </x:c>
      <x:c r="L501" s="16" t="str">
        <x:v>Belirsiz</x:v>
      </x:c>
      <x:c r="M501" s="16" t="str">
        <x:v>Kahve ürünü</x:v>
      </x:c>
      <x:c r="N501" s="16" t="str">
        <x:v>Site haritası ürün sayfası</x:v>
      </x:c>
      <x:c r="O501" s="16" t="str">
        <x:v>Düşük</x:v>
      </x:c>
      <x:c r="P501" s="19" t="n">
        <x:v>46245</x:v>
      </x:c>
      <x:c r="Q501" s="20" t="str">
        <x:v>https://www.coffeeproject.com.tr/kahve-duzlestirici-distributor-58-mm-564</x:v>
      </x:c>
      <x:c r="R501" s="20" t="str">
        <x:v>Ürün kimliği korundu; eksik alanlar erişilemedi olarak işaretlenecek.</x:v>
      </x:c>
    </x:row>
    <x:row r="502" ht="40" customHeight="1">
      <x:c r="A502" s="16" t="str">
        <x:v>Coffee Project</x:v>
      </x:c>
      <x:c r="B502" s="16" t="str">
        <x:v>Ankara</x:v>
      </x:c>
      <x:c r="C502" s="16" t="str">
        <x:v>Doğrulandı</x:v>
      </x:c>
      <x:c r="D502" s="16" t="str">
        <x:v>Ürün kaydı</x:v>
      </x:c>
      <x:c r="E502" s="16" t="str">
        <x:v>Kahve Ölçü Kaşığı ve Paket Klipsi | Gri</x:v>
      </x:c>
      <x:c r="F502" s="16" t="str">
        <x:v>Menşe belirtilmemiş</x:v>
      </x:c>
      <x:c r="G502" s="17" t="str">
        <x:v>Erişilemedi</x:v>
      </x:c>
      <x:c r="H502" s="16" t="str">
        <x:v>Erişilemedi</x:v>
      </x:c>
      <x:c r="I502" s="18" t="n">
        <x:v>0</x:v>
      </x:c>
      <x:c r="J502" s="18" t="str">
        <x:v>Erişilemedi</x:v>
      </x:c>
      <x:c r="K502" s="18" t="str">
        <x:f>IF(AND(ISNUMBER(G502),ISNUMBER(I502)),I502/G502*1000,"Erişilemedi")</x:f>
        <x:v>Erişilemedi</x:v>
      </x:c>
      <x:c r="L502" s="16" t="str">
        <x:v>Belirsiz</x:v>
      </x:c>
      <x:c r="M502" s="16" t="str">
        <x:v>Kahve ürünü</x:v>
      </x:c>
      <x:c r="N502" s="16" t="str">
        <x:v>Site haritası ürün sayfası</x:v>
      </x:c>
      <x:c r="O502" s="16" t="str">
        <x:v>Düşük</x:v>
      </x:c>
      <x:c r="P502" s="19" t="n">
        <x:v>46245</x:v>
      </x:c>
      <x:c r="Q502" s="20" t="str">
        <x:v>https://www.coffeeproject.com.tr/kahve-olcu-kasigi-ve-paket-klipsi-gri</x:v>
      </x:c>
      <x:c r="R502" s="20" t="str">
        <x:v>Ürün kimliği korundu; eksik alanlar erişilemedi olarak işaretlenecek.</x:v>
      </x:c>
    </x:row>
    <x:row r="503" ht="40" customHeight="1">
      <x:c r="A503" s="16" t="str">
        <x:v>Coffee Project</x:v>
      </x:c>
      <x:c r="B503" s="16" t="str">
        <x:v>Ankara</x:v>
      </x:c>
      <x:c r="C503" s="16" t="str">
        <x:v>Doğrulandı</x:v>
      </x:c>
      <x:c r="D503" s="16" t="str">
        <x:v>Ürün kaydı</x:v>
      </x:c>
      <x:c r="E503" s="16" t="str">
        <x:v>Kahve Tamper - Ahşap Saplı | 58 mm</x:v>
      </x:c>
      <x:c r="F503" s="16" t="str">
        <x:v>Menşe belirtilmemiş</x:v>
      </x:c>
      <x:c r="G503" s="17" t="str">
        <x:v>Erişilemedi</x:v>
      </x:c>
      <x:c r="H503" s="16" t="str">
        <x:v>Erişilemedi</x:v>
      </x:c>
      <x:c r="I503" s="18" t="n">
        <x:v>0</x:v>
      </x:c>
      <x:c r="J503" s="18" t="str">
        <x:v>Erişilemedi</x:v>
      </x:c>
      <x:c r="K503" s="18" t="str">
        <x:f>IF(AND(ISNUMBER(G503),ISNUMBER(I503)),I503/G503*1000,"Erişilemedi")</x:f>
        <x:v>Erişilemedi</x:v>
      </x:c>
      <x:c r="L503" s="16" t="str">
        <x:v>Belirsiz</x:v>
      </x:c>
      <x:c r="M503" s="16" t="str">
        <x:v>Kahve ürünü</x:v>
      </x:c>
      <x:c r="N503" s="16" t="str">
        <x:v>Site haritası ürün sayfası</x:v>
      </x:c>
      <x:c r="O503" s="16" t="str">
        <x:v>Düşük</x:v>
      </x:c>
      <x:c r="P503" s="19" t="n">
        <x:v>46245</x:v>
      </x:c>
      <x:c r="Q503" s="20" t="str">
        <x:v>https://www.coffeeproject.com.tr/kahve-tamper-ahsap-sapli-58-mm-562</x:v>
      </x:c>
      <x:c r="R503" s="20" t="str">
        <x:v>Ürün kimliği korundu; eksik alanlar erişilemedi olarak işaretlenecek.</x:v>
      </x:c>
    </x:row>
    <x:row r="504" ht="40" customHeight="1">
      <x:c r="A504" s="16" t="str">
        <x:v>Coffee Project</x:v>
      </x:c>
      <x:c r="B504" s="16" t="str">
        <x:v>Ankara</x:v>
      </x:c>
      <x:c r="C504" s="16" t="str">
        <x:v>Doğrulandı</x:v>
      </x:c>
      <x:c r="D504" s="16" t="str">
        <x:v>Ürün kaydı</x:v>
      </x:c>
      <x:c r="E504" s="16" t="str">
        <x:v>Kahve Tamper - Alüminyum Saplı | 58 mm</x:v>
      </x:c>
      <x:c r="F504" s="16" t="str">
        <x:v>Menşe belirtilmemiş</x:v>
      </x:c>
      <x:c r="G504" s="17" t="str">
        <x:v>Erişilemedi</x:v>
      </x:c>
      <x:c r="H504" s="16" t="str">
        <x:v>Erişilemedi</x:v>
      </x:c>
      <x:c r="I504" s="18" t="n">
        <x:v>0</x:v>
      </x:c>
      <x:c r="J504" s="18" t="str">
        <x:v>Erişilemedi</x:v>
      </x:c>
      <x:c r="K504" s="18" t="str">
        <x:f>IF(AND(ISNUMBER(G504),ISNUMBER(I504)),I504/G504*1000,"Erişilemedi")</x:f>
        <x:v>Erişilemedi</x:v>
      </x:c>
      <x:c r="L504" s="16" t="str">
        <x:v>Belirsiz</x:v>
      </x:c>
      <x:c r="M504" s="16" t="str">
        <x:v>Kahve ürünü</x:v>
      </x:c>
      <x:c r="N504" s="16" t="str">
        <x:v>Site haritası ürün sayfası</x:v>
      </x:c>
      <x:c r="O504" s="16" t="str">
        <x:v>Düşük</x:v>
      </x:c>
      <x:c r="P504" s="19" t="n">
        <x:v>46245</x:v>
      </x:c>
      <x:c r="Q504" s="20" t="str">
        <x:v>https://www.coffeeproject.com.tr/kahve-tamper-aluminyum-sapli-58-mm-561</x:v>
      </x:c>
      <x:c r="R504" s="20" t="str">
        <x:v>Ürün kimliği korundu; eksik alanlar erişilemedi olarak işaretlenecek.</x:v>
      </x:c>
    </x:row>
    <x:row r="505" ht="40" customHeight="1">
      <x:c r="A505" s="16" t="str">
        <x:v>Coffee Project</x:v>
      </x:c>
      <x:c r="B505" s="16" t="str">
        <x:v>Ankara</x:v>
      </x:c>
      <x:c r="C505" s="16" t="str">
        <x:v>Doğrulandı</x:v>
      </x:c>
      <x:c r="D505" s="16" t="str">
        <x:v>Ürün kaydı</x:v>
      </x:c>
      <x:c r="E505" s="16" t="str">
        <x:v>Kahve Tamper - Click Tamper Basınç Ayarlı | 58 mm</x:v>
      </x:c>
      <x:c r="F505" s="16" t="str">
        <x:v>Menşe belirtilmemiş</x:v>
      </x:c>
      <x:c r="G505" s="17" t="str">
        <x:v>Erişilemedi</x:v>
      </x:c>
      <x:c r="H505" s="16" t="str">
        <x:v>Erişilemedi</x:v>
      </x:c>
      <x:c r="I505" s="18" t="n">
        <x:v>0</x:v>
      </x:c>
      <x:c r="J505" s="18" t="str">
        <x:v>Erişilemedi</x:v>
      </x:c>
      <x:c r="K505" s="18" t="str">
        <x:f>IF(AND(ISNUMBER(G505),ISNUMBER(I505)),I505/G505*1000,"Erişilemedi")</x:f>
        <x:v>Erişilemedi</x:v>
      </x:c>
      <x:c r="L505" s="16" t="str">
        <x:v>Belirsiz</x:v>
      </x:c>
      <x:c r="M505" s="16" t="str">
        <x:v>Kahve ürünü</x:v>
      </x:c>
      <x:c r="N505" s="16" t="str">
        <x:v>Site haritası ürün sayfası</x:v>
      </x:c>
      <x:c r="O505" s="16" t="str">
        <x:v>Düşük</x:v>
      </x:c>
      <x:c r="P505" s="19" t="n">
        <x:v>46245</x:v>
      </x:c>
      <x:c r="Q505" s="20" t="str">
        <x:v>https://www.coffeeproject.com.tr/kahve-tamper-click-tamper-basinc-ayarli-58-mm-563</x:v>
      </x:c>
      <x:c r="R505" s="20" t="str">
        <x:v>Ürün kimliği korundu; eksik alanlar erişilemedi olarak işaretlenecek.</x:v>
      </x:c>
    </x:row>
    <x:row r="506" ht="40" customHeight="1">
      <x:c r="A506" s="16" t="str">
        <x:v>Coffee Project</x:v>
      </x:c>
      <x:c r="B506" s="16" t="str">
        <x:v>Ankara</x:v>
      </x:c>
      <x:c r="C506" s="16" t="str">
        <x:v>Doğrulandı</x:v>
      </x:c>
      <x:c r="D506" s="16" t="str">
        <x:v>Ürün kaydı</x:v>
      </x:c>
      <x:c r="E506" s="16" t="str">
        <x:v>Kapsül Kahve 8'li | Nespresso Uyumlu</x:v>
      </x:c>
      <x:c r="F506" s="16" t="str">
        <x:v>Menşe belirtilmemiş</x:v>
      </x:c>
      <x:c r="G506" s="17" t="str">
        <x:v>Erişilemedi</x:v>
      </x:c>
      <x:c r="H506" s="16" t="str">
        <x:v>Erişilemedi</x:v>
      </x:c>
      <x:c r="I506" s="18" t="n">
        <x:v>0</x:v>
      </x:c>
      <x:c r="J506" s="18" t="str">
        <x:v>Erişilemedi</x:v>
      </x:c>
      <x:c r="K506" s="18" t="str">
        <x:f>IF(AND(ISNUMBER(G506),ISNUMBER(I506)),I506/G506*1000,"Erişilemedi")</x:f>
        <x:v>Erişilemedi</x:v>
      </x:c>
      <x:c r="L506" s="16" t="str">
        <x:v>Belirsiz</x:v>
      </x:c>
      <x:c r="M506" s="16" t="str">
        <x:v>Kahve ürünü</x:v>
      </x:c>
      <x:c r="N506" s="16" t="str">
        <x:v>Site haritası ürün sayfası</x:v>
      </x:c>
      <x:c r="O506" s="16" t="str">
        <x:v>Düşük</x:v>
      </x:c>
      <x:c r="P506" s="19" t="n">
        <x:v>46245</x:v>
      </x:c>
      <x:c r="Q506" s="20" t="str">
        <x:v>https://www.coffeeproject.com.tr/urunlerimiz/kapsul-kahve</x:v>
      </x:c>
      <x:c r="R506" s="20" t="str">
        <x:v>Ürün kimliği korundu; eksik alanlar erişilemedi olarak işaretlenecek.</x:v>
      </x:c>
    </x:row>
    <x:row r="507" ht="40" customHeight="1">
      <x:c r="A507" s="16" t="str">
        <x:v>Coffee Project</x:v>
      </x:c>
      <x:c r="B507" s="16" t="str">
        <x:v>Ankara</x:v>
      </x:c>
      <x:c r="C507" s="16" t="str">
        <x:v>Doğrulandı</x:v>
      </x:c>
      <x:c r="D507" s="16" t="str">
        <x:v>Ürün kaydı</x:v>
      </x:c>
      <x:c r="E507" s="16" t="str">
        <x:v>Knockbox | Kahve Posası Temizleme Kutusu - Çelik</x:v>
      </x:c>
      <x:c r="F507" s="16" t="str">
        <x:v>Menşe belirtilmemiş</x:v>
      </x:c>
      <x:c r="G507" s="17" t="str">
        <x:v>Erişilemedi</x:v>
      </x:c>
      <x:c r="H507" s="16" t="str">
        <x:v>Erişilemedi</x:v>
      </x:c>
      <x:c r="I507" s="18" t="n">
        <x:v>0</x:v>
      </x:c>
      <x:c r="J507" s="18" t="str">
        <x:v>Erişilemedi</x:v>
      </x:c>
      <x:c r="K507" s="18" t="str">
        <x:f>IF(AND(ISNUMBER(G507),ISNUMBER(I507)),I507/G507*1000,"Erişilemedi")</x:f>
        <x:v>Erişilemedi</x:v>
      </x:c>
      <x:c r="L507" s="16" t="str">
        <x:v>Belirsiz</x:v>
      </x:c>
      <x:c r="M507" s="16" t="str">
        <x:v>Kahve ürünü</x:v>
      </x:c>
      <x:c r="N507" s="16" t="str">
        <x:v>Site haritası ürün sayfası</x:v>
      </x:c>
      <x:c r="O507" s="16" t="str">
        <x:v>Düşük</x:v>
      </x:c>
      <x:c r="P507" s="19" t="n">
        <x:v>46245</x:v>
      </x:c>
      <x:c r="Q507" s="20" t="str">
        <x:v>https://www.coffeeproject.com.tr/knockbox-kahve-posasi-temizleme-kutusu-celik-555</x:v>
      </x:c>
      <x:c r="R507" s="20" t="str">
        <x:v>Ürün kimliği korundu; eksik alanlar erişilemedi olarak işaretlenecek.</x:v>
      </x:c>
    </x:row>
    <x:row r="508" ht="40" customHeight="1">
      <x:c r="A508" s="16" t="str">
        <x:v>Coffee Project</x:v>
      </x:c>
      <x:c r="B508" s="16" t="str">
        <x:v>Ankara</x:v>
      </x:c>
      <x:c r="C508" s="16" t="str">
        <x:v>Doğrulandı</x:v>
      </x:c>
      <x:c r="D508" s="16" t="str">
        <x:v>Ürün kaydı</x:v>
      </x:c>
      <x:c r="E508" s="16" t="str">
        <x:v>Knockbox | Kahve Posası Temizleme Kutusu - Siyah Çelik</x:v>
      </x:c>
      <x:c r="F508" s="16" t="str">
        <x:v>Menşe belirtilmemiş</x:v>
      </x:c>
      <x:c r="G508" s="17" t="str">
        <x:v>Erişilemedi</x:v>
      </x:c>
      <x:c r="H508" s="16" t="str">
        <x:v>Erişilemedi</x:v>
      </x:c>
      <x:c r="I508" s="18" t="n">
        <x:v>0</x:v>
      </x:c>
      <x:c r="J508" s="18" t="str">
        <x:v>Erişilemedi</x:v>
      </x:c>
      <x:c r="K508" s="18" t="str">
        <x:f>IF(AND(ISNUMBER(G508),ISNUMBER(I508)),I508/G508*1000,"Erişilemedi")</x:f>
        <x:v>Erişilemedi</x:v>
      </x:c>
      <x:c r="L508" s="16" t="str">
        <x:v>Belirsiz</x:v>
      </x:c>
      <x:c r="M508" s="16" t="str">
        <x:v>Kahve ürünü</x:v>
      </x:c>
      <x:c r="N508" s="16" t="str">
        <x:v>Site haritası ürün sayfası</x:v>
      </x:c>
      <x:c r="O508" s="16" t="str">
        <x:v>Düşük</x:v>
      </x:c>
      <x:c r="P508" s="19" t="n">
        <x:v>46245</x:v>
      </x:c>
      <x:c r="Q508" s="20" t="str">
        <x:v>https://www.coffeeproject.com.tr/knockbox-kahve-posasi-temizleme-kutusu-siyah-celik-559</x:v>
      </x:c>
      <x:c r="R508" s="20" t="str">
        <x:v>Ürün kimliği korundu; eksik alanlar erişilemedi olarak işaretlenecek.</x:v>
      </x:c>
    </x:row>
    <x:row r="509" ht="40" customHeight="1">
      <x:c r="A509" s="16" t="str">
        <x:v>Coffee Project</x:v>
      </x:c>
      <x:c r="B509" s="16" t="str">
        <x:v>Ankara</x:v>
      </x:c>
      <x:c r="C509" s="16" t="str">
        <x:v>Doğrulandı</x:v>
      </x:c>
      <x:c r="D509" s="16" t="str">
        <x:v>Ürün kaydı</x:v>
      </x:c>
      <x:c r="E509" s="16" t="str">
        <x:v>Kumaş Kahve Filtresi | Doğa Dostu Doğal Bez 1x4</x:v>
      </x:c>
      <x:c r="F509" s="16" t="str">
        <x:v>Menşe belirtilmemiş</x:v>
      </x:c>
      <x:c r="G509" s="17" t="str">
        <x:v>Erişilemedi</x:v>
      </x:c>
      <x:c r="H509" s="16" t="str">
        <x:v>Erişilemedi</x:v>
      </x:c>
      <x:c r="I509" s="18" t="n">
        <x:v>0</x:v>
      </x:c>
      <x:c r="J509" s="18" t="str">
        <x:v>Erişilemedi</x:v>
      </x:c>
      <x:c r="K509" s="18" t="str">
        <x:f>IF(AND(ISNUMBER(G509),ISNUMBER(I509)),I509/G509*1000,"Erişilemedi")</x:f>
        <x:v>Erişilemedi</x:v>
      </x:c>
      <x:c r="L509" s="16" t="str">
        <x:v>Belirsiz</x:v>
      </x:c>
      <x:c r="M509" s="16" t="str">
        <x:v>Kahve ürünü</x:v>
      </x:c>
      <x:c r="N509" s="16" t="str">
        <x:v>Site haritası ürün sayfası</x:v>
      </x:c>
      <x:c r="O509" s="16" t="str">
        <x:v>Düşük</x:v>
      </x:c>
      <x:c r="P509" s="19" t="n">
        <x:v>46245</x:v>
      </x:c>
      <x:c r="Q509" s="20" t="str">
        <x:v>https://www.coffeeproject.com.tr/urunlerimiz/kumas-kahve-filtresi-dogal</x:v>
      </x:c>
      <x:c r="R509" s="20" t="str">
        <x:v>Ürün kimliği korundu; eksik alanlar erişilemedi olarak işaretlenecek.</x:v>
      </x:c>
    </x:row>
    <x:row r="510" ht="40" customHeight="1">
      <x:c r="A510" s="16" t="str">
        <x:v>Coffee Project</x:v>
      </x:c>
      <x:c r="B510" s="16" t="str">
        <x:v>Ankara</x:v>
      </x:c>
      <x:c r="C510" s="16" t="str">
        <x:v>Doğrulandı</x:v>
      </x:c>
      <x:c r="D510" s="16" t="str">
        <x:v>Ürün kaydı</x:v>
      </x:c>
      <x:c r="E510" s="16" t="str">
        <x:v>MoccaMaster Cam Pot 1,2 lt [Yedek]</x:v>
      </x:c>
      <x:c r="F510" s="16" t="str">
        <x:v>Menşe belirtilmemiş</x:v>
      </x:c>
      <x:c r="G510" s="17" t="str">
        <x:v>Erişilemedi</x:v>
      </x:c>
      <x:c r="H510" s="16" t="str">
        <x:v>Erişilemedi</x:v>
      </x:c>
      <x:c r="I510" s="18" t="n">
        <x:v>0</x:v>
      </x:c>
      <x:c r="J510" s="18" t="str">
        <x:v>Erişilemedi</x:v>
      </x:c>
      <x:c r="K510" s="18" t="str">
        <x:f>IF(AND(ISNUMBER(G510),ISNUMBER(I510)),I510/G510*1000,"Erişilemedi")</x:f>
        <x:v>Erişilemedi</x:v>
      </x:c>
      <x:c r="L510" s="16" t="str">
        <x:v>Belirsiz</x:v>
      </x:c>
      <x:c r="M510" s="16" t="str">
        <x:v>Kahve ürünü</x:v>
      </x:c>
      <x:c r="N510" s="16" t="str">
        <x:v>Site haritası ürün sayfası</x:v>
      </x:c>
      <x:c r="O510" s="16" t="str">
        <x:v>Düşük</x:v>
      </x:c>
      <x:c r="P510" s="19" t="n">
        <x:v>46245</x:v>
      </x:c>
      <x:c r="Q510" s="20" t="str">
        <x:v>https://www.coffeeproject.com.tr/moccamaster-cam-pot-12-lt-203</x:v>
      </x:c>
      <x:c r="R510" s="20" t="str">
        <x:v>Ürün kimliği korundu; eksik alanlar erişilemedi olarak işaretlenecek.</x:v>
      </x:c>
    </x:row>
    <x:row r="511" ht="40" customHeight="1">
      <x:c r="A511" s="16" t="str">
        <x:v>Coffee Project</x:v>
      </x:c>
      <x:c r="B511" s="16" t="str">
        <x:v>Ankara</x:v>
      </x:c>
      <x:c r="C511" s="16" t="str">
        <x:v>Doğrulandı</x:v>
      </x:c>
      <x:c r="D511" s="16" t="str">
        <x:v>Ürün kaydı</x:v>
      </x:c>
      <x:c r="E511" s="16" t="str">
        <x:v>Motta - Espresso Ölçü Bardağı</x:v>
      </x:c>
      <x:c r="F511" s="16" t="str">
        <x:v>Menşe belirtilmemiş</x:v>
      </x:c>
      <x:c r="G511" s="17" t="str">
        <x:v>Erişilemedi</x:v>
      </x:c>
      <x:c r="H511" s="16" t="str">
        <x:v>Erişilemedi</x:v>
      </x:c>
      <x:c r="I511" s="18" t="n">
        <x:v>0</x:v>
      </x:c>
      <x:c r="J511" s="18" t="str">
        <x:v>Erişilemedi</x:v>
      </x:c>
      <x:c r="K511" s="18" t="str">
        <x:f>IF(AND(ISNUMBER(G511),ISNUMBER(I511)),I511/G511*1000,"Erişilemedi")</x:f>
        <x:v>Erişilemedi</x:v>
      </x:c>
      <x:c r="L511" s="16" t="str">
        <x:v>Belirsiz</x:v>
      </x:c>
      <x:c r="M511" s="16" t="str">
        <x:v>Kahve ürünü</x:v>
      </x:c>
      <x:c r="N511" s="16" t="str">
        <x:v>Site haritası ürün sayfası</x:v>
      </x:c>
      <x:c r="O511" s="16" t="str">
        <x:v>Düşük</x:v>
      </x:c>
      <x:c r="P511" s="19" t="n">
        <x:v>46245</x:v>
      </x:c>
      <x:c r="Q511" s="20" t="str">
        <x:v>https://www.coffeeproject.com.tr/motta-olculu-espresso-bardagi</x:v>
      </x:c>
      <x:c r="R511" s="20" t="str">
        <x:v>Ürün kimliği korundu; eksik alanlar erişilemedi olarak işaretlenecek.</x:v>
      </x:c>
    </x:row>
    <x:row r="512" ht="40" customHeight="1">
      <x:c r="A512" s="16" t="str">
        <x:v>Coffee Project</x:v>
      </x:c>
      <x:c r="B512" s="16" t="str">
        <x:v>Ankara</x:v>
      </x:c>
      <x:c r="C512" s="16" t="str">
        <x:v>Doğrulandı</x:v>
      </x:c>
      <x:c r="D512" s="16" t="str">
        <x:v>Ürün kaydı</x:v>
      </x:c>
      <x:c r="E512" s="16" t="str">
        <x:v>Motta Kahve Düzleştirici - Distribütör OCD | 58 mm Siyah</x:v>
      </x:c>
      <x:c r="F512" s="16" t="str">
        <x:v>Menşe belirtilmemiş</x:v>
      </x:c>
      <x:c r="G512" s="17" t="str">
        <x:v>Erişilemedi</x:v>
      </x:c>
      <x:c r="H512" s="16" t="str">
        <x:v>Erişilemedi</x:v>
      </x:c>
      <x:c r="I512" s="18" t="n">
        <x:v>0</x:v>
      </x:c>
      <x:c r="J512" s="18" t="str">
        <x:v>Erişilemedi</x:v>
      </x:c>
      <x:c r="K512" s="18" t="str">
        <x:f>IF(AND(ISNUMBER(G512),ISNUMBER(I512)),I512/G512*1000,"Erişilemedi")</x:f>
        <x:v>Erişilemedi</x:v>
      </x:c>
      <x:c r="L512" s="16" t="str">
        <x:v>Belirsiz</x:v>
      </x:c>
      <x:c r="M512" s="16" t="str">
        <x:v>Kahve ürünü</x:v>
      </x:c>
      <x:c r="N512" s="16" t="str">
        <x:v>Site haritası ürün sayfası</x:v>
      </x:c>
      <x:c r="O512" s="16" t="str">
        <x:v>Düşük</x:v>
      </x:c>
      <x:c r="P512" s="19" t="n">
        <x:v>46245</x:v>
      </x:c>
      <x:c r="Q512" s="20" t="str">
        <x:v>https://www.coffeeproject.com.tr/motta-kahve-duzlestirici-distributor-ocd-58-mm-siyah</x:v>
      </x:c>
      <x:c r="R512" s="20" t="str">
        <x:v>Ürün kimliği korundu; eksik alanlar erişilemedi olarak işaretlenecek.</x:v>
      </x:c>
    </x:row>
    <x:row r="513" ht="40" customHeight="1">
      <x:c r="A513" s="16" t="str">
        <x:v>Coffee Project</x:v>
      </x:c>
      <x:c r="B513" s="16" t="str"/>
      <x:c r="C513" s="16" t="str">
        <x:v>Pilot doğrulaması</x:v>
      </x:c>
      <x:c r="D513" s="16" t="str">
        <x:v>Ürün kaydı</x:v>
      </x:c>
      <x:c r="E513" s="16" t="str">
        <x:v>Peru Decaf</x:v>
      </x:c>
      <x:c r="F513" s="16" t="str">
        <x:v>Peru</x:v>
      </x:c>
      <x:c r="G513" s="17" t="n">
        <x:v>250</x:v>
      </x:c>
      <x:c r="H513" s="16" t="str">
        <x:v>Erişildi</x:v>
      </x:c>
      <x:c r="I513" s="18" t="n">
        <x:v>1075.45</x:v>
      </x:c>
      <x:c r="J513" s="18" t="str">
        <x:v>Erişildi</x:v>
      </x:c>
      <x:c r="K513" s="18" t="n">
        <x:f>IF(AND(ISNUMBER(G513),ISNUMBER(I513)),I513/G513*1000,"Erişilemedi")</x:f>
        <x:v>4301.8</x:v>
      </x:c>
      <x:c r="L513" s="16" t="str">
        <x:v>Stokta</x:v>
      </x:c>
      <x:c r="M513" s="16" t="str">
        <x:v>Tek köken</x:v>
      </x:c>
      <x:c r="N513" s="16" t="str">
        <x:v>Pilot manuel/API doğrulaması</x:v>
      </x:c>
      <x:c r="O513" s="16" t="str">
        <x:v>Yüksek</x:v>
      </x:c>
      <x:c r="P513" s="19" t="n">
        <x:v>46245</x:v>
      </x:c>
      <x:c r="Q513" s="20" t="str">
        <x:v>https://www.coffeeproject.com.tr/urun-kategori/kahveler</x:v>
      </x:c>
      <x:c r="R513" s="20" t="str"/>
    </x:row>
    <x:row r="514" ht="40" customHeight="1">
      <x:c r="A514" s="16" t="str">
        <x:v>Coffee Project</x:v>
      </x:c>
      <x:c r="B514" s="16" t="str">
        <x:v>Ankara</x:v>
      </x:c>
      <x:c r="C514" s="16" t="str">
        <x:v>Doğrulandı</x:v>
      </x:c>
      <x:c r="D514" s="16" t="str">
        <x:v>Ürün kaydı</x:v>
      </x:c>
      <x:c r="E514" s="16" t="str">
        <x:v>Peru, Kafeinsiz Kahve (Decaf)</x:v>
      </x:c>
      <x:c r="F514" s="16" t="str">
        <x:v>Peru</x:v>
      </x:c>
      <x:c r="G514" s="17" t="str">
        <x:v>Erişilemedi</x:v>
      </x:c>
      <x:c r="H514" s="16" t="str">
        <x:v>Erişilemedi</x:v>
      </x:c>
      <x:c r="I514" s="18" t="n">
        <x:v>0</x:v>
      </x:c>
      <x:c r="J514" s="18" t="str">
        <x:v>Erişilemedi</x:v>
      </x:c>
      <x:c r="K514" s="18" t="str">
        <x:f>IF(AND(ISNUMBER(G514),ISNUMBER(I514)),I514/G514*1000,"Erişilemedi")</x:f>
        <x:v>Erişilemedi</x:v>
      </x:c>
      <x:c r="L514" s="16" t="str">
        <x:v>Belirsiz</x:v>
      </x:c>
      <x:c r="M514" s="16" t="str">
        <x:v>Kahve ürünü</x:v>
      </x:c>
      <x:c r="N514" s="16" t="str">
        <x:v>Site haritası ürün sayfası</x:v>
      </x:c>
      <x:c r="O514" s="16" t="str">
        <x:v>Düşük</x:v>
      </x:c>
      <x:c r="P514" s="19" t="n">
        <x:v>46245</x:v>
      </x:c>
      <x:c r="Q514" s="20" t="str">
        <x:v>https://www.coffeeproject.com.tr/kahveler/peru-kafeinsiz-kahve-decaf</x:v>
      </x:c>
      <x:c r="R514" s="20" t="str">
        <x:v>Ürün kimliği korundu; eksik alanlar erişilemedi olarak işaretlenecek.</x:v>
      </x:c>
    </x:row>
    <x:row r="515" ht="40" customHeight="1">
      <x:c r="A515" s="16" t="str">
        <x:v>Coffee Project</x:v>
      </x:c>
      <x:c r="B515" s="16" t="str">
        <x:v>Ankara</x:v>
      </x:c>
      <x:c r="C515" s="16" t="str">
        <x:v>Doğrulandı</x:v>
      </x:c>
      <x:c r="D515" s="16" t="str">
        <x:v>Ürün kaydı</x:v>
      </x:c>
      <x:c r="E515" s="16" t="str">
        <x:v>Profesyonel Dijital Süt Termometresi</x:v>
      </x:c>
      <x:c r="F515" s="16" t="str">
        <x:v>Menşe belirtilmemiş</x:v>
      </x:c>
      <x:c r="G515" s="17" t="str">
        <x:v>Erişilemedi</x:v>
      </x:c>
      <x:c r="H515" s="16" t="str">
        <x:v>Erişilemedi</x:v>
      </x:c>
      <x:c r="I515" s="18" t="n">
        <x:v>0</x:v>
      </x:c>
      <x:c r="J515" s="18" t="str">
        <x:v>Erişilemedi</x:v>
      </x:c>
      <x:c r="K515" s="18" t="str">
        <x:f>IF(AND(ISNUMBER(G515),ISNUMBER(I515)),I515/G515*1000,"Erişilemedi")</x:f>
        <x:v>Erişilemedi</x:v>
      </x:c>
      <x:c r="L515" s="16" t="str">
        <x:v>Belirsiz</x:v>
      </x:c>
      <x:c r="M515" s="16" t="str">
        <x:v>Kahve ürünü</x:v>
      </x:c>
      <x:c r="N515" s="16" t="str">
        <x:v>Site haritası ürün sayfası</x:v>
      </x:c>
      <x:c r="O515" s="16" t="str">
        <x:v>Düşük</x:v>
      </x:c>
      <x:c r="P515" s="19" t="n">
        <x:v>46245</x:v>
      </x:c>
      <x:c r="Q515" s="20" t="str">
        <x:v>https://www.coffeeproject.com.tr/dijital-sut-termometresi</x:v>
      </x:c>
      <x:c r="R515" s="20" t="str">
        <x:v>Ürün kimliği korundu; eksik alanlar erişilemedi olarak işaretlenecek.</x:v>
      </x:c>
    </x:row>
    <x:row r="516" ht="40" customHeight="1">
      <x:c r="A516" s="16" t="str">
        <x:v>Coffee Project</x:v>
      </x:c>
      <x:c r="B516" s="16" t="str"/>
      <x:c r="C516" s="16" t="str">
        <x:v>Pilot doğrulaması</x:v>
      </x:c>
      <x:c r="D516" s="16" t="str">
        <x:v>Ürün kaydı</x:v>
      </x:c>
      <x:c r="E516" s="16" t="str">
        <x:v>Rwanda Kula</x:v>
      </x:c>
      <x:c r="F516" s="16" t="str">
        <x:v>Ruanda</x:v>
      </x:c>
      <x:c r="G516" s="17" t="n">
        <x:v>250</x:v>
      </x:c>
      <x:c r="H516" s="16" t="str">
        <x:v>Erişildi</x:v>
      </x:c>
      <x:c r="I516" s="18" t="n">
        <x:v>726</x:v>
      </x:c>
      <x:c r="J516" s="18" t="str">
        <x:v>Erişildi</x:v>
      </x:c>
      <x:c r="K516" s="18" t="n">
        <x:f>IF(AND(ISNUMBER(G516),ISNUMBER(I516)),I516/G516*1000,"Erişilemedi")</x:f>
        <x:v>2904</x:v>
      </x:c>
      <x:c r="L516" s="16" t="str">
        <x:v>Stokta</x:v>
      </x:c>
      <x:c r="M516" s="16" t="str">
        <x:v>Tek köken</x:v>
      </x:c>
      <x:c r="N516" s="16" t="str">
        <x:v>Pilot manuel/API doğrulaması</x:v>
      </x:c>
      <x:c r="O516" s="16" t="str">
        <x:v>Yüksek</x:v>
      </x:c>
      <x:c r="P516" s="19" t="n">
        <x:v>46245</x:v>
      </x:c>
      <x:c r="Q516" s="20" t="str">
        <x:v>https://www.coffeeproject.com.tr/urun-kategori/kahveler</x:v>
      </x:c>
      <x:c r="R516" s="20" t="str"/>
    </x:row>
    <x:row r="517" ht="40" customHeight="1">
      <x:c r="A517" s="16" t="str">
        <x:v>Coffee Project</x:v>
      </x:c>
      <x:c r="B517" s="16" t="str">
        <x:v>Ankara</x:v>
      </x:c>
      <x:c r="C517" s="16" t="str">
        <x:v>Doğrulandı</x:v>
      </x:c>
      <x:c r="D517" s="16" t="str">
        <x:v>Ürün kaydı</x:v>
      </x:c>
      <x:c r="E517" s="16" t="str">
        <x:v>Tamper Matı Bir Gözlü Bir Yuvalı | Kokusuz Silikon</x:v>
      </x:c>
      <x:c r="F517" s="16" t="str">
        <x:v>Menşe belirtilmemiş</x:v>
      </x:c>
      <x:c r="G517" s="17" t="str">
        <x:v>Erişilemedi</x:v>
      </x:c>
      <x:c r="H517" s="16" t="str">
        <x:v>Erişilemedi</x:v>
      </x:c>
      <x:c r="I517" s="18" t="n">
        <x:v>0</x:v>
      </x:c>
      <x:c r="J517" s="18" t="str">
        <x:v>Erişilemedi</x:v>
      </x:c>
      <x:c r="K517" s="18" t="str">
        <x:f>IF(AND(ISNUMBER(G517),ISNUMBER(I517)),I517/G517*1000,"Erişilemedi")</x:f>
        <x:v>Erişilemedi</x:v>
      </x:c>
      <x:c r="L517" s="16" t="str">
        <x:v>Belirsiz</x:v>
      </x:c>
      <x:c r="M517" s="16" t="str">
        <x:v>Kahve ürünü</x:v>
      </x:c>
      <x:c r="N517" s="16" t="str">
        <x:v>Site haritası ürün sayfası</x:v>
      </x:c>
      <x:c r="O517" s="16" t="str">
        <x:v>Düşük</x:v>
      </x:c>
      <x:c r="P517" s="19" t="n">
        <x:v>46245</x:v>
      </x:c>
      <x:c r="Q517" s="20" t="str">
        <x:v>https://www.coffeeproject.com.tr/tamper-mati-bir-gozlu-bir-yuvali-kokusuz-silikon-557</x:v>
      </x:c>
      <x:c r="R517" s="20" t="str">
        <x:v>Ürün kimliği korundu; eksik alanlar erişilemedi olarak işaretlenecek.</x:v>
      </x:c>
    </x:row>
    <x:row r="518" ht="40" customHeight="1">
      <x:c r="A518" s="16" t="str">
        <x:v>Coffee Project</x:v>
      </x:c>
      <x:c r="B518" s="16" t="str">
        <x:v>Ankara</x:v>
      </x:c>
      <x:c r="C518" s="16" t="str">
        <x:v>Doğrulandı</x:v>
      </x:c>
      <x:c r="D518" s="16" t="str">
        <x:v>Ürün kaydı</x:v>
      </x:c>
      <x:c r="E518" s="16" t="str">
        <x:v>Tamper Matı İki Gözlü İki Yuvalı | Kokusuz Silikon</x:v>
      </x:c>
      <x:c r="F518" s="16" t="str">
        <x:v>Menşe belirtilmemiş</x:v>
      </x:c>
      <x:c r="G518" s="17" t="str">
        <x:v>Erişilemedi</x:v>
      </x:c>
      <x:c r="H518" s="16" t="str">
        <x:v>Erişilemedi</x:v>
      </x:c>
      <x:c r="I518" s="18" t="n">
        <x:v>0</x:v>
      </x:c>
      <x:c r="J518" s="18" t="str">
        <x:v>Erişilemedi</x:v>
      </x:c>
      <x:c r="K518" s="18" t="str">
        <x:f>IF(AND(ISNUMBER(G518),ISNUMBER(I518)),I518/G518*1000,"Erişilemedi")</x:f>
        <x:v>Erişilemedi</x:v>
      </x:c>
      <x:c r="L518" s="16" t="str">
        <x:v>Belirsiz</x:v>
      </x:c>
      <x:c r="M518" s="16" t="str">
        <x:v>Kahve ürünü</x:v>
      </x:c>
      <x:c r="N518" s="16" t="str">
        <x:v>Site haritası ürün sayfası</x:v>
      </x:c>
      <x:c r="O518" s="16" t="str">
        <x:v>Düşük</x:v>
      </x:c>
      <x:c r="P518" s="19" t="n">
        <x:v>46245</x:v>
      </x:c>
      <x:c r="Q518" s="20" t="str">
        <x:v>https://www.coffeeproject.com.tr/tamper-mati-iki-gozlu-iki-yuvali-kokusuz-silikon-556</x:v>
      </x:c>
      <x:c r="R518" s="20" t="str">
        <x:v>Ürün kimliği korundu; eksik alanlar erişilemedi olarak işaretlenecek.</x:v>
      </x:c>
    </x:row>
    <x:row r="519" ht="40" customHeight="1">
      <x:c r="A519" s="16" t="str">
        <x:v>Coffee Project</x:v>
      </x:c>
      <x:c r="B519" s="16" t="str"/>
      <x:c r="C519" s="16" t="str">
        <x:v>Pilot doğrulaması</x:v>
      </x:c>
      <x:c r="D519" s="16" t="str">
        <x:v>Ürün kaydı</x:v>
      </x:c>
      <x:c r="E519" s="16" t="str">
        <x:v>Tanzanya Kilimanjaro</x:v>
      </x:c>
      <x:c r="F519" s="16" t="str">
        <x:v>Tanzanya</x:v>
      </x:c>
      <x:c r="G519" s="17" t="n">
        <x:v>250</x:v>
      </x:c>
      <x:c r="H519" s="16" t="str">
        <x:v>Erişildi</x:v>
      </x:c>
      <x:c r="I519" s="18" t="n">
        <x:v>968</x:v>
      </x:c>
      <x:c r="J519" s="18" t="str">
        <x:v>Erişildi</x:v>
      </x:c>
      <x:c r="K519" s="18" t="n">
        <x:f>IF(AND(ISNUMBER(G519),ISNUMBER(I519)),I519/G519*1000,"Erişilemedi")</x:f>
        <x:v>3872</x:v>
      </x:c>
      <x:c r="L519" s="16" t="str">
        <x:v>Stokta</x:v>
      </x:c>
      <x:c r="M519" s="16" t="str">
        <x:v>Tek köken</x:v>
      </x:c>
      <x:c r="N519" s="16" t="str">
        <x:v>Pilot manuel/API doğrulaması</x:v>
      </x:c>
      <x:c r="O519" s="16" t="str">
        <x:v>Yüksek</x:v>
      </x:c>
      <x:c r="P519" s="19" t="n">
        <x:v>46245</x:v>
      </x:c>
      <x:c r="Q519" s="20" t="str">
        <x:v>https://www.coffeeproject.com.tr/urun-kategori/kahveler</x:v>
      </x:c>
      <x:c r="R519" s="20" t="str"/>
    </x:row>
    <x:row r="520" ht="40" customHeight="1">
      <x:c r="A520" s="16" t="str">
        <x:v>Coffee Project</x:v>
      </x:c>
      <x:c r="B520" s="16" t="str">
        <x:v>Ankara</x:v>
      </x:c>
      <x:c r="C520" s="16" t="str">
        <x:v>Doğrulandı</x:v>
      </x:c>
      <x:c r="D520" s="16" t="str">
        <x:v>Ürün kaydı</x:v>
      </x:c>
      <x:c r="E520" s="16" t="str">
        <x:v>Tanzanya, Klimanjaro</x:v>
      </x:c>
      <x:c r="F520" s="16" t="str">
        <x:v>Tanzanya</x:v>
      </x:c>
      <x:c r="G520" s="17" t="str">
        <x:v>Erişilemedi</x:v>
      </x:c>
      <x:c r="H520" s="16" t="str">
        <x:v>Erişilemedi</x:v>
      </x:c>
      <x:c r="I520" s="18" t="n">
        <x:v>0</x:v>
      </x:c>
      <x:c r="J520" s="18" t="str">
        <x:v>Erişilemedi</x:v>
      </x:c>
      <x:c r="K520" s="18" t="str">
        <x:f>IF(AND(ISNUMBER(G520),ISNUMBER(I520)),I520/G520*1000,"Erişilemedi")</x:f>
        <x:v>Erişilemedi</x:v>
      </x:c>
      <x:c r="L520" s="16" t="str">
        <x:v>Belirsiz</x:v>
      </x:c>
      <x:c r="M520" s="16" t="str">
        <x:v>Kahve ürünü</x:v>
      </x:c>
      <x:c r="N520" s="16" t="str">
        <x:v>Site haritası ürün sayfası</x:v>
      </x:c>
      <x:c r="O520" s="16" t="str">
        <x:v>Düşük</x:v>
      </x:c>
      <x:c r="P520" s="19" t="n">
        <x:v>46245</x:v>
      </x:c>
      <x:c r="Q520" s="20" t="str">
        <x:v>https://www.coffeeproject.com.tr/kahveler/tanzanya-klimanjaro</x:v>
      </x:c>
      <x:c r="R520" s="20" t="str">
        <x:v>Ürün kimliği korundu; eksik alanlar erişilemedi olarak işaretlenecek.</x:v>
      </x:c>
    </x:row>
    <x:row r="521" ht="40" customHeight="1">
      <x:c r="A521" s="16" t="str">
        <x:v>Coffee Project</x:v>
      </x:c>
      <x:c r="B521" s="16" t="str"/>
      <x:c r="C521" s="16" t="str">
        <x:v>Pilot doğrulaması</x:v>
      </x:c>
      <x:c r="D521" s="16" t="str">
        <x:v>Ürün kaydı</x:v>
      </x:c>
      <x:c r="E521" s="16" t="str">
        <x:v>This Is It Espresso</x:v>
      </x:c>
      <x:c r="F521" s="16" t="str">
        <x:v>Harman – menşe belirtilmemiş</x:v>
      </x:c>
      <x:c r="G521" s="17" t="n">
        <x:v>250</x:v>
      </x:c>
      <x:c r="H521" s="16" t="str">
        <x:v>Erişildi</x:v>
      </x:c>
      <x:c r="I521" s="18" t="n">
        <x:v>597</x:v>
      </x:c>
      <x:c r="J521" s="18" t="str">
        <x:v>Erişildi</x:v>
      </x:c>
      <x:c r="K521" s="18" t="n">
        <x:f>IF(AND(ISNUMBER(G521),ISNUMBER(I521)),I521/G521*1000,"Erişilemedi")</x:f>
        <x:v>2388</x:v>
      </x:c>
      <x:c r="L521" s="16" t="str">
        <x:v>Stokta</x:v>
      </x:c>
      <x:c r="M521" s="16" t="str">
        <x:v>Harman</x:v>
      </x:c>
      <x:c r="N521" s="16" t="str">
        <x:v>Pilot manuel/API doğrulaması</x:v>
      </x:c>
      <x:c r="O521" s="16" t="str">
        <x:v>Yüksek</x:v>
      </x:c>
      <x:c r="P521" s="19" t="n">
        <x:v>46245</x:v>
      </x:c>
      <x:c r="Q521" s="20" t="str">
        <x:v>https://www.coffeeproject.com.tr/urun-kategori/kahveler</x:v>
      </x:c>
      <x:c r="R521" s="20" t="str"/>
    </x:row>
    <x:row r="522" ht="40" customHeight="1">
      <x:c r="A522" s="16" t="str">
        <x:v>Coffee Project</x:v>
      </x:c>
      <x:c r="B522" s="16" t="str">
        <x:v>Ankara</x:v>
      </x:c>
      <x:c r="C522" s="16" t="str">
        <x:v>Doğrulandı</x:v>
      </x:c>
      <x:c r="D522" s="16" t="str">
        <x:v>Ürün kaydı</x:v>
      </x:c>
      <x:c r="E522" s="16" t="str">
        <x:v>This Is It, Espresso Coffee</x:v>
      </x:c>
      <x:c r="F522" s="16" t="str">
        <x:v>Menşe belirtilmemiş</x:v>
      </x:c>
      <x:c r="G522" s="17" t="str">
        <x:v>Erişilemedi</x:v>
      </x:c>
      <x:c r="H522" s="16" t="str">
        <x:v>Erişilemedi</x:v>
      </x:c>
      <x:c r="I522" s="18" t="n">
        <x:v>0</x:v>
      </x:c>
      <x:c r="J522" s="18" t="str">
        <x:v>Erişilemedi</x:v>
      </x:c>
      <x:c r="K522" s="18" t="str">
        <x:f>IF(AND(ISNUMBER(G522),ISNUMBER(I522)),I522/G522*1000,"Erişilemedi")</x:f>
        <x:v>Erişilemedi</x:v>
      </x:c>
      <x:c r="L522" s="16" t="str">
        <x:v>Belirsiz</x:v>
      </x:c>
      <x:c r="M522" s="16" t="str">
        <x:v>Kahve ürünü</x:v>
      </x:c>
      <x:c r="N522" s="16" t="str">
        <x:v>Site haritası ürün sayfası</x:v>
      </x:c>
      <x:c r="O522" s="16" t="str">
        <x:v>Düşük</x:v>
      </x:c>
      <x:c r="P522" s="19" t="n">
        <x:v>46245</x:v>
      </x:c>
      <x:c r="Q522" s="20" t="str">
        <x:v>https://www.coffeeproject.com.tr/kahveler/this-is-it-espresso-coffee</x:v>
      </x:c>
      <x:c r="R522" s="20" t="str">
        <x:v>Ürün kimliği korundu; eksik alanlar erişilemedi olarak işaretlenecek.</x:v>
      </x:c>
    </x:row>
    <x:row r="523" ht="40" customHeight="1">
      <x:c r="A523" s="16" t="str">
        <x:v>Coffee Project</x:v>
      </x:c>
      <x:c r="B523" s="16" t="str">
        <x:v>Ankara</x:v>
      </x:c>
      <x:c r="C523" s="16" t="str">
        <x:v>Doğrulandı</x:v>
      </x:c>
      <x:c r="D523" s="16" t="str">
        <x:v>Ürün kaydı</x:v>
      </x:c>
      <x:c r="E523" s="16" t="str">
        <x:v>This Is It, Espresso Coffee (Toptan)</x:v>
      </x:c>
      <x:c r="F523" s="16" t="str">
        <x:v>Menşe belirtilmemiş</x:v>
      </x:c>
      <x:c r="G523" s="17" t="n">
        <x:v>1000</x:v>
      </x:c>
      <x:c r="H523" s="16" t="str">
        <x:v>Erişildi</x:v>
      </x:c>
      <x:c r="I523" s="18" t="n">
        <x:v>0</x:v>
      </x:c>
      <x:c r="J523" s="18" t="str">
        <x:v>Erişilemedi</x:v>
      </x:c>
      <x:c r="K523" s="18" t="n">
        <x:f>IF(AND(ISNUMBER(G523),ISNUMBER(I523)),I523/G523*1000,"Erişilemedi")</x:f>
        <x:v>0</x:v>
      </x:c>
      <x:c r="L523" s="16" t="str">
        <x:v>Belirsiz</x:v>
      </x:c>
      <x:c r="M523" s="16" t="str">
        <x:v>Kahve ürünü</x:v>
      </x:c>
      <x:c r="N523" s="16" t="str">
        <x:v>Site haritası ürün sayfası</x:v>
      </x:c>
      <x:c r="O523" s="16" t="str">
        <x:v>Düşük</x:v>
      </x:c>
      <x:c r="P523" s="19" t="n">
        <x:v>46245</x:v>
      </x:c>
      <x:c r="Q523" s="20" t="str">
        <x:v>https://www.coffeeproject.com.tr/this-is-it-espresso-coffee-toptan</x:v>
      </x:c>
      <x:c r="R523" s="20" t="str">
        <x:v>Ürün kimliği korundu; eksik alanlar erişilemedi olarak işaretlenecek.</x:v>
      </x:c>
    </x:row>
    <x:row r="524" ht="40" customHeight="1">
      <x:c r="A524" s="16" t="str">
        <x:v>Coffee Project</x:v>
      </x:c>
      <x:c r="B524" s="16" t="str"/>
      <x:c r="C524" s="16" t="str">
        <x:v>Pilot doğrulaması</x:v>
      </x:c>
      <x:c r="D524" s="16" t="str">
        <x:v>Ürün kaydı</x:v>
      </x:c>
      <x:c r="E524" s="16" t="str">
        <x:v>Türk Kahvesi</x:v>
      </x:c>
      <x:c r="F524" s="16" t="str">
        <x:v>Türkiye (ürün sayfası beyanı)</x:v>
      </x:c>
      <x:c r="G524" s="17" t="n">
        <x:v>250</x:v>
      </x:c>
      <x:c r="H524" s="16" t="str">
        <x:v>Erişildi</x:v>
      </x:c>
      <x:c r="I524" s="18" t="n">
        <x:v>425</x:v>
      </x:c>
      <x:c r="J524" s="18" t="str">
        <x:v>Erişildi</x:v>
      </x:c>
      <x:c r="K524" s="18" t="n">
        <x:f>IF(AND(ISNUMBER(G524),ISNUMBER(I524)),I524/G524*1000,"Erişilemedi")</x:f>
        <x:v>1700</x:v>
      </x:c>
      <x:c r="L524" s="16" t="str">
        <x:v>Stokta</x:v>
      </x:c>
      <x:c r="M524" s="16" t="str">
        <x:v>Türk kahvesi</x:v>
      </x:c>
      <x:c r="N524" s="16" t="str">
        <x:v>Pilot manuel/API doğrulaması</x:v>
      </x:c>
      <x:c r="O524" s="16" t="str">
        <x:v>Yüksek</x:v>
      </x:c>
      <x:c r="P524" s="19" t="n">
        <x:v>46245</x:v>
      </x:c>
      <x:c r="Q524" s="20" t="str">
        <x:v>https://www.coffeeproject.com.tr/urun-kategori/kahveler</x:v>
      </x:c>
      <x:c r="R524" s="20" t="str"/>
    </x:row>
    <x:row r="525" ht="40" customHeight="1">
      <x:c r="A525" s="16" t="str">
        <x:v>Coffee Project</x:v>
      </x:c>
      <x:c r="B525" s="16" t="str">
        <x:v>Ankara</x:v>
      </x:c>
      <x:c r="C525" s="16" t="str">
        <x:v>Doğrulandı</x:v>
      </x:c>
      <x:c r="D525" s="16" t="str">
        <x:v>Ürün kaydı</x:v>
      </x:c>
      <x:c r="E525" s="16" t="str">
        <x:v>Türk Kahvesi – Turkish Coffee</x:v>
      </x:c>
      <x:c r="F525" s="16" t="str">
        <x:v>Menşe belirtilmemiş</x:v>
      </x:c>
      <x:c r="G525" s="17" t="str">
        <x:v>Erişilemedi</x:v>
      </x:c>
      <x:c r="H525" s="16" t="str">
        <x:v>Erişilemedi</x:v>
      </x:c>
      <x:c r="I525" s="18" t="n">
        <x:v>0</x:v>
      </x:c>
      <x:c r="J525" s="18" t="str">
        <x:v>Erişilemedi</x:v>
      </x:c>
      <x:c r="K525" s="18" t="str">
        <x:f>IF(AND(ISNUMBER(G525),ISNUMBER(I525)),I525/G525*1000,"Erişilemedi")</x:f>
        <x:v>Erişilemedi</x:v>
      </x:c>
      <x:c r="L525" s="16" t="str">
        <x:v>Belirsiz</x:v>
      </x:c>
      <x:c r="M525" s="16" t="str">
        <x:v>Kahve ürünü</x:v>
      </x:c>
      <x:c r="N525" s="16" t="str">
        <x:v>Site haritası ürün sayfası</x:v>
      </x:c>
      <x:c r="O525" s="16" t="str">
        <x:v>Düşük</x:v>
      </x:c>
      <x:c r="P525" s="19" t="n">
        <x:v>46245</x:v>
      </x:c>
      <x:c r="Q525" s="20" t="str">
        <x:v>https://www.coffeeproject.com.tr/turk-kahvesi-turkish-coffee</x:v>
      </x:c>
      <x:c r="R525" s="20" t="str">
        <x:v>Ürün kimliği korundu; eksik alanlar erişilemedi olarak işaretlenecek.</x:v>
      </x:c>
    </x:row>
    <x:row r="526" ht="40" customHeight="1">
      <x:c r="A526" s="16" t="str">
        <x:v>Coffee Sapiens</x:v>
      </x:c>
      <x:c r="B526" s="16" t="str">
        <x:v>İstanbul</x:v>
      </x:c>
      <x:c r="C526" s="16" t="str">
        <x:v>Doğrulandı</x:v>
      </x:c>
      <x:c r="D526" s="16" t="str">
        <x:v>Katalog takip kaydı</x:v>
      </x:c>
      <x:c r="E526" s="16" t="str">
        <x:v>Ürün kataloğu — ayrıntılı ürün verisine erişilemedi</x:v>
      </x:c>
      <x:c r="F526" s="16" t="str">
        <x:v>Erişilemedi</x:v>
      </x:c>
      <x:c r="G526" s="17" t="str">
        <x:v>Erişilemedi</x:v>
      </x:c>
      <x:c r="H526" s="16" t="str">
        <x:v>Erişilemedi</x:v>
      </x:c>
      <x:c r="I526" s="18" t="str">
        <x:v>Erişilemedi</x:v>
      </x:c>
      <x:c r="J526" s="18" t="str">
        <x:v>Erişilemedi</x:v>
      </x:c>
      <x:c r="K526" s="18" t="str">
        <x:f>IF(AND(ISNUMBER(G526),ISNUMBER(I526)),I526/G526*1000,"Erişilemedi")</x:f>
        <x:v>Erişilemedi</x:v>
      </x:c>
      <x:c r="L526" s="16" t="str">
        <x:v>Erişilemedi</x:v>
      </x:c>
      <x:c r="M526" s="16" t="str">
        <x:v>Katalog/takip kaydı</x:v>
      </x:c>
      <x:c r="N526" s="16" t="str">
        <x:v>Mağaza/katalog bağlantısı</x:v>
      </x:c>
      <x:c r="O526" s="16" t="str">
        <x:v>Takip gerekli</x:v>
      </x:c>
      <x:c r="P526" s="19" t="n">
        <x:v>46245</x:v>
      </x:c>
      <x:c r="Q526" s="20" t="str">
        <x:v>https://www.coffeesapiens.com/pages/coffee-roasting</x:v>
      </x:c>
      <x:c r="R526" s="20" t="str">
        <x:v>Ürün adı, gramaj ve fiyat birlikte çıkarılamadı. Bağlantı manuel inceleme için korundu.</x:v>
      </x:c>
    </x:row>
    <x:row r="527" ht="40" customHeight="1">
      <x:c r="A527" s="16" t="str">
        <x:v>Coffee Tropic</x:v>
      </x:c>
      <x:c r="B527" s="16" t="str"/>
      <x:c r="C527" s="16" t="str">
        <x:v>Doğrulandı</x:v>
      </x:c>
      <x:c r="D527" s="16" t="str">
        <x:v>Ürün kaydı</x:v>
      </x:c>
      <x:c r="E527" s="16" t="str">
        <x:v>African Magic Espresso Blend</x:v>
      </x:c>
      <x:c r="F527" s="16" t="str">
        <x:v>Kenya</x:v>
      </x:c>
      <x:c r="G527" s="17" t="n">
        <x:v>1000</x:v>
      </x:c>
      <x:c r="H527" s="16" t="str">
        <x:v>Erişildi</x:v>
      </x:c>
      <x:c r="I527" s="18" t="n">
        <x:v>570</x:v>
      </x:c>
      <x:c r="J527" s="18" t="str">
        <x:v>Erişildi</x:v>
      </x:c>
      <x:c r="K527" s="18" t="n">
        <x:f>IF(AND(ISNUMBER(G527),ISNUMBER(I527)),I527/G527*1000,"Erişilemedi")</x:f>
        <x:v>570</x:v>
      </x:c>
      <x:c r="L527" s="16" t="str">
        <x:v>Stokta</x:v>
      </x:c>
      <x:c r="M527" s="16" t="str">
        <x:v>Harman</x:v>
      </x:c>
      <x:c r="N527" s="16" t="str">
        <x:v>WooCommerce Store API</x:v>
      </x:c>
      <x:c r="O527" s="16" t="str">
        <x:v>Yüksek</x:v>
      </x:c>
      <x:c r="P527" s="19" t="n">
        <x:v>46245</x:v>
      </x:c>
      <x:c r="Q527" s="20" t="str">
        <x:v>https://coffeetropic.com/urun/african-magic-espresso-blend/</x:v>
      </x:c>
      <x:c r="R527" s="20" t="str">
        <x:v>Başlık/açıklamada açık gramaj bulunan aktif ürün.</x:v>
      </x:c>
    </x:row>
    <x:row r="528" ht="40" customHeight="1">
      <x:c r="A528" s="16" t="str">
        <x:v>Coffee Tropic</x:v>
      </x:c>
      <x:c r="B528" s="16" t="str"/>
      <x:c r="C528" s="16" t="str">
        <x:v>Doğrulandı</x:v>
      </x:c>
      <x:c r="D528" s="16" t="str">
        <x:v>Ürün kaydı</x:v>
      </x:c>
      <x:c r="E528" s="16" t="str">
        <x:v>Artisan Espresso Blend No.1</x:v>
      </x:c>
      <x:c r="F528" s="16" t="str">
        <x:v>Kolombiya | Kosta Rika</x:v>
      </x:c>
      <x:c r="G528" s="17" t="n">
        <x:v>1000</x:v>
      </x:c>
      <x:c r="H528" s="16" t="str">
        <x:v>Erişildi</x:v>
      </x:c>
      <x:c r="I528" s="18" t="n">
        <x:v>510</x:v>
      </x:c>
      <x:c r="J528" s="18" t="str">
        <x:v>Erişildi</x:v>
      </x:c>
      <x:c r="K528" s="18" t="n">
        <x:f>IF(AND(ISNUMBER(G528),ISNUMBER(I528)),I528/G528*1000,"Erişilemedi")</x:f>
        <x:v>510</x:v>
      </x:c>
      <x:c r="L528" s="16" t="str">
        <x:v>Stokta</x:v>
      </x:c>
      <x:c r="M528" s="16" t="str">
        <x:v>Harman</x:v>
      </x:c>
      <x:c r="N528" s="16" t="str">
        <x:v>WooCommerce Store API</x:v>
      </x:c>
      <x:c r="O528" s="16" t="str">
        <x:v>Yüksek</x:v>
      </x:c>
      <x:c r="P528" s="19" t="n">
        <x:v>46245</x:v>
      </x:c>
      <x:c r="Q528" s="20" t="str">
        <x:v>https://coffeetropic.com/urun/artisan-espresso-blend-no-1/</x:v>
      </x:c>
      <x:c r="R528" s="20" t="str">
        <x:v>Başlık/açıklamada açık gramaj bulunan aktif ürün.</x:v>
      </x:c>
    </x:row>
    <x:row r="529" ht="40" customHeight="1">
      <x:c r="A529" s="16" t="str">
        <x:v>Coffee Tropic</x:v>
      </x:c>
      <x:c r="B529" s="16" t="str"/>
      <x:c r="C529" s="16" t="str">
        <x:v>Doğrulandı</x:v>
      </x:c>
      <x:c r="D529" s="16" t="str">
        <x:v>Ürün kaydı</x:v>
      </x:c>
      <x:c r="E529" s="16" t="str">
        <x:v>Artisan Espresso Blend No.2</x:v>
      </x:c>
      <x:c r="F529" s="16" t="str">
        <x:v>Brezilya</x:v>
      </x:c>
      <x:c r="G529" s="17" t="n">
        <x:v>1000</x:v>
      </x:c>
      <x:c r="H529" s="16" t="str">
        <x:v>Erişildi</x:v>
      </x:c>
      <x:c r="I529" s="18" t="n">
        <x:v>500</x:v>
      </x:c>
      <x:c r="J529" s="18" t="str">
        <x:v>Erişildi</x:v>
      </x:c>
      <x:c r="K529" s="18" t="n">
        <x:f>IF(AND(ISNUMBER(G529),ISNUMBER(I529)),I529/G529*1000,"Erişilemedi")</x:f>
        <x:v>500</x:v>
      </x:c>
      <x:c r="L529" s="16" t="str">
        <x:v>Stokta</x:v>
      </x:c>
      <x:c r="M529" s="16" t="str">
        <x:v>Harman</x:v>
      </x:c>
      <x:c r="N529" s="16" t="str">
        <x:v>WooCommerce Store API</x:v>
      </x:c>
      <x:c r="O529" s="16" t="str">
        <x:v>Yüksek</x:v>
      </x:c>
      <x:c r="P529" s="19" t="n">
        <x:v>46245</x:v>
      </x:c>
      <x:c r="Q529" s="20" t="str">
        <x:v>https://coffeetropic.com/urun/artisan-espresso-blend-no-2/</x:v>
      </x:c>
      <x:c r="R529" s="20" t="str">
        <x:v>Başlık/açıklamada açık gramaj bulunan aktif ürün.</x:v>
      </x:c>
    </x:row>
    <x:row r="530" ht="40" customHeight="1">
      <x:c r="A530" s="16" t="str">
        <x:v>Coffee Tropic</x:v>
      </x:c>
      <x:c r="B530" s="16" t="str"/>
      <x:c r="C530" s="16" t="str">
        <x:v>Doğrulandı</x:v>
      </x:c>
      <x:c r="D530" s="16" t="str">
        <x:v>Ürün kaydı</x:v>
      </x:c>
      <x:c r="E530" s="16" t="str">
        <x:v>Artisan Espresso Blend No.2 (Toptan)</x:v>
      </x:c>
      <x:c r="F530" s="16" t="str">
        <x:v>Brezilya</x:v>
      </x:c>
      <x:c r="G530" s="17" t="str">
        <x:v>Erişilemedi</x:v>
      </x:c>
      <x:c r="H530" s="16" t="str">
        <x:v>Erişilemedi</x:v>
      </x:c>
      <x:c r="I530" s="18" t="n">
        <x:v>5550</x:v>
      </x:c>
      <x:c r="J530" s="18" t="str">
        <x:v>Erişildi</x:v>
      </x:c>
      <x:c r="K530" s="18" t="str">
        <x:f>IF(AND(ISNUMBER(G530),ISNUMBER(I530)),I530/G530*1000,"Erişilemedi")</x:f>
        <x:v>Erişilemedi</x:v>
      </x:c>
      <x:c r="L530" s="16" t="str">
        <x:v>Stokta</x:v>
      </x:c>
      <x:c r="M530" s="16" t="str">
        <x:v>Harman</x:v>
      </x:c>
      <x:c r="N530" s="16" t="str">
        <x:v>WooCommerce Store API</x:v>
      </x:c>
      <x:c r="O530" s="16" t="str">
        <x:v>Orta</x:v>
      </x:c>
      <x:c r="P530" s="19" t="n">
        <x:v>46245</x:v>
      </x:c>
      <x:c r="Q530" s="20" t="str">
        <x:v>https://coffeetropic.com/urun/artisan-espresso-blend-no-2-toptan/</x:v>
      </x:c>
      <x:c r="R530" s="20" t="str">
        <x:v>Fiyat veya gramaj eksik olsa da ürün korundu.</x:v>
      </x:c>
    </x:row>
    <x:row r="531" ht="40" customHeight="1">
      <x:c r="A531" s="16" t="str">
        <x:v>Coffee Tropic</x:v>
      </x:c>
      <x:c r="B531" s="16" t="str"/>
      <x:c r="C531" s="16" t="str">
        <x:v>Doğrulandı</x:v>
      </x:c>
      <x:c r="D531" s="16" t="str">
        <x:v>Ürün kaydı</x:v>
      </x:c>
      <x:c r="E531" s="16" t="str">
        <x:v>Artisan Espresso Blend No.3</x:v>
      </x:c>
      <x:c r="F531" s="16" t="str">
        <x:v>Honduras</x:v>
      </x:c>
      <x:c r="G531" s="17" t="n">
        <x:v>1000</x:v>
      </x:c>
      <x:c r="H531" s="16" t="str">
        <x:v>Erişildi</x:v>
      </x:c>
      <x:c r="I531" s="18" t="n">
        <x:v>480</x:v>
      </x:c>
      <x:c r="J531" s="18" t="str">
        <x:v>Erişildi</x:v>
      </x:c>
      <x:c r="K531" s="18" t="n">
        <x:f>IF(AND(ISNUMBER(G531),ISNUMBER(I531)),I531/G531*1000,"Erişilemedi")</x:f>
        <x:v>480</x:v>
      </x:c>
      <x:c r="L531" s="16" t="str">
        <x:v>Stokta</x:v>
      </x:c>
      <x:c r="M531" s="16" t="str">
        <x:v>Harman</x:v>
      </x:c>
      <x:c r="N531" s="16" t="str">
        <x:v>WooCommerce Store API</x:v>
      </x:c>
      <x:c r="O531" s="16" t="str">
        <x:v>Yüksek</x:v>
      </x:c>
      <x:c r="P531" s="19" t="n">
        <x:v>46245</x:v>
      </x:c>
      <x:c r="Q531" s="20" t="str">
        <x:v>https://coffeetropic.com/urun/artisan-espresso-blend-no-3/</x:v>
      </x:c>
      <x:c r="R531" s="20" t="str">
        <x:v>Başlık/açıklamada açık gramaj bulunan aktif ürün.</x:v>
      </x:c>
    </x:row>
    <x:row r="532" ht="40" customHeight="1">
      <x:c r="A532" s="16" t="str">
        <x:v>Coffee Tropic</x:v>
      </x:c>
      <x:c r="B532" s="16" t="str"/>
      <x:c r="C532" s="16" t="str">
        <x:v>Doğrulandı</x:v>
      </x:c>
      <x:c r="D532" s="16" t="str">
        <x:v>Ürün kaydı</x:v>
      </x:c>
      <x:c r="E532" s="16" t="str">
        <x:v>Artisan Espresso Blend No.3 (Toptan)</x:v>
      </x:c>
      <x:c r="F532" s="16" t="str">
        <x:v>Honduras</x:v>
      </x:c>
      <x:c r="G532" s="17" t="str">
        <x:v>Erişilemedi</x:v>
      </x:c>
      <x:c r="H532" s="16" t="str">
        <x:v>Erişilemedi</x:v>
      </x:c>
      <x:c r="I532" s="18" t="n">
        <x:v>5370</x:v>
      </x:c>
      <x:c r="J532" s="18" t="str">
        <x:v>Erişildi</x:v>
      </x:c>
      <x:c r="K532" s="18" t="str">
        <x:f>IF(AND(ISNUMBER(G532),ISNUMBER(I532)),I532/G532*1000,"Erişilemedi")</x:f>
        <x:v>Erişilemedi</x:v>
      </x:c>
      <x:c r="L532" s="16" t="str">
        <x:v>Stokta</x:v>
      </x:c>
      <x:c r="M532" s="16" t="str">
        <x:v>Harman</x:v>
      </x:c>
      <x:c r="N532" s="16" t="str">
        <x:v>WooCommerce Store API</x:v>
      </x:c>
      <x:c r="O532" s="16" t="str">
        <x:v>Orta</x:v>
      </x:c>
      <x:c r="P532" s="19" t="n">
        <x:v>46245</x:v>
      </x:c>
      <x:c r="Q532" s="20" t="str">
        <x:v>https://coffeetropic.com/urun/artisan-espresso-blend-no-3-toptan/</x:v>
      </x:c>
      <x:c r="R532" s="20" t="str">
        <x:v>Fiyat veya gramaj eksik olsa da ürün korundu.</x:v>
      </x:c>
    </x:row>
    <x:row r="533" ht="40" customHeight="1">
      <x:c r="A533" s="16" t="str">
        <x:v>Coffee Tropic</x:v>
      </x:c>
      <x:c r="B533" s="16" t="str"/>
      <x:c r="C533" s="16" t="str">
        <x:v>Doğrulandı</x:v>
      </x:c>
      <x:c r="D533" s="16" t="str">
        <x:v>Ürün kaydı</x:v>
      </x:c>
      <x:c r="E533" s="16" t="str">
        <x:v>Coffeetropic Sports Caffeine</x:v>
      </x:c>
      <x:c r="F533" s="16" t="str">
        <x:v>Harman – menşe belirtilmemiş</x:v>
      </x:c>
      <x:c r="G533" s="17" t="n">
        <x:v>1000</x:v>
      </x:c>
      <x:c r="H533" s="16" t="str">
        <x:v>Erişildi</x:v>
      </x:c>
      <x:c r="I533" s="18" t="n">
        <x:v>460</x:v>
      </x:c>
      <x:c r="J533" s="18" t="str">
        <x:v>Erişildi</x:v>
      </x:c>
      <x:c r="K533" s="18" t="n">
        <x:f>IF(AND(ISNUMBER(G533),ISNUMBER(I533)),I533/G533*1000,"Erişilemedi")</x:f>
        <x:v>460</x:v>
      </x:c>
      <x:c r="L533" s="16" t="str">
        <x:v>Stokta</x:v>
      </x:c>
      <x:c r="M533" s="16" t="str">
        <x:v>Harman</x:v>
      </x:c>
      <x:c r="N533" s="16" t="str">
        <x:v>WooCommerce Store API</x:v>
      </x:c>
      <x:c r="O533" s="16" t="str">
        <x:v>Yüksek</x:v>
      </x:c>
      <x:c r="P533" s="19" t="n">
        <x:v>46245</x:v>
      </x:c>
      <x:c r="Q533" s="20" t="str">
        <x:v>https://coffeetropic.com/urun/yuksek-kafein-sporcu-kahvesi/</x:v>
      </x:c>
      <x:c r="R533" s="20" t="str">
        <x:v>Başlık/açıklamada açık gramaj bulunan aktif ürün.</x:v>
      </x:c>
    </x:row>
    <x:row r="534" ht="40" customHeight="1">
      <x:c r="A534" s="16" t="str">
        <x:v>Coffee Tropic</x:v>
      </x:c>
      <x:c r="B534" s="16" t="str"/>
      <x:c r="C534" s="16" t="str">
        <x:v>Doğrulandı</x:v>
      </x:c>
      <x:c r="D534" s="16" t="str">
        <x:v>Ürün kaydı</x:v>
      </x:c>
      <x:c r="E534" s="16" t="str">
        <x:v>Puan Ürünü 3 Türk Kahvesi 100gr.</x:v>
      </x:c>
      <x:c r="F534" s="16" t="str">
        <x:v>Harman – menşe belirtilmemiş</x:v>
      </x:c>
      <x:c r="G534" s="17" t="n">
        <x:v>100</x:v>
      </x:c>
      <x:c r="H534" s="16" t="str">
        <x:v>Erişildi</x:v>
      </x:c>
      <x:c r="I534" s="18" t="n">
        <x:v>1</x:v>
      </x:c>
      <x:c r="J534" s="18" t="str">
        <x:v>Erişildi</x:v>
      </x:c>
      <x:c r="K534" s="18" t="n">
        <x:f>IF(AND(ISNUMBER(G534),ISNUMBER(I534)),I534/G534*1000,"Erişilemedi")</x:f>
        <x:v>10</x:v>
      </x:c>
      <x:c r="L534" s="16" t="str">
        <x:v>Stokta</x:v>
      </x:c>
      <x:c r="M534" s="16" t="str">
        <x:v>Harman</x:v>
      </x:c>
      <x:c r="N534" s="16" t="str">
        <x:v>WooCommerce Store API</x:v>
      </x:c>
      <x:c r="O534" s="16" t="str">
        <x:v>Yüksek</x:v>
      </x:c>
      <x:c r="P534" s="19" t="n">
        <x:v>46245</x:v>
      </x:c>
      <x:c r="Q534" s="20" t="str">
        <x:v>https://coffeetropic.com/urun/puan-urunu-3-turco-100/</x:v>
      </x:c>
      <x:c r="R534" s="20" t="str">
        <x:v>Başlık/açıklamada açık gramaj bulunan aktif ürün.</x:v>
      </x:c>
    </x:row>
    <x:row r="535" ht="40" customHeight="1">
      <x:c r="A535" s="16" t="str">
        <x:v>Coffee Tropic</x:v>
      </x:c>
      <x:c r="B535" s="16" t="str"/>
      <x:c r="C535" s="16" t="str">
        <x:v>Doğrulandı</x:v>
      </x:c>
      <x:c r="D535" s="16" t="str">
        <x:v>Ürün kaydı</x:v>
      </x:c>
      <x:c r="E535" s="16" t="str">
        <x:v>Puan Ürünü 4 Special Gamer Coffee Blend 100gr.</x:v>
      </x:c>
      <x:c r="F535" s="16" t="str">
        <x:v>Harman – menşe belirtilmemiş</x:v>
      </x:c>
      <x:c r="G535" s="17" t="n">
        <x:v>100</x:v>
      </x:c>
      <x:c r="H535" s="16" t="str">
        <x:v>Erişildi</x:v>
      </x:c>
      <x:c r="I535" s="18" t="n">
        <x:v>1</x:v>
      </x:c>
      <x:c r="J535" s="18" t="str">
        <x:v>Erişildi</x:v>
      </x:c>
      <x:c r="K535" s="18" t="n">
        <x:f>IF(AND(ISNUMBER(G535),ISNUMBER(I535)),I535/G535*1000,"Erişilemedi")</x:f>
        <x:v>10</x:v>
      </x:c>
      <x:c r="L535" s="16" t="str">
        <x:v>Stokta</x:v>
      </x:c>
      <x:c r="M535" s="16" t="str">
        <x:v>Harman</x:v>
      </x:c>
      <x:c r="N535" s="16" t="str">
        <x:v>WooCommerce Store API</x:v>
      </x:c>
      <x:c r="O535" s="16" t="str">
        <x:v>Yüksek</x:v>
      </x:c>
      <x:c r="P535" s="19" t="n">
        <x:v>46245</x:v>
      </x:c>
      <x:c r="Q535" s="20" t="str">
        <x:v>https://coffeetropic.com/urun/puan-urunu-4-gamer-coffee-100gr/</x:v>
      </x:c>
      <x:c r="R535" s="20" t="str">
        <x:v>Başlık/açıklamada açık gramaj bulunan aktif ürün.</x:v>
      </x:c>
    </x:row>
    <x:row r="536" ht="40" customHeight="1">
      <x:c r="A536" s="16" t="str">
        <x:v>Coffee Tropic</x:v>
      </x:c>
      <x:c r="B536" s="16" t="str"/>
      <x:c r="C536" s="16" t="str">
        <x:v>Doğrulandı</x:v>
      </x:c>
      <x:c r="D536" s="16" t="str">
        <x:v>Ürün kaydı</x:v>
      </x:c>
      <x:c r="E536" s="16" t="str">
        <x:v>Puan Ürünü 5 TSO Kenya 100gr.</x:v>
      </x:c>
      <x:c r="F536" s="16" t="str">
        <x:v>Kenya</x:v>
      </x:c>
      <x:c r="G536" s="17" t="n">
        <x:v>100</x:v>
      </x:c>
      <x:c r="H536" s="16" t="str">
        <x:v>Erişildi</x:v>
      </x:c>
      <x:c r="I536" s="18" t="n">
        <x:v>1</x:v>
      </x:c>
      <x:c r="J536" s="18" t="str">
        <x:v>Erişildi</x:v>
      </x:c>
      <x:c r="K536" s="18" t="n">
        <x:f>IF(AND(ISNUMBER(G536),ISNUMBER(I536)),I536/G536*1000,"Erişilemedi")</x:f>
        <x:v>10</x:v>
      </x:c>
      <x:c r="L536" s="16" t="str">
        <x:v>Stokta</x:v>
      </x:c>
      <x:c r="M536" s="16" t="str">
        <x:v>Tek köken/ürün</x:v>
      </x:c>
      <x:c r="N536" s="16" t="str">
        <x:v>WooCommerce Store API</x:v>
      </x:c>
      <x:c r="O536" s="16" t="str">
        <x:v>Yüksek</x:v>
      </x:c>
      <x:c r="P536" s="19" t="n">
        <x:v>46245</x:v>
      </x:c>
      <x:c r="Q536" s="20" t="str">
        <x:v>https://coffeetropic.com/urun/puan-urunu-5-kenya-100gr/</x:v>
      </x:c>
      <x:c r="R536" s="20" t="str">
        <x:v>Başlık/açıklamada açık gramaj bulunan aktif ürün.</x:v>
      </x:c>
    </x:row>
    <x:row r="537" ht="40" customHeight="1">
      <x:c r="A537" s="16" t="str">
        <x:v>Coffee Tropic</x:v>
      </x:c>
      <x:c r="B537" s="16" t="str"/>
      <x:c r="C537" s="16" t="str">
        <x:v>Doğrulandı</x:v>
      </x:c>
      <x:c r="D537" s="16" t="str">
        <x:v>Ürün kaydı</x:v>
      </x:c>
      <x:c r="E537" s="16" t="str">
        <x:v>Puan Ürünü 6 TSO Yirgacheffe 100gr.</x:v>
      </x:c>
      <x:c r="F537" s="16" t="str">
        <x:v>Etiyopya</x:v>
      </x:c>
      <x:c r="G537" s="17" t="n">
        <x:v>100</x:v>
      </x:c>
      <x:c r="H537" s="16" t="str">
        <x:v>Erişildi</x:v>
      </x:c>
      <x:c r="I537" s="18" t="n">
        <x:v>1</x:v>
      </x:c>
      <x:c r="J537" s="18" t="str">
        <x:v>Erişildi</x:v>
      </x:c>
      <x:c r="K537" s="18" t="n">
        <x:f>IF(AND(ISNUMBER(G537),ISNUMBER(I537)),I537/G537*1000,"Erişilemedi")</x:f>
        <x:v>10</x:v>
      </x:c>
      <x:c r="L537" s="16" t="str">
        <x:v>Stokta</x:v>
      </x:c>
      <x:c r="M537" s="16" t="str">
        <x:v>Tek köken/ürün</x:v>
      </x:c>
      <x:c r="N537" s="16" t="str">
        <x:v>WooCommerce Store API</x:v>
      </x:c>
      <x:c r="O537" s="16" t="str">
        <x:v>Yüksek</x:v>
      </x:c>
      <x:c r="P537" s="19" t="n">
        <x:v>46245</x:v>
      </x:c>
      <x:c r="Q537" s="20" t="str">
        <x:v>https://coffeetropic.com/urun/puan-urunu-6-tso-yirga-100gr/</x:v>
      </x:c>
      <x:c r="R537" s="20" t="str">
        <x:v>Başlık/açıklamada açık gramaj bulunan aktif ürün.</x:v>
      </x:c>
    </x:row>
    <x:row r="538" ht="40" customHeight="1">
      <x:c r="A538" s="16" t="str">
        <x:v>Coffee Tropic</x:v>
      </x:c>
      <x:c r="B538" s="16" t="str"/>
      <x:c r="C538" s="16" t="str">
        <x:v>Doğrulandı</x:v>
      </x:c>
      <x:c r="D538" s="16" t="str">
        <x:v>Ürün kaydı</x:v>
      </x:c>
      <x:c r="E538" s="16" t="str">
        <x:v>Special Gamer Coffee Blend</x:v>
      </x:c>
      <x:c r="F538" s="16" t="str">
        <x:v>Etiyopya | Kolombiya | Ruanda</x:v>
      </x:c>
      <x:c r="G538" s="17" t="n">
        <x:v>1000</x:v>
      </x:c>
      <x:c r="H538" s="16" t="str">
        <x:v>Erişildi</x:v>
      </x:c>
      <x:c r="I538" s="18" t="n">
        <x:v>460</x:v>
      </x:c>
      <x:c r="J538" s="18" t="str">
        <x:v>Erişildi</x:v>
      </x:c>
      <x:c r="K538" s="18" t="n">
        <x:f>IF(AND(ISNUMBER(G538),ISNUMBER(I538)),I538/G538*1000,"Erişilemedi")</x:f>
        <x:v>460</x:v>
      </x:c>
      <x:c r="L538" s="16" t="str">
        <x:v>Stokta</x:v>
      </x:c>
      <x:c r="M538" s="16" t="str">
        <x:v>Harman</x:v>
      </x:c>
      <x:c r="N538" s="16" t="str">
        <x:v>WooCommerce Store API</x:v>
      </x:c>
      <x:c r="O538" s="16" t="str">
        <x:v>Yüksek</x:v>
      </x:c>
      <x:c r="P538" s="19" t="n">
        <x:v>46245</x:v>
      </x:c>
      <x:c r="Q538" s="20" t="str">
        <x:v>https://coffeetropic.com/urun/special-gamer-blend/</x:v>
      </x:c>
      <x:c r="R538" s="20" t="str">
        <x:v>Başlık/açıklamada açık gramaj bulunan aktif ürün.</x:v>
      </x:c>
    </x:row>
    <x:row r="539" ht="40" customHeight="1">
      <x:c r="A539" s="16" t="str">
        <x:v>Coffee Tropic</x:v>
      </x:c>
      <x:c r="B539" s="16" t="str"/>
      <x:c r="C539" s="16" t="str">
        <x:v>Doğrulandı</x:v>
      </x:c>
      <x:c r="D539" s="16" t="str">
        <x:v>Ürün kaydı</x:v>
      </x:c>
      <x:c r="E539" s="16" t="str">
        <x:v>Terra Single Origin Colombia Medellin</x:v>
      </x:c>
      <x:c r="F539" s="16" t="str">
        <x:v>Kolombiya</x:v>
      </x:c>
      <x:c r="G539" s="17" t="n">
        <x:v>1000</x:v>
      </x:c>
      <x:c r="H539" s="16" t="str">
        <x:v>Erişildi</x:v>
      </x:c>
      <x:c r="I539" s="18" t="n">
        <x:v>560</x:v>
      </x:c>
      <x:c r="J539" s="18" t="str">
        <x:v>Erişildi</x:v>
      </x:c>
      <x:c r="K539" s="18" t="n">
        <x:f>IF(AND(ISNUMBER(G539),ISNUMBER(I539)),I539/G539*1000,"Erişilemedi")</x:f>
        <x:v>560</x:v>
      </x:c>
      <x:c r="L539" s="16" t="str">
        <x:v>Stokta</x:v>
      </x:c>
      <x:c r="M539" s="16" t="str">
        <x:v>Tek köken/ürün</x:v>
      </x:c>
      <x:c r="N539" s="16" t="str">
        <x:v>WooCommerce Store API</x:v>
      </x:c>
      <x:c r="O539" s="16" t="str">
        <x:v>Yüksek</x:v>
      </x:c>
      <x:c r="P539" s="19" t="n">
        <x:v>46245</x:v>
      </x:c>
      <x:c r="Q539" s="20" t="str">
        <x:v>https://coffeetropic.com/urun/terra-single-origin-colombia-medellin-1kg/</x:v>
      </x:c>
      <x:c r="R539" s="20" t="str">
        <x:v>Başlık/açıklamada açık gramaj bulunan aktif ürün.</x:v>
      </x:c>
    </x:row>
    <x:row r="540" ht="40" customHeight="1">
      <x:c r="A540" s="16" t="str">
        <x:v>Coffee Tropic</x:v>
      </x:c>
      <x:c r="B540" s="16" t="str"/>
      <x:c r="C540" s="16" t="str">
        <x:v>Doğrulandı</x:v>
      </x:c>
      <x:c r="D540" s="16" t="str">
        <x:v>Ürün kaydı</x:v>
      </x:c>
      <x:c r="E540" s="16" t="str">
        <x:v>Terra Single Origin Ethiopia Yirgacheffe Gr.2</x:v>
      </x:c>
      <x:c r="F540" s="16" t="str">
        <x:v>Etiyopya | Hindistan</x:v>
      </x:c>
      <x:c r="G540" s="17" t="n">
        <x:v>1000</x:v>
      </x:c>
      <x:c r="H540" s="16" t="str">
        <x:v>Erişildi</x:v>
      </x:c>
      <x:c r="I540" s="18" t="n">
        <x:v>630</x:v>
      </x:c>
      <x:c r="J540" s="18" t="str">
        <x:v>Erişildi</x:v>
      </x:c>
      <x:c r="K540" s="18" t="n">
        <x:f>IF(AND(ISNUMBER(G540),ISNUMBER(I540)),I540/G540*1000,"Erişilemedi")</x:f>
        <x:v>630</x:v>
      </x:c>
      <x:c r="L540" s="16" t="str">
        <x:v>Stokta</x:v>
      </x:c>
      <x:c r="M540" s="16" t="str">
        <x:v>Tek köken/ürün</x:v>
      </x:c>
      <x:c r="N540" s="16" t="str">
        <x:v>WooCommerce Store API</x:v>
      </x:c>
      <x:c r="O540" s="16" t="str">
        <x:v>Yüksek</x:v>
      </x:c>
      <x:c r="P540" s="19" t="n">
        <x:v>46245</x:v>
      </x:c>
      <x:c r="Q540" s="20" t="str">
        <x:v>https://coffeetropic.com/urun/terra-single-origin-ethiopia-yirgachaffe-gr-2/</x:v>
      </x:c>
      <x:c r="R540" s="20" t="str">
        <x:v>Başlık/açıklamada açık gramaj bulunan aktif ürün.</x:v>
      </x:c>
    </x:row>
    <x:row r="541" ht="40" customHeight="1">
      <x:c r="A541" s="16" t="str">
        <x:v>Coffee Tropic</x:v>
      </x:c>
      <x:c r="B541" s="16" t="str"/>
      <x:c r="C541" s="16" t="str">
        <x:v>Doğrulandı</x:v>
      </x:c>
      <x:c r="D541" s="16" t="str">
        <x:v>Ürün kaydı</x:v>
      </x:c>
      <x:c r="E541" s="16" t="str">
        <x:v>Terra Single Origin Guatemala Antigua</x:v>
      </x:c>
      <x:c r="F541" s="16" t="str">
        <x:v>Guatemala</x:v>
      </x:c>
      <x:c r="G541" s="17" t="n">
        <x:v>1000</x:v>
      </x:c>
      <x:c r="H541" s="16" t="str">
        <x:v>Erişildi</x:v>
      </x:c>
      <x:c r="I541" s="18" t="n">
        <x:v>540</x:v>
      </x:c>
      <x:c r="J541" s="18" t="str">
        <x:v>Erişildi</x:v>
      </x:c>
      <x:c r="K541" s="18" t="n">
        <x:f>IF(AND(ISNUMBER(G541),ISNUMBER(I541)),I541/G541*1000,"Erişilemedi")</x:f>
        <x:v>540</x:v>
      </x:c>
      <x:c r="L541" s="16" t="str">
        <x:v>Stokta</x:v>
      </x:c>
      <x:c r="M541" s="16" t="str">
        <x:v>Tek köken/ürün</x:v>
      </x:c>
      <x:c r="N541" s="16" t="str">
        <x:v>WooCommerce Store API</x:v>
      </x:c>
      <x:c r="O541" s="16" t="str">
        <x:v>Yüksek</x:v>
      </x:c>
      <x:c r="P541" s="19" t="n">
        <x:v>46245</x:v>
      </x:c>
      <x:c r="Q541" s="20" t="str">
        <x:v>https://coffeetropic.com/urun/terra-single-origin-guatemala-antigua/</x:v>
      </x:c>
      <x:c r="R541" s="20" t="str">
        <x:v>Başlık/açıklamada açık gramaj bulunan aktif ürün.</x:v>
      </x:c>
    </x:row>
    <x:row r="542" ht="40" customHeight="1">
      <x:c r="A542" s="16" t="str">
        <x:v>Coffee Tropic</x:v>
      </x:c>
      <x:c r="B542" s="16" t="str"/>
      <x:c r="C542" s="16" t="str">
        <x:v>Doğrulandı</x:v>
      </x:c>
      <x:c r="D542" s="16" t="str">
        <x:v>Ürün kaydı</x:v>
      </x:c>
      <x:c r="E542" s="16" t="str">
        <x:v>Terra Single Origin Honduras Lempria</x:v>
      </x:c>
      <x:c r="F542" s="16" t="str">
        <x:v>Honduras</x:v>
      </x:c>
      <x:c r="G542" s="17" t="n">
        <x:v>1000</x:v>
      </x:c>
      <x:c r="H542" s="16" t="str">
        <x:v>Erişildi</x:v>
      </x:c>
      <x:c r="I542" s="18" t="n">
        <x:v>530</x:v>
      </x:c>
      <x:c r="J542" s="18" t="str">
        <x:v>Erişildi</x:v>
      </x:c>
      <x:c r="K542" s="18" t="n">
        <x:f>IF(AND(ISNUMBER(G542),ISNUMBER(I542)),I542/G542*1000,"Erişilemedi")</x:f>
        <x:v>530</x:v>
      </x:c>
      <x:c r="L542" s="16" t="str">
        <x:v>Stokta</x:v>
      </x:c>
      <x:c r="M542" s="16" t="str">
        <x:v>Tek köken/ürün</x:v>
      </x:c>
      <x:c r="N542" s="16" t="str">
        <x:v>WooCommerce Store API</x:v>
      </x:c>
      <x:c r="O542" s="16" t="str">
        <x:v>Yüksek</x:v>
      </x:c>
      <x:c r="P542" s="19" t="n">
        <x:v>46245</x:v>
      </x:c>
      <x:c r="Q542" s="20" t="str">
        <x:v>https://coffeetropic.com/urun/terra-single-origin-honduras-lempira/</x:v>
      </x:c>
      <x:c r="R542" s="20" t="str">
        <x:v>Başlık/açıklamada açık gramaj bulunan aktif ürün.</x:v>
      </x:c>
    </x:row>
    <x:row r="543" ht="40" customHeight="1">
      <x:c r="A543" s="16" t="str">
        <x:v>Coffee Tropic</x:v>
      </x:c>
      <x:c r="B543" s="16" t="str"/>
      <x:c r="C543" s="16" t="str">
        <x:v>Doğrulandı</x:v>
      </x:c>
      <x:c r="D543" s="16" t="str">
        <x:v>Ürün kaydı</x:v>
      </x:c>
      <x:c r="E543" s="16" t="str">
        <x:v>Terra Single Origin Kenya Aa-Nyeri</x:v>
      </x:c>
      <x:c r="F543" s="16" t="str">
        <x:v>Kenya</x:v>
      </x:c>
      <x:c r="G543" s="17" t="n">
        <x:v>1000</x:v>
      </x:c>
      <x:c r="H543" s="16" t="str">
        <x:v>Erişildi</x:v>
      </x:c>
      <x:c r="I543" s="18" t="n">
        <x:v>570</x:v>
      </x:c>
      <x:c r="J543" s="18" t="str">
        <x:v>Erişildi</x:v>
      </x:c>
      <x:c r="K543" s="18" t="n">
        <x:f>IF(AND(ISNUMBER(G543),ISNUMBER(I543)),I543/G543*1000,"Erişilemedi")</x:f>
        <x:v>570</x:v>
      </x:c>
      <x:c r="L543" s="16" t="str">
        <x:v>Stokta</x:v>
      </x:c>
      <x:c r="M543" s="16" t="str">
        <x:v>Tek köken/ürün</x:v>
      </x:c>
      <x:c r="N543" s="16" t="str">
        <x:v>WooCommerce Store API</x:v>
      </x:c>
      <x:c r="O543" s="16" t="str">
        <x:v>Yüksek</x:v>
      </x:c>
      <x:c r="P543" s="19" t="n">
        <x:v>46245</x:v>
      </x:c>
      <x:c r="Q543" s="20" t="str">
        <x:v>https://coffeetropic.com/urun/terra-single-origin-kenya-aa-nyeri/</x:v>
      </x:c>
      <x:c r="R543" s="20" t="str">
        <x:v>Başlık/açıklamada açık gramaj bulunan aktif ürün.</x:v>
      </x:c>
    </x:row>
    <x:row r="544" ht="40" customHeight="1">
      <x:c r="A544" s="16" t="str">
        <x:v>Coffee Tropic</x:v>
      </x:c>
      <x:c r="B544" s="16" t="str"/>
      <x:c r="C544" s="16" t="str">
        <x:v>Doğrulandı</x:v>
      </x:c>
      <x:c r="D544" s="16" t="str">
        <x:v>Ürün kaydı</x:v>
      </x:c>
      <x:c r="E544" s="16" t="str">
        <x:v>Terra Single Origin Nicaragua Nueva Segovia</x:v>
      </x:c>
      <x:c r="F544" s="16" t="str">
        <x:v>Honduras | Kosta Rika | Nikaragua</x:v>
      </x:c>
      <x:c r="G544" s="17" t="n">
        <x:v>1000</x:v>
      </x:c>
      <x:c r="H544" s="16" t="str">
        <x:v>Erişildi</x:v>
      </x:c>
      <x:c r="I544" s="18" t="n">
        <x:v>540</x:v>
      </x:c>
      <x:c r="J544" s="18" t="str">
        <x:v>Erişildi</x:v>
      </x:c>
      <x:c r="K544" s="18" t="n">
        <x:f>IF(AND(ISNUMBER(G544),ISNUMBER(I544)),I544/G544*1000,"Erişilemedi")</x:f>
        <x:v>540</x:v>
      </x:c>
      <x:c r="L544" s="16" t="str">
        <x:v>Stokta</x:v>
      </x:c>
      <x:c r="M544" s="16" t="str">
        <x:v>Tek köken/ürün</x:v>
      </x:c>
      <x:c r="N544" s="16" t="str">
        <x:v>WooCommerce Store API</x:v>
      </x:c>
      <x:c r="O544" s="16" t="str">
        <x:v>Yüksek</x:v>
      </x:c>
      <x:c r="P544" s="19" t="n">
        <x:v>46245</x:v>
      </x:c>
      <x:c r="Q544" s="20" t="str">
        <x:v>https://coffeetropic.com/urun/terra-single-origin-nicaragua-nueva-segovia/</x:v>
      </x:c>
      <x:c r="R544" s="20" t="str">
        <x:v>Başlık/açıklamada açık gramaj bulunan aktif ürün.</x:v>
      </x:c>
    </x:row>
    <x:row r="545" ht="40" customHeight="1">
      <x:c r="A545" s="16" t="str">
        <x:v>Coffee Tropic</x:v>
      </x:c>
      <x:c r="B545" s="16" t="str"/>
      <x:c r="C545" s="16" t="str">
        <x:v>Doğrulandı</x:v>
      </x:c>
      <x:c r="D545" s="16" t="str">
        <x:v>Ürün kaydı</x:v>
      </x:c>
      <x:c r="E545" s="16" t="str">
        <x:v>Terra Single Origin Peru Puno Sandia Valley</x:v>
      </x:c>
      <x:c r="F545" s="16" t="str">
        <x:v>Peru</x:v>
      </x:c>
      <x:c r="G545" s="17" t="n">
        <x:v>1000</x:v>
      </x:c>
      <x:c r="H545" s="16" t="str">
        <x:v>Erişildi</x:v>
      </x:c>
      <x:c r="I545" s="18" t="n">
        <x:v>540</x:v>
      </x:c>
      <x:c r="J545" s="18" t="str">
        <x:v>Erişildi</x:v>
      </x:c>
      <x:c r="K545" s="18" t="n">
        <x:f>IF(AND(ISNUMBER(G545),ISNUMBER(I545)),I545/G545*1000,"Erişilemedi")</x:f>
        <x:v>540</x:v>
      </x:c>
      <x:c r="L545" s="16" t="str">
        <x:v>Stokta</x:v>
      </x:c>
      <x:c r="M545" s="16" t="str">
        <x:v>Tek köken/ürün</x:v>
      </x:c>
      <x:c r="N545" s="16" t="str">
        <x:v>WooCommerce Store API</x:v>
      </x:c>
      <x:c r="O545" s="16" t="str">
        <x:v>Yüksek</x:v>
      </x:c>
      <x:c r="P545" s="19" t="n">
        <x:v>46245</x:v>
      </x:c>
      <x:c r="Q545" s="20" t="str">
        <x:v>https://coffeetropic.com/urun/terra-single-origin-peru-puno-sandia-valley/</x:v>
      </x:c>
      <x:c r="R545" s="20" t="str">
        <x:v>Başlık/açıklamada açık gramaj bulunan aktif ürün.</x:v>
      </x:c>
    </x:row>
    <x:row r="546" ht="40" customHeight="1">
      <x:c r="A546" s="16" t="str">
        <x:v>Coffee Tropic</x:v>
      </x:c>
      <x:c r="B546" s="16" t="str"/>
      <x:c r="C546" s="16" t="str">
        <x:v>Doğrulandı</x:v>
      </x:c>
      <x:c r="D546" s="16" t="str">
        <x:v>Ürün kaydı</x:v>
      </x:c>
      <x:c r="E546" s="16" t="str">
        <x:v>Turco Türk Kahvesi</x:v>
      </x:c>
      <x:c r="F546" s="16" t="str">
        <x:v>Harman – menşe belirtilmemiş</x:v>
      </x:c>
      <x:c r="G546" s="17" t="n">
        <x:v>200</x:v>
      </x:c>
      <x:c r="H546" s="16" t="str">
        <x:v>Erişildi</x:v>
      </x:c>
      <x:c r="I546" s="18" t="n">
        <x:v>1000</x:v>
      </x:c>
      <x:c r="J546" s="18" t="str">
        <x:v>Erişildi</x:v>
      </x:c>
      <x:c r="K546" s="18" t="n">
        <x:f>IF(AND(ISNUMBER(G546),ISNUMBER(I546)),I546/G546*1000,"Erişilemedi")</x:f>
        <x:v>5000</x:v>
      </x:c>
      <x:c r="L546" s="16" t="str">
        <x:v>Stokta</x:v>
      </x:c>
      <x:c r="M546" s="16" t="str">
        <x:v>Harman</x:v>
      </x:c>
      <x:c r="N546" s="16" t="str">
        <x:v>WooCommerce Store API</x:v>
      </x:c>
      <x:c r="O546" s="16" t="str">
        <x:v>Yüksek</x:v>
      </x:c>
      <x:c r="P546" s="19" t="n">
        <x:v>46245</x:v>
      </x:c>
      <x:c r="Q546" s="20" t="str">
        <x:v>https://coffeetropic.com/urun/coffeetropic-turco-turk-kahvesi/</x:v>
      </x:c>
      <x:c r="R546" s="20" t="str">
        <x:v>Başlık/açıklamada açık gramaj bulunan aktif ürün.</x:v>
      </x:c>
    </x:row>
    <x:row r="547" ht="40" customHeight="1">
      <x:c r="A547" s="16" t="str">
        <x:v>Coffee Tropic</x:v>
      </x:c>
      <x:c r="B547" s="16" t="str"/>
      <x:c r="C547" s="16" t="str">
        <x:v>Doğrulandı</x:v>
      </x:c>
      <x:c r="D547" s="16" t="str">
        <x:v>Ürün kaydı</x:v>
      </x:c>
      <x:c r="E547" s="16" t="str">
        <x:v>Xxl Caffeine</x:v>
      </x:c>
      <x:c r="F547" s="16" t="str">
        <x:v>Harman – menşe belirtilmemiş</x:v>
      </x:c>
      <x:c r="G547" s="17" t="n">
        <x:v>1000</x:v>
      </x:c>
      <x:c r="H547" s="16" t="str">
        <x:v>Erişildi</x:v>
      </x:c>
      <x:c r="I547" s="18" t="n">
        <x:v>610</x:v>
      </x:c>
      <x:c r="J547" s="18" t="str">
        <x:v>Erişildi</x:v>
      </x:c>
      <x:c r="K547" s="18" t="n">
        <x:f>IF(AND(ISNUMBER(G547),ISNUMBER(I547)),I547/G547*1000,"Erişilemedi")</x:f>
        <x:v>610</x:v>
      </x:c>
      <x:c r="L547" s="16" t="str">
        <x:v>Stokta</x:v>
      </x:c>
      <x:c r="M547" s="16" t="str">
        <x:v>Harman</x:v>
      </x:c>
      <x:c r="N547" s="16" t="str">
        <x:v>WooCommerce Store API</x:v>
      </x:c>
      <x:c r="O547" s="16" t="str">
        <x:v>Yüksek</x:v>
      </x:c>
      <x:c r="P547" s="19" t="n">
        <x:v>46245</x:v>
      </x:c>
      <x:c r="Q547" s="20" t="str">
        <x:v>https://coffeetropic.com/urun/coffeetropic-xxl-caffeine/</x:v>
      </x:c>
      <x:c r="R547" s="20" t="str">
        <x:v>Başlık/açıklamada açık gramaj bulunan aktif ürün.</x:v>
      </x:c>
    </x:row>
    <x:row r="548" ht="40" customHeight="1">
      <x:c r="A548" s="16" t="str">
        <x:v>Coffee.dat</x:v>
      </x:c>
      <x:c r="B548" s="16" t="str">
        <x:v>İstanbul</x:v>
      </x:c>
      <x:c r="C548" s="16" t="str">
        <x:v>Kısmi doğrulama</x:v>
      </x:c>
      <x:c r="D548" s="16" t="str">
        <x:v>Katalog takip kaydı</x:v>
      </x:c>
      <x:c r="E548" s="16" t="str">
        <x:v>Ürün kataloğu — ayrıntılı ürün verisine erişilemedi</x:v>
      </x:c>
      <x:c r="F548" s="16" t="str">
        <x:v>Erişilemedi</x:v>
      </x:c>
      <x:c r="G548" s="17" t="str">
        <x:v>Erişilemedi</x:v>
      </x:c>
      <x:c r="H548" s="16" t="str">
        <x:v>Erişilemedi</x:v>
      </x:c>
      <x:c r="I548" s="18" t="str">
        <x:v>Erişilemedi</x:v>
      </x:c>
      <x:c r="J548" s="18" t="str">
        <x:v>Erişilemedi</x:v>
      </x:c>
      <x:c r="K548" s="18" t="str">
        <x:f>IF(AND(ISNUMBER(G548),ISNUMBER(I548)),I548/G548*1000,"Erişilemedi")</x:f>
        <x:v>Erişilemedi</x:v>
      </x:c>
      <x:c r="L548" s="16" t="str">
        <x:v>Erişilemedi</x:v>
      </x:c>
      <x:c r="M548" s="16" t="str">
        <x:v>Katalog/takip kaydı</x:v>
      </x:c>
      <x:c r="N548" s="16" t="str">
        <x:v>Instagram veya mevcut kaynak</x:v>
      </x:c>
      <x:c r="O548" s="16" t="str">
        <x:v>Takip gerekli</x:v>
      </x:c>
      <x:c r="P548" s="19" t="n">
        <x:v>46245</x:v>
      </x:c>
      <x:c r="Q548" s="20" t="str">
        <x:v>Erişilemedi</x:v>
      </x:c>
      <x:c r="R548" s="20" t="str">
        <x:v>Ürün adı, gramaj ve fiyat birlikte çıkarılamadı. Bağlantı manuel inceleme için korundu.</x:v>
      </x:c>
    </x:row>
    <x:row r="549" ht="40" customHeight="1">
      <x:c r="A549" s="16" t="str">
        <x:v>Coffeeizim Coffee Roastery</x:v>
      </x:c>
      <x:c r="B549" s="16" t="str"/>
      <x:c r="C549" s="16" t="str">
        <x:v>Doğrulandı</x:v>
      </x:c>
      <x:c r="D549" s="16" t="str">
        <x:v>Katalog takip kaydı</x:v>
      </x:c>
      <x:c r="E549" s="16" t="str">
        <x:v>Ürün kataloğu — ayrıntılı ürün verisine erişilemedi</x:v>
      </x:c>
      <x:c r="F549" s="16" t="str">
        <x:v>Erişilemedi</x:v>
      </x:c>
      <x:c r="G549" s="17" t="str">
        <x:v>Erişilemedi</x:v>
      </x:c>
      <x:c r="H549" s="16" t="str">
        <x:v>Erişilemedi</x:v>
      </x:c>
      <x:c r="I549" s="18" t="str">
        <x:v>Erişilemedi</x:v>
      </x:c>
      <x:c r="J549" s="18" t="str">
        <x:v>Erişilemedi</x:v>
      </x:c>
      <x:c r="K549" s="18" t="str">
        <x:f>IF(AND(ISNUMBER(G549),ISNUMBER(I549)),I549/G549*1000,"Erişilemedi")</x:f>
        <x:v>Erişilemedi</x:v>
      </x:c>
      <x:c r="L549" s="16" t="str">
        <x:v>Erişilemedi</x:v>
      </x:c>
      <x:c r="M549" s="16" t="str">
        <x:v>Katalog/takip kaydı</x:v>
      </x:c>
      <x:c r="N549" s="16" t="str">
        <x:v>Mağaza/katalog bağlantısı</x:v>
      </x:c>
      <x:c r="O549" s="16" t="str">
        <x:v>Takip gerekli</x:v>
      </x:c>
      <x:c r="P549" s="19" t="n">
        <x:v>46245</x:v>
      </x:c>
      <x:c r="Q549" s="20" t="str">
        <x:v>https://coffeeizim.com.tr/</x:v>
      </x:c>
      <x:c r="R549" s="20" t="str">
        <x:v>Ürün adı, gramaj ve fiyat birlikte çıkarılamadı. Bağlantı manuel inceleme için korundu.</x:v>
      </x:c>
    </x:row>
    <x:row r="550" ht="40" customHeight="1">
      <x:c r="A550" s="16" t="str">
        <x:v>Coffeemamma</x:v>
      </x:c>
      <x:c r="B550" s="16" t="str">
        <x:v>İzmir</x:v>
      </x:c>
      <x:c r="C550" s="16" t="str">
        <x:v>Doğrulandı</x:v>
      </x:c>
      <x:c r="D550" s="16" t="str">
        <x:v>Ürün kaydı</x:v>
      </x:c>
      <x:c r="E550" s="16" t="str">
        <x:v>Coco Blend Filtre Kahve</x:v>
      </x:c>
      <x:c r="F550" s="16" t="str">
        <x:v>Harman – menşe belirtilmemiş</x:v>
      </x:c>
      <x:c r="G550" s="17" t="str">
        <x:v>Erişilemedi</x:v>
      </x:c>
      <x:c r="H550" s="16" t="str">
        <x:v>Erişilemedi</x:v>
      </x:c>
      <x:c r="I550" s="18" t="n">
        <x:v>440</x:v>
      </x:c>
      <x:c r="J550" s="18" t="str">
        <x:v>Erişildi</x:v>
      </x:c>
      <x:c r="K550" s="18" t="str">
        <x:f>IF(AND(ISNUMBER(G550),ISNUMBER(I550)),I550/G550*1000,"Erişilemedi")</x:f>
        <x:v>Erişilemedi</x:v>
      </x:c>
      <x:c r="L550" s="16" t="str">
        <x:v>Stokta</x:v>
      </x:c>
      <x:c r="M550" s="16" t="str">
        <x:v>Harman</x:v>
      </x:c>
      <x:c r="N550" s="16" t="str">
        <x:v>WooCommerce Store API</x:v>
      </x:c>
      <x:c r="O550" s="16" t="str">
        <x:v>Orta</x:v>
      </x:c>
      <x:c r="P550" s="19" t="n">
        <x:v>46245</x:v>
      </x:c>
      <x:c r="Q550" s="20" t="str">
        <x:v>https://coffeemamma.com.tr/urunler/kahveler/filtre-kahveler/coco-blend-filtre-kahve/</x:v>
      </x:c>
      <x:c r="R550" s="20" t="str">
        <x:v>Fiyat veya gramaj eksik olsa da ürün korundu.</x:v>
      </x:c>
    </x:row>
    <x:row r="551" ht="40" customHeight="1">
      <x:c r="A551" s="16" t="str">
        <x:v>Coffeemamma</x:v>
      </x:c>
      <x:c r="B551" s="16" t="str">
        <x:v>İzmir</x:v>
      </x:c>
      <x:c r="C551" s="16" t="str">
        <x:v>Doğrulandı</x:v>
      </x:c>
      <x:c r="D551" s="16" t="str">
        <x:v>Ürün kaydı</x:v>
      </x:c>
      <x:c r="E551" s="16" t="str">
        <x:v>Colombia Armenia Quiendio by Jaira Arcila 200 g</x:v>
      </x:c>
      <x:c r="F551" s="16" t="str">
        <x:v>Kolombiya</x:v>
      </x:c>
      <x:c r="G551" s="17" t="n">
        <x:v>200</x:v>
      </x:c>
      <x:c r="H551" s="16" t="str">
        <x:v>Erişildi</x:v>
      </x:c>
      <x:c r="I551" s="18" t="n">
        <x:v>1000</x:v>
      </x:c>
      <x:c r="J551" s="18" t="str">
        <x:v>Erişildi</x:v>
      </x:c>
      <x:c r="K551" s="18" t="n">
        <x:f>IF(AND(ISNUMBER(G551),ISNUMBER(I551)),I551/G551*1000,"Erişilemedi")</x:f>
        <x:v>5000</x:v>
      </x:c>
      <x:c r="L551" s="16" t="str">
        <x:v>Stokta yok</x:v>
      </x:c>
      <x:c r="M551" s="16" t="str">
        <x:v>Kahve ürünü</x:v>
      </x:c>
      <x:c r="N551" s="16" t="str">
        <x:v>WooCommerce Store API</x:v>
      </x:c>
      <x:c r="O551" s="16" t="str">
        <x:v>Yüksek</x:v>
      </x:c>
      <x:c r="P551" s="19" t="n">
        <x:v>46245</x:v>
      </x:c>
      <x:c r="Q551" s="20" t="str">
        <x:v>https://coffeemamma.com.tr/urunler/kahveler/microlot-filtre-kahveler/colombia-armenia-quiendio-by-jaira-arcila/</x:v>
      </x:c>
      <x:c r="R551" s="20" t="str">
        <x:v>Fiyat veya gramaj eksik olsa da ürün korundu.</x:v>
      </x:c>
    </x:row>
    <x:row r="552" ht="40" customHeight="1">
      <x:c r="A552" s="16" t="str">
        <x:v>Coffeemamma</x:v>
      </x:c>
      <x:c r="B552" s="16" t="str">
        <x:v>İzmir</x:v>
      </x:c>
      <x:c r="C552" s="16" t="str">
        <x:v>Doğrulandı</x:v>
      </x:c>
      <x:c r="D552" s="16" t="str">
        <x:v>Ürün kaydı</x:v>
      </x:c>
      <x:c r="E552" s="16" t="str">
        <x:v>Colombia Finca Mazatlan Washed</x:v>
      </x:c>
      <x:c r="F552" s="16" t="str">
        <x:v>Kolombiya</x:v>
      </x:c>
      <x:c r="G552" s="17" t="n">
        <x:v>250</x:v>
      </x:c>
      <x:c r="H552" s="16" t="str">
        <x:v>Erişildi</x:v>
      </x:c>
      <x:c r="I552" s="18" t="n">
        <x:v>550</x:v>
      </x:c>
      <x:c r="J552" s="18" t="str">
        <x:v>Erişildi</x:v>
      </x:c>
      <x:c r="K552" s="18" t="n">
        <x:f>IF(AND(ISNUMBER(G552),ISNUMBER(I552)),I552/G552*1000,"Erişilemedi")</x:f>
        <x:v>2200</x:v>
      </x:c>
      <x:c r="L552" s="16" t="str">
        <x:v>Stokta yok</x:v>
      </x:c>
      <x:c r="M552" s="16" t="str">
        <x:v>Kahve ürünü</x:v>
      </x:c>
      <x:c r="N552" s="16" t="str">
        <x:v>WooCommerce Store API</x:v>
      </x:c>
      <x:c r="O552" s="16" t="str">
        <x:v>Yüksek</x:v>
      </x:c>
      <x:c r="P552" s="19" t="n">
        <x:v>46245</x:v>
      </x:c>
      <x:c r="Q552" s="20" t="str">
        <x:v>https://coffeemamma.com.tr/urunler/kahveler/filtre-kahveler/colombia-finca-mazatlan-washed/</x:v>
      </x:c>
      <x:c r="R552" s="20" t="str">
        <x:v>Fiyat veya gramaj eksik olsa da ürün korundu.</x:v>
      </x:c>
    </x:row>
    <x:row r="553" ht="40" customHeight="1">
      <x:c r="A553" s="16" t="str">
        <x:v>Coffeemamma</x:v>
      </x:c>
      <x:c r="B553" s="16" t="str">
        <x:v>İzmir</x:v>
      </x:c>
      <x:c r="C553" s="16" t="str">
        <x:v>Doğrulandı</x:v>
      </x:c>
      <x:c r="D553" s="16" t="str">
        <x:v>Ürün kaydı</x:v>
      </x:c>
      <x:c r="E553" s="16" t="str">
        <x:v>Colombia Microlot Series Pink Borbon Creation 250g</x:v>
      </x:c>
      <x:c r="F553" s="16" t="str">
        <x:v>Kolombiya</x:v>
      </x:c>
      <x:c r="G553" s="17" t="n">
        <x:v>250</x:v>
      </x:c>
      <x:c r="H553" s="16" t="str">
        <x:v>Erişildi</x:v>
      </x:c>
      <x:c r="I553" s="18" t="n">
        <x:v>565</x:v>
      </x:c>
      <x:c r="J553" s="18" t="str">
        <x:v>Erişildi</x:v>
      </x:c>
      <x:c r="K553" s="18" t="n">
        <x:f>IF(AND(ISNUMBER(G553),ISNUMBER(I553)),I553/G553*1000,"Erişilemedi")</x:f>
        <x:v>2260</x:v>
      </x:c>
      <x:c r="L553" s="16" t="str">
        <x:v>Stokta</x:v>
      </x:c>
      <x:c r="M553" s="16" t="str">
        <x:v>Tek köken/ürün</x:v>
      </x:c>
      <x:c r="N553" s="16" t="str">
        <x:v>WooCommerce Store API</x:v>
      </x:c>
      <x:c r="O553" s="16" t="str">
        <x:v>Yüksek</x:v>
      </x:c>
      <x:c r="P553" s="19" t="n">
        <x:v>46245</x:v>
      </x:c>
      <x:c r="Q553" s="20" t="str">
        <x:v>https://coffeemamma.com.tr/urunler/kahveler/microlot-filtre-kahveler/colombia-pink-borbon-creation/</x:v>
      </x:c>
      <x:c r="R553" s="20" t="str">
        <x:v>Başlık/açıklamada açık gramaj bulunan aktif ürün.</x:v>
      </x:c>
    </x:row>
    <x:row r="554" ht="40" customHeight="1">
      <x:c r="A554" s="16" t="str">
        <x:v>Coffeemamma</x:v>
      </x:c>
      <x:c r="B554" s="16" t="str">
        <x:v>İzmir</x:v>
      </x:c>
      <x:c r="C554" s="16" t="str">
        <x:v>Doğrulandı</x:v>
      </x:c>
      <x:c r="D554" s="16" t="str">
        <x:v>Ürün kaydı</x:v>
      </x:c>
      <x:c r="E554" s="16" t="str">
        <x:v>COMANDANTE C40 Nitro Blade LIQUID AMBER MK4</x:v>
      </x:c>
      <x:c r="F554" s="16" t="str">
        <x:v>Menşe belirtilmemiş</x:v>
      </x:c>
      <x:c r="G554" s="17" t="str">
        <x:v>Erişilemedi</x:v>
      </x:c>
      <x:c r="H554" s="16" t="str">
        <x:v>Erişilemedi</x:v>
      </x:c>
      <x:c r="I554" s="18" t="n">
        <x:v>16950</x:v>
      </x:c>
      <x:c r="J554" s="18" t="str">
        <x:v>Erişildi</x:v>
      </x:c>
      <x:c r="K554" s="18" t="str">
        <x:f>IF(AND(ISNUMBER(G554),ISNUMBER(I554)),I554/G554*1000,"Erişilemedi")</x:f>
        <x:v>Erişilemedi</x:v>
      </x:c>
      <x:c r="L554" s="16" t="str">
        <x:v>Stokta</x:v>
      </x:c>
      <x:c r="M554" s="16" t="str">
        <x:v>Türk kahvesi</x:v>
      </x:c>
      <x:c r="N554" s="16" t="str">
        <x:v>WooCommerce Store API</x:v>
      </x:c>
      <x:c r="O554" s="16" t="str">
        <x:v>Orta</x:v>
      </x:c>
      <x:c r="P554" s="19" t="n">
        <x:v>46245</x:v>
      </x:c>
      <x:c r="Q554" s="20" t="str">
        <x:v>https://coffeemamma.com.tr/urunler/kahve-ogutuculeri/comandante-c40-nitro-blade-liquid-amber-mk4/</x:v>
      </x:c>
      <x:c r="R554" s="20" t="str">
        <x:v>Fiyat veya gramaj eksik olsa da ürün korundu.</x:v>
      </x:c>
    </x:row>
    <x:row r="555" ht="40" customHeight="1">
      <x:c r="A555" s="16" t="str">
        <x:v>Coffeemamma</x:v>
      </x:c>
      <x:c r="B555" s="16" t="str">
        <x:v>İzmir</x:v>
      </x:c>
      <x:c r="C555" s="16" t="str">
        <x:v>Doğrulandı</x:v>
      </x:c>
      <x:c r="D555" s="16" t="str">
        <x:v>Ürün kaydı</x:v>
      </x:c>
      <x:c r="E555" s="16" t="str">
        <x:v>Comandante C40 Nitro Blade MK4 Yeni Black</x:v>
      </x:c>
      <x:c r="F555" s="16" t="str">
        <x:v>Menşe belirtilmemiş</x:v>
      </x:c>
      <x:c r="G555" s="17" t="str">
        <x:v>Erişilemedi</x:v>
      </x:c>
      <x:c r="H555" s="16" t="str">
        <x:v>Erişilemedi</x:v>
      </x:c>
      <x:c r="I555" s="18" t="n">
        <x:v>14950</x:v>
      </x:c>
      <x:c r="J555" s="18" t="str">
        <x:v>Erişildi</x:v>
      </x:c>
      <x:c r="K555" s="18" t="str">
        <x:f>IF(AND(ISNUMBER(G555),ISNUMBER(I555)),I555/G555*1000,"Erişilemedi")</x:f>
        <x:v>Erişilemedi</x:v>
      </x:c>
      <x:c r="L555" s="16" t="str">
        <x:v>Stokta</x:v>
      </x:c>
      <x:c r="M555" s="16" t="str">
        <x:v>Türk kahvesi</x:v>
      </x:c>
      <x:c r="N555" s="16" t="str">
        <x:v>WooCommerce Store API</x:v>
      </x:c>
      <x:c r="O555" s="16" t="str">
        <x:v>Orta</x:v>
      </x:c>
      <x:c r="P555" s="19" t="n">
        <x:v>46245</x:v>
      </x:c>
      <x:c r="Q555" s="20" t="str">
        <x:v>https://coffeemamma.com.tr/urunler/kahve-ogutuculeri/comandante-c40-nitro-blade-mk4-yeni-black/</x:v>
      </x:c>
      <x:c r="R555" s="20" t="str">
        <x:v>Fiyat veya gramaj eksik olsa da ürün korundu.</x:v>
      </x:c>
    </x:row>
    <x:row r="556" ht="40" customHeight="1">
      <x:c r="A556" s="16" t="str">
        <x:v>Coffeemamma</x:v>
      </x:c>
      <x:c r="B556" s="16" t="str">
        <x:v>İzmir</x:v>
      </x:c>
      <x:c r="C556" s="16" t="str">
        <x:v>Doğrulandı</x:v>
      </x:c>
      <x:c r="D556" s="16" t="str">
        <x:v>Ürün kaydı</x:v>
      </x:c>
      <x:c r="E556" s="16" t="str">
        <x:v>Espresso Carnaval</x:v>
      </x:c>
      <x:c r="F556" s="16" t="str">
        <x:v>Brezilya</x:v>
      </x:c>
      <x:c r="G556" s="17" t="str">
        <x:v>Erişilemedi</x:v>
      </x:c>
      <x:c r="H556" s="16" t="str">
        <x:v>Erişilemedi</x:v>
      </x:c>
      <x:c r="I556" s="18" t="n">
        <x:v>425</x:v>
      </x:c>
      <x:c r="J556" s="18" t="str">
        <x:v>Erişildi</x:v>
      </x:c>
      <x:c r="K556" s="18" t="str">
        <x:f>IF(AND(ISNUMBER(G556),ISNUMBER(I556)),I556/G556*1000,"Erişilemedi")</x:f>
        <x:v>Erişilemedi</x:v>
      </x:c>
      <x:c r="L556" s="16" t="str">
        <x:v>Stokta</x:v>
      </x:c>
      <x:c r="M556" s="16" t="str">
        <x:v>Kahve ürünü</x:v>
      </x:c>
      <x:c r="N556" s="16" t="str">
        <x:v>WooCommerce Store API</x:v>
      </x:c>
      <x:c r="O556" s="16" t="str">
        <x:v>Orta</x:v>
      </x:c>
      <x:c r="P556" s="19" t="n">
        <x:v>46245</x:v>
      </x:c>
      <x:c r="Q556" s="20" t="str">
        <x:v>https://coffeemamma.com.tr/urunler/kahveler/espressolar/espresso-carnaval/</x:v>
      </x:c>
      <x:c r="R556" s="20" t="str">
        <x:v>Fiyat veya gramaj eksik olsa da ürün korundu.</x:v>
      </x:c>
    </x:row>
    <x:row r="557" ht="40" customHeight="1">
      <x:c r="A557" s="16" t="str">
        <x:v>Coffeemamma</x:v>
      </x:c>
      <x:c r="B557" s="16" t="str">
        <x:v>İzmir</x:v>
      </x:c>
      <x:c r="C557" s="16" t="str">
        <x:v>Doğrulandı</x:v>
      </x:c>
      <x:c r="D557" s="16" t="str">
        <x:v>Ürün kaydı</x:v>
      </x:c>
      <x:c r="E557" s="16" t="str">
        <x:v>Espresso Comandante Blend</x:v>
      </x:c>
      <x:c r="F557" s="16" t="str">
        <x:v>Harman – menşe belirtilmemiş</x:v>
      </x:c>
      <x:c r="G557" s="17" t="str">
        <x:v>Erişilemedi</x:v>
      </x:c>
      <x:c r="H557" s="16" t="str">
        <x:v>Erişilemedi</x:v>
      </x:c>
      <x:c r="I557" s="18" t="n">
        <x:v>455</x:v>
      </x:c>
      <x:c r="J557" s="18" t="str">
        <x:v>Erişildi</x:v>
      </x:c>
      <x:c r="K557" s="18" t="str">
        <x:f>IF(AND(ISNUMBER(G557),ISNUMBER(I557)),I557/G557*1000,"Erişilemedi")</x:f>
        <x:v>Erişilemedi</x:v>
      </x:c>
      <x:c r="L557" s="16" t="str">
        <x:v>Stokta</x:v>
      </x:c>
      <x:c r="M557" s="16" t="str">
        <x:v>Harman</x:v>
      </x:c>
      <x:c r="N557" s="16" t="str">
        <x:v>WooCommerce Store API</x:v>
      </x:c>
      <x:c r="O557" s="16" t="str">
        <x:v>Orta</x:v>
      </x:c>
      <x:c r="P557" s="19" t="n">
        <x:v>46245</x:v>
      </x:c>
      <x:c r="Q557" s="20" t="str">
        <x:v>https://coffeemamma.com.tr/urunler/kahveler/espressolar/espresso-comandante-blend/</x:v>
      </x:c>
      <x:c r="R557" s="20" t="str">
        <x:v>Fiyat veya gramaj eksik olsa da ürün korundu.</x:v>
      </x:c>
    </x:row>
    <x:row r="558" ht="40" customHeight="1">
      <x:c r="A558" s="16" t="str">
        <x:v>Coffeemamma</x:v>
      </x:c>
      <x:c r="B558" s="16" t="str">
        <x:v>İzmir</x:v>
      </x:c>
      <x:c r="C558" s="16" t="str">
        <x:v>Doğrulandı</x:v>
      </x:c>
      <x:c r="D558" s="16" t="str">
        <x:v>Ürün kaydı</x:v>
      </x:c>
      <x:c r="E558" s="16" t="str">
        <x:v>Espresso Honduras Single Origin</x:v>
      </x:c>
      <x:c r="F558" s="16" t="str">
        <x:v>Honduras</x:v>
      </x:c>
      <x:c r="G558" s="17" t="str">
        <x:v>Erişilemedi</x:v>
      </x:c>
      <x:c r="H558" s="16" t="str">
        <x:v>Erişilemedi</x:v>
      </x:c>
      <x:c r="I558" s="18" t="n">
        <x:v>470</x:v>
      </x:c>
      <x:c r="J558" s="18" t="str">
        <x:v>Erişildi</x:v>
      </x:c>
      <x:c r="K558" s="18" t="str">
        <x:f>IF(AND(ISNUMBER(G558),ISNUMBER(I558)),I558/G558*1000,"Erişilemedi")</x:f>
        <x:v>Erişilemedi</x:v>
      </x:c>
      <x:c r="L558" s="16" t="str">
        <x:v>Stokta</x:v>
      </x:c>
      <x:c r="M558" s="16" t="str">
        <x:v>Kahve ürünü</x:v>
      </x:c>
      <x:c r="N558" s="16" t="str">
        <x:v>WooCommerce Store API</x:v>
      </x:c>
      <x:c r="O558" s="16" t="str">
        <x:v>Orta</x:v>
      </x:c>
      <x:c r="P558" s="19" t="n">
        <x:v>46245</x:v>
      </x:c>
      <x:c r="Q558" s="20" t="str">
        <x:v>https://coffeemamma.com.tr/urunler/kahveler/espressolar/espresso-honduras-single-origin/</x:v>
      </x:c>
      <x:c r="R558" s="20" t="str">
        <x:v>Fiyat veya gramaj eksik olsa da ürün korundu.</x:v>
      </x:c>
    </x:row>
    <x:row r="559" ht="40" customHeight="1">
      <x:c r="A559" s="16" t="str">
        <x:v>Coffeemamma</x:v>
      </x:c>
      <x:c r="B559" s="16" t="str">
        <x:v>İzmir</x:v>
      </x:c>
      <x:c r="C559" s="16" t="str">
        <x:v>Doğrulandı</x:v>
      </x:c>
      <x:c r="D559" s="16" t="str">
        <x:v>Ürün kaydı</x:v>
      </x:c>
      <x:c r="E559" s="16" t="str">
        <x:v>Espresso Napolitan Blend</x:v>
      </x:c>
      <x:c r="F559" s="16" t="str">
        <x:v>Brezilya</x:v>
      </x:c>
      <x:c r="G559" s="17" t="str">
        <x:v>Erişilemedi</x:v>
      </x:c>
      <x:c r="H559" s="16" t="str">
        <x:v>Erişilemedi</x:v>
      </x:c>
      <x:c r="I559" s="18" t="n">
        <x:v>425</x:v>
      </x:c>
      <x:c r="J559" s="18" t="str">
        <x:v>Erişildi</x:v>
      </x:c>
      <x:c r="K559" s="18" t="str">
        <x:f>IF(AND(ISNUMBER(G559),ISNUMBER(I559)),I559/G559*1000,"Erişilemedi")</x:f>
        <x:v>Erişilemedi</x:v>
      </x:c>
      <x:c r="L559" s="16" t="str">
        <x:v>Stokta</x:v>
      </x:c>
      <x:c r="M559" s="16" t="str">
        <x:v>Harman</x:v>
      </x:c>
      <x:c r="N559" s="16" t="str">
        <x:v>WooCommerce Store API</x:v>
      </x:c>
      <x:c r="O559" s="16" t="str">
        <x:v>Orta</x:v>
      </x:c>
      <x:c r="P559" s="19" t="n">
        <x:v>46245</x:v>
      </x:c>
      <x:c r="Q559" s="20" t="str">
        <x:v>https://coffeemamma.com.tr/urunler/kahveler/espressolar/espresso-napolitan/</x:v>
      </x:c>
      <x:c r="R559" s="20" t="str">
        <x:v>Fiyat veya gramaj eksik olsa da ürün korundu.</x:v>
      </x:c>
    </x:row>
    <x:row r="560" ht="40" customHeight="1">
      <x:c r="A560" s="16" t="str">
        <x:v>Coffeemamma</x:v>
      </x:c>
      <x:c r="B560" s="16" t="str">
        <x:v>İzmir</x:v>
      </x:c>
      <x:c r="C560" s="16" t="str">
        <x:v>Doğrulandı</x:v>
      </x:c>
      <x:c r="D560" s="16" t="str">
        <x:v>Ürün kaydı</x:v>
      </x:c>
      <x:c r="E560" s="16" t="str">
        <x:v>Espresso New York Blend</x:v>
      </x:c>
      <x:c r="F560" s="16" t="str">
        <x:v>Harman – menşe belirtilmemiş</x:v>
      </x:c>
      <x:c r="G560" s="17" t="str">
        <x:v>Erişilemedi</x:v>
      </x:c>
      <x:c r="H560" s="16" t="str">
        <x:v>Erişilemedi</x:v>
      </x:c>
      <x:c r="I560" s="18" t="n">
        <x:v>435</x:v>
      </x:c>
      <x:c r="J560" s="18" t="str">
        <x:v>Erişildi</x:v>
      </x:c>
      <x:c r="K560" s="18" t="str">
        <x:f>IF(AND(ISNUMBER(G560),ISNUMBER(I560)),I560/G560*1000,"Erişilemedi")</x:f>
        <x:v>Erişilemedi</x:v>
      </x:c>
      <x:c r="L560" s="16" t="str">
        <x:v>Stokta</x:v>
      </x:c>
      <x:c r="M560" s="16" t="str">
        <x:v>Harman</x:v>
      </x:c>
      <x:c r="N560" s="16" t="str">
        <x:v>WooCommerce Store API</x:v>
      </x:c>
      <x:c r="O560" s="16" t="str">
        <x:v>Orta</x:v>
      </x:c>
      <x:c r="P560" s="19" t="n">
        <x:v>46245</x:v>
      </x:c>
      <x:c r="Q560" s="20" t="str">
        <x:v>https://coffeemamma.com.tr/urunler/kahveler/espressolar/espresso-new-york-blend/</x:v>
      </x:c>
      <x:c r="R560" s="20" t="str">
        <x:v>Fiyat veya gramaj eksik olsa da ürün korundu.</x:v>
      </x:c>
    </x:row>
    <x:row r="561" ht="40" customHeight="1">
      <x:c r="A561" s="16" t="str">
        <x:v>Coffeemamma</x:v>
      </x:c>
      <x:c r="B561" s="16" t="str">
        <x:v>İzmir</x:v>
      </x:c>
      <x:c r="C561" s="16" t="str">
        <x:v>Doğrulandı</x:v>
      </x:c>
      <x:c r="D561" s="16" t="str">
        <x:v>Ürün kaydı</x:v>
      </x:c>
      <x:c r="E561" s="16" t="str">
        <x:v>Espresso Nicaragua SHG EP</x:v>
      </x:c>
      <x:c r="F561" s="16" t="str">
        <x:v>Nikaragua</x:v>
      </x:c>
      <x:c r="G561" s="17" t="str">
        <x:v>Erişilemedi</x:v>
      </x:c>
      <x:c r="H561" s="16" t="str">
        <x:v>Erişilemedi</x:v>
      </x:c>
      <x:c r="I561" s="18" t="n">
        <x:v>425</x:v>
      </x:c>
      <x:c r="J561" s="18" t="str">
        <x:v>Erişildi</x:v>
      </x:c>
      <x:c r="K561" s="18" t="str">
        <x:f>IF(AND(ISNUMBER(G561),ISNUMBER(I561)),I561/G561*1000,"Erişilemedi")</x:f>
        <x:v>Erişilemedi</x:v>
      </x:c>
      <x:c r="L561" s="16" t="str">
        <x:v>Stokta yok</x:v>
      </x:c>
      <x:c r="M561" s="16" t="str">
        <x:v>Kahve ürünü</x:v>
      </x:c>
      <x:c r="N561" s="16" t="str">
        <x:v>WooCommerce Store API</x:v>
      </x:c>
      <x:c r="O561" s="16" t="str">
        <x:v>Orta</x:v>
      </x:c>
      <x:c r="P561" s="19" t="n">
        <x:v>46245</x:v>
      </x:c>
      <x:c r="Q561" s="20" t="str">
        <x:v>https://coffeemamma.com.tr/urunler/kahveler/espressolar/espresso-nicaragua-shg-ep/</x:v>
      </x:c>
      <x:c r="R561" s="20" t="str">
        <x:v>Fiyat veya gramaj eksik olsa da ürün korundu.</x:v>
      </x:c>
    </x:row>
    <x:row r="562" ht="40" customHeight="1">
      <x:c r="A562" s="16" t="str">
        <x:v>Coffeemamma</x:v>
      </x:c>
      <x:c r="B562" s="16" t="str">
        <x:v>İzmir</x:v>
      </x:c>
      <x:c r="C562" s="16" t="str">
        <x:v>Doğrulandı</x:v>
      </x:c>
      <x:c r="D562" s="16" t="str">
        <x:v>Ürün kaydı</x:v>
      </x:c>
      <x:c r="E562" s="16" t="str">
        <x:v>Ethiopia Sidama Mitima Shantawene Gr1 Natural</x:v>
      </x:c>
      <x:c r="F562" s="16" t="str">
        <x:v>Etiyopya</x:v>
      </x:c>
      <x:c r="G562" s="17" t="n">
        <x:v>250</x:v>
      </x:c>
      <x:c r="H562" s="16" t="str">
        <x:v>Erişildi</x:v>
      </x:c>
      <x:c r="I562" s="18" t="n">
        <x:v>510</x:v>
      </x:c>
      <x:c r="J562" s="18" t="str">
        <x:v>Erişildi</x:v>
      </x:c>
      <x:c r="K562" s="18" t="n">
        <x:f>IF(AND(ISNUMBER(G562),ISNUMBER(I562)),I562/G562*1000,"Erişilemedi")</x:f>
        <x:v>2040</x:v>
      </x:c>
      <x:c r="L562" s="16" t="str">
        <x:v>Stokta</x:v>
      </x:c>
      <x:c r="M562" s="16" t="str">
        <x:v>Tek köken/ürün</x:v>
      </x:c>
      <x:c r="N562" s="16" t="str">
        <x:v>WooCommerce Store API</x:v>
      </x:c>
      <x:c r="O562" s="16" t="str">
        <x:v>Yüksek</x:v>
      </x:c>
      <x:c r="P562" s="19" t="n">
        <x:v>46245</x:v>
      </x:c>
      <x:c r="Q562" s="20" t="str">
        <x:v>https://coffeemamma.com.tr/urunler/kahveler/microlot-filtre-kahveler/ethiopia-sidama-mitima-shantawene-gr1-natural/</x:v>
      </x:c>
      <x:c r="R562" s="20" t="str">
        <x:v>Başlık/açıklamada açık gramaj bulunan aktif ürün.</x:v>
      </x:c>
    </x:row>
    <x:row r="563" ht="40" customHeight="1">
      <x:c r="A563" s="16" t="str">
        <x:v>Coffeemamma</x:v>
      </x:c>
      <x:c r="B563" s="16" t="str">
        <x:v>İzmir</x:v>
      </x:c>
      <x:c r="C563" s="16" t="str">
        <x:v>Doğrulandı</x:v>
      </x:c>
      <x:c r="D563" s="16" t="str">
        <x:v>Ürün kaydı</x:v>
      </x:c>
      <x:c r="E563" s="16" t="str">
        <x:v>Ethiopia Yirgacheffe Aricha GR.I 250g</x:v>
      </x:c>
      <x:c r="F563" s="16" t="str">
        <x:v>Etiyopya</x:v>
      </x:c>
      <x:c r="G563" s="17" t="n">
        <x:v>250</x:v>
      </x:c>
      <x:c r="H563" s="16" t="str">
        <x:v>Erişildi</x:v>
      </x:c>
      <x:c r="I563" s="18" t="n">
        <x:v>510</x:v>
      </x:c>
      <x:c r="J563" s="18" t="str">
        <x:v>Erişildi</x:v>
      </x:c>
      <x:c r="K563" s="18" t="n">
        <x:f>IF(AND(ISNUMBER(G563),ISNUMBER(I563)),I563/G563*1000,"Erişilemedi")</x:f>
        <x:v>2040</x:v>
      </x:c>
      <x:c r="L563" s="16" t="str">
        <x:v>Stokta yok</x:v>
      </x:c>
      <x:c r="M563" s="16" t="str">
        <x:v>Kahve ürünü</x:v>
      </x:c>
      <x:c r="N563" s="16" t="str">
        <x:v>WooCommerce Store API</x:v>
      </x:c>
      <x:c r="O563" s="16" t="str">
        <x:v>Yüksek</x:v>
      </x:c>
      <x:c r="P563" s="19" t="n">
        <x:v>46245</x:v>
      </x:c>
      <x:c r="Q563" s="20" t="str">
        <x:v>https://coffeemamma.com.tr/urunler/kahveler/microlot-filtre-kahveler/ethiopia-yirgacheffe-aricha-gr-i/</x:v>
      </x:c>
      <x:c r="R563" s="20" t="str">
        <x:v>Fiyat veya gramaj eksik olsa da ürün korundu.</x:v>
      </x:c>
    </x:row>
    <x:row r="564" ht="40" customHeight="1">
      <x:c r="A564" s="16" t="str">
        <x:v>Coffeemamma</x:v>
      </x:c>
      <x:c r="B564" s="16" t="str">
        <x:v>İzmir</x:v>
      </x:c>
      <x:c r="C564" s="16" t="str">
        <x:v>Doğrulandı</x:v>
      </x:c>
      <x:c r="D564" s="16" t="str">
        <x:v>Ürün kaydı</x:v>
      </x:c>
      <x:c r="E564" s="16" t="str">
        <x:v>Guatemala Nuevo Oriente Natural 250g</x:v>
      </x:c>
      <x:c r="F564" s="16" t="str">
        <x:v>Guatemala</x:v>
      </x:c>
      <x:c r="G564" s="17" t="n">
        <x:v>250</x:v>
      </x:c>
      <x:c r="H564" s="16" t="str">
        <x:v>Erişildi</x:v>
      </x:c>
      <x:c r="I564" s="18" t="n">
        <x:v>550</x:v>
      </x:c>
      <x:c r="J564" s="18" t="str">
        <x:v>Erişildi</x:v>
      </x:c>
      <x:c r="K564" s="18" t="n">
        <x:f>IF(AND(ISNUMBER(G564),ISNUMBER(I564)),I564/G564*1000,"Erişilemedi")</x:f>
        <x:v>2200</x:v>
      </x:c>
      <x:c r="L564" s="16" t="str">
        <x:v>Stokta</x:v>
      </x:c>
      <x:c r="M564" s="16" t="str">
        <x:v>Tek köken/ürün</x:v>
      </x:c>
      <x:c r="N564" s="16" t="str">
        <x:v>WooCommerce Store API</x:v>
      </x:c>
      <x:c r="O564" s="16" t="str">
        <x:v>Yüksek</x:v>
      </x:c>
      <x:c r="P564" s="19" t="n">
        <x:v>46245</x:v>
      </x:c>
      <x:c r="Q564" s="20" t="str">
        <x:v>https://coffeemamma.com.tr/urunler/kahveler/microlot-filtre-kahveler/guatemala-nuova-oriente-natural/</x:v>
      </x:c>
      <x:c r="R564" s="20" t="str">
        <x:v>Başlık/açıklamada açık gramaj bulunan aktif ürün.</x:v>
      </x:c>
    </x:row>
    <x:row r="565" ht="40" customHeight="1">
      <x:c r="A565" s="16" t="str">
        <x:v>Coffeemamma</x:v>
      </x:c>
      <x:c r="B565" s="16" t="str">
        <x:v>İzmir</x:v>
      </x:c>
      <x:c r="C565" s="16" t="str">
        <x:v>Doğrulandı</x:v>
      </x:c>
      <x:c r="D565" s="16" t="str">
        <x:v>Ürün kaydı</x:v>
      </x:c>
      <x:c r="E565" s="16" t="str">
        <x:v>Hassas Kahve Terazisi</x:v>
      </x:c>
      <x:c r="F565" s="16" t="str">
        <x:v>Menşe belirtilmemiş</x:v>
      </x:c>
      <x:c r="G565" s="17" t="str">
        <x:v>Erişilemedi</x:v>
      </x:c>
      <x:c r="H565" s="16" t="str">
        <x:v>Erişilemedi</x:v>
      </x:c>
      <x:c r="I565" s="18" t="n">
        <x:v>1000</x:v>
      </x:c>
      <x:c r="J565" s="18" t="str">
        <x:v>Erişildi</x:v>
      </x:c>
      <x:c r="K565" s="18" t="str">
        <x:f>IF(AND(ISNUMBER(G565),ISNUMBER(I565)),I565/G565*1000,"Erişilemedi")</x:f>
        <x:v>Erişilemedi</x:v>
      </x:c>
      <x:c r="L565" s="16" t="str">
        <x:v>Stokta yok</x:v>
      </x:c>
      <x:c r="M565" s="16" t="str">
        <x:v>Kahve ürünü</x:v>
      </x:c>
      <x:c r="N565" s="16" t="str">
        <x:v>WooCommerce Store API</x:v>
      </x:c>
      <x:c r="O565" s="16" t="str">
        <x:v>Orta</x:v>
      </x:c>
      <x:c r="P565" s="19" t="n">
        <x:v>46245</x:v>
      </x:c>
      <x:c r="Q565" s="20" t="str">
        <x:v>https://coffeemamma.com.tr/urunler/tartilar/hassas-kahve-terazisi/</x:v>
      </x:c>
      <x:c r="R565" s="20" t="str">
        <x:v>Fiyat veya gramaj eksik olsa da ürün korundu.</x:v>
      </x:c>
    </x:row>
    <x:row r="566" ht="40" customHeight="1">
      <x:c r="A566" s="16" t="str">
        <x:v>Coffeemamma</x:v>
      </x:c>
      <x:c r="B566" s="16" t="str">
        <x:v>İzmir</x:v>
      </x:c>
      <x:c r="C566" s="16" t="str">
        <x:v>Doğrulandı</x:v>
      </x:c>
      <x:c r="D566" s="16" t="str">
        <x:v>Ürün kaydı</x:v>
      </x:c>
      <x:c r="E566" s="16" t="str">
        <x:v>Heft Ethiopia Yirgacheffe Türk kahvesi 100g</x:v>
      </x:c>
      <x:c r="F566" s="16" t="str">
        <x:v>Etiyopya</x:v>
      </x:c>
      <x:c r="G566" s="17" t="n">
        <x:v>100</x:v>
      </x:c>
      <x:c r="H566" s="16" t="str">
        <x:v>Erişildi</x:v>
      </x:c>
      <x:c r="I566" s="18" t="n">
        <x:v>110</x:v>
      </x:c>
      <x:c r="J566" s="18" t="str">
        <x:v>Erişildi</x:v>
      </x:c>
      <x:c r="K566" s="18" t="n">
        <x:f>IF(AND(ISNUMBER(G566),ISNUMBER(I566)),I566/G566*1000,"Erişilemedi")</x:f>
        <x:v>1100</x:v>
      </x:c>
      <x:c r="L566" s="16" t="str">
        <x:v>Stokta yok</x:v>
      </x:c>
      <x:c r="M566" s="16" t="str">
        <x:v>Türk kahvesi</x:v>
      </x:c>
      <x:c r="N566" s="16" t="str">
        <x:v>WooCommerce Store API</x:v>
      </x:c>
      <x:c r="O566" s="16" t="str">
        <x:v>Yüksek</x:v>
      </x:c>
      <x:c r="P566" s="19" t="n">
        <x:v>46245</x:v>
      </x:c>
      <x:c r="Q566" s="20" t="str">
        <x:v>https://coffeemamma.com.tr/urunler/kahveler/turk-kahveleri/heft-ethiopia-yirgacheffe-turk-kahvesi-100g/</x:v>
      </x:c>
      <x:c r="R566" s="20" t="str">
        <x:v>Fiyat veya gramaj eksik olsa da ürün korundu.</x:v>
      </x:c>
    </x:row>
    <x:row r="567" ht="40" customHeight="1">
      <x:c r="A567" s="16" t="str">
        <x:v>Coffeemamma</x:v>
      </x:c>
      <x:c r="B567" s="16" t="str">
        <x:v>İzmir</x:v>
      </x:c>
      <x:c r="C567" s="16" t="str">
        <x:v>Doğrulandı</x:v>
      </x:c>
      <x:c r="D567" s="16" t="str">
        <x:v>Ürün kaydı</x:v>
      </x:c>
      <x:c r="E567" s="16" t="str">
        <x:v>House Blend Filtre Kahve</x:v>
      </x:c>
      <x:c r="F567" s="16" t="str">
        <x:v>Harman – menşe belirtilmemiş</x:v>
      </x:c>
      <x:c r="G567" s="17" t="str">
        <x:v>Erişilemedi</x:v>
      </x:c>
      <x:c r="H567" s="16" t="str">
        <x:v>Erişilemedi</x:v>
      </x:c>
      <x:c r="I567" s="18" t="n">
        <x:v>440</x:v>
      </x:c>
      <x:c r="J567" s="18" t="str">
        <x:v>Erişildi</x:v>
      </x:c>
      <x:c r="K567" s="18" t="str">
        <x:f>IF(AND(ISNUMBER(G567),ISNUMBER(I567)),I567/G567*1000,"Erişilemedi")</x:f>
        <x:v>Erişilemedi</x:v>
      </x:c>
      <x:c r="L567" s="16" t="str">
        <x:v>Stokta</x:v>
      </x:c>
      <x:c r="M567" s="16" t="str">
        <x:v>Harman</x:v>
      </x:c>
      <x:c r="N567" s="16" t="str">
        <x:v>WooCommerce Store API</x:v>
      </x:c>
      <x:c r="O567" s="16" t="str">
        <x:v>Orta</x:v>
      </x:c>
      <x:c r="P567" s="19" t="n">
        <x:v>46245</x:v>
      </x:c>
      <x:c r="Q567" s="20" t="str">
        <x:v>https://coffeemamma.com.tr/urunler/kahveler/filtre-kahveler/house-blend-filtre-kahve/</x:v>
      </x:c>
      <x:c r="R567" s="20" t="str">
        <x:v>Fiyat veya gramaj eksik olsa da ürün korundu.</x:v>
      </x:c>
    </x:row>
    <x:row r="568" ht="40" customHeight="1">
      <x:c r="A568" s="16" t="str">
        <x:v>Coffeemamma</x:v>
      </x:c>
      <x:c r="B568" s="16" t="str">
        <x:v>İzmir</x:v>
      </x:c>
      <x:c r="C568" s="16" t="str">
        <x:v>Doğrulandı</x:v>
      </x:c>
      <x:c r="D568" s="16" t="str">
        <x:v>Ürün kaydı</x:v>
      </x:c>
      <x:c r="E568" s="16" t="str">
        <x:v>Kahvem Geleneksel Türk Kahvesi 100g</x:v>
      </x:c>
      <x:c r="F568" s="16" t="str">
        <x:v>Brezilya</x:v>
      </x:c>
      <x:c r="G568" s="17" t="n">
        <x:v>100</x:v>
      </x:c>
      <x:c r="H568" s="16" t="str">
        <x:v>Erişildi</x:v>
      </x:c>
      <x:c r="I568" s="18" t="n">
        <x:v>451</x:v>
      </x:c>
      <x:c r="J568" s="18" t="str">
        <x:v>Erişildi</x:v>
      </x:c>
      <x:c r="K568" s="18" t="n">
        <x:f>IF(AND(ISNUMBER(G568),ISNUMBER(I568)),I568/G568*1000,"Erişilemedi")</x:f>
        <x:v>4510</x:v>
      </x:c>
      <x:c r="L568" s="16" t="str">
        <x:v>Stokta</x:v>
      </x:c>
      <x:c r="M568" s="16" t="str">
        <x:v>Türk kahvesi</x:v>
      </x:c>
      <x:c r="N568" s="16" t="str">
        <x:v>WooCommerce Store API</x:v>
      </x:c>
      <x:c r="O568" s="16" t="str">
        <x:v>Yüksek</x:v>
      </x:c>
      <x:c r="P568" s="19" t="n">
        <x:v>46245</x:v>
      </x:c>
      <x:c r="Q568" s="20" t="str">
        <x:v>https://coffeemamma.com.tr/urunler/kahveler/turk-kahveleri/kahvem-geleneksel-turk-kahvesi-100g/</x:v>
      </x:c>
      <x:c r="R568" s="20" t="str">
        <x:v>Başlık/açıklamada açık gramaj bulunan aktif ürün.</x:v>
      </x:c>
    </x:row>
    <x:row r="569" ht="40" customHeight="1">
      <x:c r="A569" s="16" t="str">
        <x:v>Coffeemamma</x:v>
      </x:c>
      <x:c r="B569" s="16" t="str">
        <x:v>İzmir</x:v>
      </x:c>
      <x:c r="C569" s="16" t="str">
        <x:v>Doğrulandı</x:v>
      </x:c>
      <x:c r="D569" s="16" t="str">
        <x:v>Ürün kaydı</x:v>
      </x:c>
      <x:c r="E569" s="16" t="str">
        <x:v>Peru Finca Rosenheim 250g.</x:v>
      </x:c>
      <x:c r="F569" s="16" t="str">
        <x:v>Peru</x:v>
      </x:c>
      <x:c r="G569" s="17" t="n">
        <x:v>250</x:v>
      </x:c>
      <x:c r="H569" s="16" t="str">
        <x:v>Erişildi</x:v>
      </x:c>
      <x:c r="I569" s="18" t="n">
        <x:v>440</x:v>
      </x:c>
      <x:c r="J569" s="18" t="str">
        <x:v>Erişildi</x:v>
      </x:c>
      <x:c r="K569" s="18" t="n">
        <x:f>IF(AND(ISNUMBER(G569),ISNUMBER(I569)),I569/G569*1000,"Erişilemedi")</x:f>
        <x:v>1760</x:v>
      </x:c>
      <x:c r="L569" s="16" t="str">
        <x:v>Stokta yok</x:v>
      </x:c>
      <x:c r="M569" s="16" t="str">
        <x:v>Kahve ürünü</x:v>
      </x:c>
      <x:c r="N569" s="16" t="str">
        <x:v>WooCommerce Store API</x:v>
      </x:c>
      <x:c r="O569" s="16" t="str">
        <x:v>Yüksek</x:v>
      </x:c>
      <x:c r="P569" s="19" t="n">
        <x:v>46245</x:v>
      </x:c>
      <x:c r="Q569" s="20" t="str">
        <x:v>https://coffeemamma.com.tr/urunler/kahveler/filtre-kahveler/peru-finca-rosenheim-250g/</x:v>
      </x:c>
      <x:c r="R569" s="20" t="str">
        <x:v>Fiyat veya gramaj eksik olsa da ürün korundu.</x:v>
      </x:c>
    </x:row>
    <x:row r="570" ht="40" customHeight="1">
      <x:c r="A570" s="16" t="str">
        <x:v>CoffeeNutz</x:v>
      </x:c>
      <x:c r="B570" s="16" t="str">
        <x:v>İzmir</x:v>
      </x:c>
      <x:c r="C570" s="16" t="str">
        <x:v>Kısmi doğrulama</x:v>
      </x:c>
      <x:c r="D570" s="16" t="str">
        <x:v>Katalog takip kaydı</x:v>
      </x:c>
      <x:c r="E570" s="16" t="str">
        <x:v>Ürün kataloğu — ayrıntılı ürün verisine erişilemedi</x:v>
      </x:c>
      <x:c r="F570" s="16" t="str">
        <x:v>Erişilemedi</x:v>
      </x:c>
      <x:c r="G570" s="17" t="str">
        <x:v>Erişilemedi</x:v>
      </x:c>
      <x:c r="H570" s="16" t="str">
        <x:v>Erişilemedi</x:v>
      </x:c>
      <x:c r="I570" s="18" t="str">
        <x:v>Erişilemedi</x:v>
      </x:c>
      <x:c r="J570" s="18" t="str">
        <x:v>Erişilemedi</x:v>
      </x:c>
      <x:c r="K570" s="18" t="str">
        <x:f>IF(AND(ISNUMBER(G570),ISNUMBER(I570)),I570/G570*1000,"Erişilemedi")</x:f>
        <x:v>Erişilemedi</x:v>
      </x:c>
      <x:c r="L570" s="16" t="str">
        <x:v>Erişilemedi</x:v>
      </x:c>
      <x:c r="M570" s="16" t="str">
        <x:v>Katalog/takip kaydı</x:v>
      </x:c>
      <x:c r="N570" s="16" t="str">
        <x:v>Instagram veya mevcut kaynak</x:v>
      </x:c>
      <x:c r="O570" s="16" t="str">
        <x:v>Takip gerekli</x:v>
      </x:c>
      <x:c r="P570" s="19" t="n">
        <x:v>46245</x:v>
      </x:c>
      <x:c r="Q570" s="20" t="str">
        <x:v>Erişilemedi</x:v>
      </x:c>
      <x:c r="R570" s="20" t="str">
        <x:v>Ürün adı, gramaj ve fiyat birlikte çıkarılamadı. Bağlantı manuel inceleme için korundu.</x:v>
      </x:c>
    </x:row>
    <x:row r="571" ht="40" customHeight="1">
      <x:c r="A571" s="16" t="str">
        <x:v>Coffeerem Roastery</x:v>
      </x:c>
      <x:c r="B571" s="16" t="str">
        <x:v>İzmir</x:v>
      </x:c>
      <x:c r="C571" s="16" t="str">
        <x:v>Kısmi doğrulama</x:v>
      </x:c>
      <x:c r="D571" s="16" t="str">
        <x:v>Ürün kaydı</x:v>
      </x:c>
      <x:c r="E571" s="16" t="str">
        <x:v>Brazil Alfenas Dulce Türk Kahvesi</x:v>
      </x:c>
      <x:c r="F571" s="16" t="str">
        <x:v>Brezilya</x:v>
      </x:c>
      <x:c r="G571" s="17" t="str">
        <x:v>Erişilemedi</x:v>
      </x:c>
      <x:c r="H571" s="16" t="str">
        <x:v>Erişilemedi</x:v>
      </x:c>
      <x:c r="I571" s="18" t="n">
        <x:v>500</x:v>
      </x:c>
      <x:c r="J571" s="18" t="str">
        <x:v>Erişildi</x:v>
      </x:c>
      <x:c r="K571" s="18" t="str">
        <x:f>IF(AND(ISNUMBER(G571),ISNUMBER(I571)),I571/G571*1000,"Erişilemedi")</x:f>
        <x:v>Erişilemedi</x:v>
      </x:c>
      <x:c r="L571" s="16" t="str">
        <x:v>Stokta</x:v>
      </x:c>
      <x:c r="M571" s="16" t="str">
        <x:v>Türk kahvesi</x:v>
      </x:c>
      <x:c r="N571" s="16" t="str">
        <x:v>WooCommerce Store API</x:v>
      </x:c>
      <x:c r="O571" s="16" t="str">
        <x:v>Orta</x:v>
      </x:c>
      <x:c r="P571" s="19" t="n">
        <x:v>46245</x:v>
      </x:c>
      <x:c r="Q571" s="20" t="str">
        <x:v>https://coffeerem.com/product/brazil-alfenas-dulce-turk-kahvesi/</x:v>
      </x:c>
      <x:c r="R571" s="20" t="str">
        <x:v>Fiyat veya gramaj eksik olsa da ürün korundu.</x:v>
      </x:c>
    </x:row>
    <x:row r="572" ht="40" customHeight="1">
      <x:c r="A572" s="16" t="str">
        <x:v>Coffeerem Roastery</x:v>
      </x:c>
      <x:c r="B572" s="16" t="str">
        <x:v>İzmir</x:v>
      </x:c>
      <x:c r="C572" s="16" t="str">
        <x:v>Kısmi doğrulama</x:v>
      </x:c>
      <x:c r="D572" s="16" t="str">
        <x:v>Ürün kaydı</x:v>
      </x:c>
      <x:c r="E572" s="16" t="str">
        <x:v>Brazil DCM Natural Process Decaf</x:v>
      </x:c>
      <x:c r="F572" s="16" t="str">
        <x:v>Brezilya</x:v>
      </x:c>
      <x:c r="G572" s="17" t="str">
        <x:v>Erişilemedi</x:v>
      </x:c>
      <x:c r="H572" s="16" t="str">
        <x:v>Erişilemedi</x:v>
      </x:c>
      <x:c r="I572" s="18" t="n">
        <x:v>650</x:v>
      </x:c>
      <x:c r="J572" s="18" t="str">
        <x:v>Erişildi</x:v>
      </x:c>
      <x:c r="K572" s="18" t="str">
        <x:f>IF(AND(ISNUMBER(G572),ISNUMBER(I572)),I572/G572*1000,"Erişilemedi")</x:f>
        <x:v>Erişilemedi</x:v>
      </x:c>
      <x:c r="L572" s="16" t="str">
        <x:v>Stokta</x:v>
      </x:c>
      <x:c r="M572" s="16" t="str">
        <x:v>Kahve ürünü</x:v>
      </x:c>
      <x:c r="N572" s="16" t="str">
        <x:v>WooCommerce Store API</x:v>
      </x:c>
      <x:c r="O572" s="16" t="str">
        <x:v>Orta</x:v>
      </x:c>
      <x:c r="P572" s="19" t="n">
        <x:v>46245</x:v>
      </x:c>
      <x:c r="Q572" s="20" t="str">
        <x:v>https://coffeerem.com/product/brazil-dcm-natural-process-decaf/</x:v>
      </x:c>
      <x:c r="R572" s="20" t="str">
        <x:v>Fiyat veya gramaj eksik olsa da ürün korundu.</x:v>
      </x:c>
    </x:row>
    <x:row r="573" ht="40" customHeight="1">
      <x:c r="A573" s="16" t="str">
        <x:v>Coffeerem Roastery</x:v>
      </x:c>
      <x:c r="B573" s="16" t="str">
        <x:v>İzmir</x:v>
      </x:c>
      <x:c r="C573" s="16" t="str">
        <x:v>Kısmi doğrulama</x:v>
      </x:c>
      <x:c r="D573" s="16" t="str">
        <x:v>Ürün kaydı</x:v>
      </x:c>
      <x:c r="E573" s="16" t="str">
        <x:v>Brazil High Mogiana Türk Kahvesi</x:v>
      </x:c>
      <x:c r="F573" s="16" t="str">
        <x:v>Brezilya</x:v>
      </x:c>
      <x:c r="G573" s="17" t="str">
        <x:v>Erişilemedi</x:v>
      </x:c>
      <x:c r="H573" s="16" t="str">
        <x:v>Erişilemedi</x:v>
      </x:c>
      <x:c r="I573" s="18" t="n">
        <x:v>500</x:v>
      </x:c>
      <x:c r="J573" s="18" t="str">
        <x:v>Erişildi</x:v>
      </x:c>
      <x:c r="K573" s="18" t="str">
        <x:f>IF(AND(ISNUMBER(G573),ISNUMBER(I573)),I573/G573*1000,"Erişilemedi")</x:f>
        <x:v>Erişilemedi</x:v>
      </x:c>
      <x:c r="L573" s="16" t="str">
        <x:v>Stokta</x:v>
      </x:c>
      <x:c r="M573" s="16" t="str">
        <x:v>Türk kahvesi</x:v>
      </x:c>
      <x:c r="N573" s="16" t="str">
        <x:v>WooCommerce Store API</x:v>
      </x:c>
      <x:c r="O573" s="16" t="str">
        <x:v>Orta</x:v>
      </x:c>
      <x:c r="P573" s="19" t="n">
        <x:v>46245</x:v>
      </x:c>
      <x:c r="Q573" s="20" t="str">
        <x:v>https://coffeerem.com/product/brazil-high-mogiana-turk-kahvesi/</x:v>
      </x:c>
      <x:c r="R573" s="20" t="str">
        <x:v>Fiyat veya gramaj eksik olsa da ürün korundu.</x:v>
      </x:c>
    </x:row>
    <x:row r="574" ht="40" customHeight="1">
      <x:c r="A574" s="16" t="str">
        <x:v>Coffeerem Roastery</x:v>
      </x:c>
      <x:c r="B574" s="16" t="str">
        <x:v>İzmir</x:v>
      </x:c>
      <x:c r="C574" s="16" t="str">
        <x:v>Kısmi doğrulama</x:v>
      </x:c>
      <x:c r="D574" s="16" t="str">
        <x:v>Ürün kaydı</x:v>
      </x:c>
      <x:c r="E574" s="16" t="str">
        <x:v>Coffeerem Black Box</x:v>
      </x:c>
      <x:c r="F574" s="16" t="str">
        <x:v>Etiyopya | Kolombiya</x:v>
      </x:c>
      <x:c r="G574" s="17" t="n">
        <x:v>70</x:v>
      </x:c>
      <x:c r="H574" s="16" t="str">
        <x:v>Erişildi</x:v>
      </x:c>
      <x:c r="I574" s="18" t="n">
        <x:v>1200</x:v>
      </x:c>
      <x:c r="J574" s="18" t="str">
        <x:v>Erişildi</x:v>
      </x:c>
      <x:c r="K574" s="18" t="n">
        <x:f>IF(AND(ISNUMBER(G574),ISNUMBER(I574)),I574/G574*1000,"Erişilemedi")</x:f>
        <x:v>17142.85714285714</x:v>
      </x:c>
      <x:c r="L574" s="16" t="str">
        <x:v>Stokta yok</x:v>
      </x:c>
      <x:c r="M574" s="16" t="str">
        <x:v>Kahve ürünü</x:v>
      </x:c>
      <x:c r="N574" s="16" t="str">
        <x:v>WooCommerce Store API</x:v>
      </x:c>
      <x:c r="O574" s="16" t="str">
        <x:v>Yüksek</x:v>
      </x:c>
      <x:c r="P574" s="19" t="n">
        <x:v>46245</x:v>
      </x:c>
      <x:c r="Q574" s="20" t="str">
        <x:v>https://coffeerem.com/product/coffeerem-black-box/</x:v>
      </x:c>
      <x:c r="R574" s="20" t="str">
        <x:v>Fiyat veya gramaj eksik olsa da ürün korundu.</x:v>
      </x:c>
    </x:row>
    <x:row r="575" ht="40" customHeight="1">
      <x:c r="A575" s="16" t="str">
        <x:v>Coffeerem Roastery</x:v>
      </x:c>
      <x:c r="B575" s="16" t="str">
        <x:v>İzmir</x:v>
      </x:c>
      <x:c r="C575" s="16" t="str">
        <x:v>Kısmi doğrulama</x:v>
      </x:c>
      <x:c r="D575" s="16" t="str">
        <x:v>Ürün kaydı</x:v>
      </x:c>
      <x:c r="E575" s="16" t="str">
        <x:v>Coffeerem Santa Monica Serisi</x:v>
      </x:c>
      <x:c r="F575" s="16" t="str">
        <x:v>Kolombiya</x:v>
      </x:c>
      <x:c r="G575" s="17" t="n">
        <x:v>100</x:v>
      </x:c>
      <x:c r="H575" s="16" t="str">
        <x:v>Erişildi</x:v>
      </x:c>
      <x:c r="I575" s="18" t="n">
        <x:v>2000</x:v>
      </x:c>
      <x:c r="J575" s="18" t="str">
        <x:v>Erişildi</x:v>
      </x:c>
      <x:c r="K575" s="18" t="n">
        <x:f>IF(AND(ISNUMBER(G575),ISNUMBER(I575)),I575/G575*1000,"Erişilemedi")</x:f>
        <x:v>20000</x:v>
      </x:c>
      <x:c r="L575" s="16" t="str">
        <x:v>Stokta</x:v>
      </x:c>
      <x:c r="M575" s="16" t="str">
        <x:v>Tek köken/ürün</x:v>
      </x:c>
      <x:c r="N575" s="16" t="str">
        <x:v>WooCommerce Store API</x:v>
      </x:c>
      <x:c r="O575" s="16" t="str">
        <x:v>Yüksek</x:v>
      </x:c>
      <x:c r="P575" s="19" t="n">
        <x:v>46245</x:v>
      </x:c>
      <x:c r="Q575" s="20" t="str">
        <x:v>https://coffeerem.com/product/coffeerem-santa-monica-serisi/</x:v>
      </x:c>
      <x:c r="R575" s="20" t="str">
        <x:v>Başlık/açıklamada açık gramaj bulunan aktif ürün.</x:v>
      </x:c>
    </x:row>
    <x:row r="576" ht="40" customHeight="1">
      <x:c r="A576" s="16" t="str">
        <x:v>Coffeerem Roastery</x:v>
      </x:c>
      <x:c r="B576" s="16" t="str">
        <x:v>İzmir</x:v>
      </x:c>
      <x:c r="C576" s="16" t="str">
        <x:v>Kısmi doğrulama</x:v>
      </x:c>
      <x:c r="D576" s="16" t="str">
        <x:v>Ürün kaydı</x:v>
      </x:c>
      <x:c r="E576" s="16" t="str">
        <x:v>Coffeerem Yeni Yıl Özel Kutusu</x:v>
      </x:c>
      <x:c r="F576" s="16" t="str">
        <x:v>Kolombiya</x:v>
      </x:c>
      <x:c r="G576" s="17" t="n">
        <x:v>100</x:v>
      </x:c>
      <x:c r="H576" s="16" t="str">
        <x:v>Erişildi</x:v>
      </x:c>
      <x:c r="I576" s="18" t="n">
        <x:v>1800</x:v>
      </x:c>
      <x:c r="J576" s="18" t="str">
        <x:v>Erişildi</x:v>
      </x:c>
      <x:c r="K576" s="18" t="n">
        <x:f>IF(AND(ISNUMBER(G576),ISNUMBER(I576)),I576/G576*1000,"Erişilemedi")</x:f>
        <x:v>18000</x:v>
      </x:c>
      <x:c r="L576" s="16" t="str">
        <x:v>Stokta yok</x:v>
      </x:c>
      <x:c r="M576" s="16" t="str">
        <x:v>Kahve ürünü</x:v>
      </x:c>
      <x:c r="N576" s="16" t="str">
        <x:v>WooCommerce Store API</x:v>
      </x:c>
      <x:c r="O576" s="16" t="str">
        <x:v>Yüksek</x:v>
      </x:c>
      <x:c r="P576" s="19" t="n">
        <x:v>46245</x:v>
      </x:c>
      <x:c r="Q576" s="20" t="str">
        <x:v>https://coffeerem.com/product/coffeerem-yeni-yil-ozel-kutusu/</x:v>
      </x:c>
      <x:c r="R576" s="20" t="str">
        <x:v>Fiyat veya gramaj eksik olsa da ürün korundu.</x:v>
      </x:c>
    </x:row>
    <x:row r="577" ht="40" customHeight="1">
      <x:c r="A577" s="16" t="str">
        <x:v>Coffeerem Roastery</x:v>
      </x:c>
      <x:c r="B577" s="16" t="str">
        <x:v>İzmir</x:v>
      </x:c>
      <x:c r="C577" s="16" t="str">
        <x:v>Kısmi doğrulama</x:v>
      </x:c>
      <x:c r="D577" s="16" t="str">
        <x:v>Ürün kaydı</x:v>
      </x:c>
      <x:c r="E577" s="16" t="str">
        <x:v>Cold Brew Boledu Natural Anaerobic</x:v>
      </x:c>
      <x:c r="F577" s="16" t="str">
        <x:v>Menşe belirtilmemiş</x:v>
      </x:c>
      <x:c r="G577" s="17" t="str">
        <x:v>Erişilemedi</x:v>
      </x:c>
      <x:c r="H577" s="16" t="str">
        <x:v>Erişilemedi</x:v>
      </x:c>
      <x:c r="I577" s="18" t="n">
        <x:v>850</x:v>
      </x:c>
      <x:c r="J577" s="18" t="str">
        <x:v>Erişildi</x:v>
      </x:c>
      <x:c r="K577" s="18" t="str">
        <x:f>IF(AND(ISNUMBER(G577),ISNUMBER(I577)),I577/G577*1000,"Erişilemedi")</x:f>
        <x:v>Erişilemedi</x:v>
      </x:c>
      <x:c r="L577" s="16" t="str">
        <x:v>Stokta</x:v>
      </x:c>
      <x:c r="M577" s="16" t="str">
        <x:v>Kahve ürünü</x:v>
      </x:c>
      <x:c r="N577" s="16" t="str">
        <x:v>WooCommerce Store API</x:v>
      </x:c>
      <x:c r="O577" s="16" t="str">
        <x:v>Orta</x:v>
      </x:c>
      <x:c r="P577" s="19" t="n">
        <x:v>46245</x:v>
      </x:c>
      <x:c r="Q577" s="20" t="str">
        <x:v>https://coffeerem.com/product/cold-brew-boledu-natural-anaerobic/</x:v>
      </x:c>
      <x:c r="R577" s="20" t="str">
        <x:v>Fiyat veya gramaj eksik olsa da ürün korundu.</x:v>
      </x:c>
    </x:row>
    <x:row r="578" ht="40" customHeight="1">
      <x:c r="A578" s="16" t="str">
        <x:v>Coffeerem Roastery</x:v>
      </x:c>
      <x:c r="B578" s="16" t="str">
        <x:v>İzmir</x:v>
      </x:c>
      <x:c r="C578" s="16" t="str">
        <x:v>Kısmi doğrulama</x:v>
      </x:c>
      <x:c r="D578" s="16" t="str">
        <x:v>Ürün kaydı</x:v>
      </x:c>
      <x:c r="E578" s="16" t="str">
        <x:v>Cold Brew El Indio</x:v>
      </x:c>
      <x:c r="F578" s="16" t="str">
        <x:v>Menşe belirtilmemiş</x:v>
      </x:c>
      <x:c r="G578" s="17" t="str">
        <x:v>Erişilemedi</x:v>
      </x:c>
      <x:c r="H578" s="16" t="str">
        <x:v>Erişilemedi</x:v>
      </x:c>
      <x:c r="I578" s="18" t="n">
        <x:v>750</x:v>
      </x:c>
      <x:c r="J578" s="18" t="str">
        <x:v>Erişildi</x:v>
      </x:c>
      <x:c r="K578" s="18" t="str">
        <x:f>IF(AND(ISNUMBER(G578),ISNUMBER(I578)),I578/G578*1000,"Erişilemedi")</x:f>
        <x:v>Erişilemedi</x:v>
      </x:c>
      <x:c r="L578" s="16" t="str">
        <x:v>Stokta yok</x:v>
      </x:c>
      <x:c r="M578" s="16" t="str">
        <x:v>Kahve ürünü</x:v>
      </x:c>
      <x:c r="N578" s="16" t="str">
        <x:v>WooCommerce Store API</x:v>
      </x:c>
      <x:c r="O578" s="16" t="str">
        <x:v>Orta</x:v>
      </x:c>
      <x:c r="P578" s="19" t="n">
        <x:v>46245</x:v>
      </x:c>
      <x:c r="Q578" s="20" t="str">
        <x:v>https://coffeerem.com/product/cold-brew-el-indio/</x:v>
      </x:c>
      <x:c r="R578" s="20" t="str">
        <x:v>Fiyat veya gramaj eksik olsa da ürün korundu.</x:v>
      </x:c>
    </x:row>
    <x:row r="579" ht="40" customHeight="1">
      <x:c r="A579" s="16" t="str">
        <x:v>Coffeerem Roastery</x:v>
      </x:c>
      <x:c r="B579" s="16" t="str">
        <x:v>İzmir</x:v>
      </x:c>
      <x:c r="C579" s="16" t="str">
        <x:v>Kısmi doğrulama</x:v>
      </x:c>
      <x:c r="D579" s="16" t="str">
        <x:v>Ürün kaydı</x:v>
      </x:c>
      <x:c r="E579" s="16" t="str">
        <x:v>Cold Brew Elkin Guzman Strawberry</x:v>
      </x:c>
      <x:c r="F579" s="16" t="str">
        <x:v>Kolombiya</x:v>
      </x:c>
      <x:c r="G579" s="17" t="str">
        <x:v>Erişilemedi</x:v>
      </x:c>
      <x:c r="H579" s="16" t="str">
        <x:v>Erişilemedi</x:v>
      </x:c>
      <x:c r="I579" s="18" t="n">
        <x:v>1100</x:v>
      </x:c>
      <x:c r="J579" s="18" t="str">
        <x:v>Erişildi</x:v>
      </x:c>
      <x:c r="K579" s="18" t="str">
        <x:f>IF(AND(ISNUMBER(G579),ISNUMBER(I579)),I579/G579*1000,"Erişilemedi")</x:f>
        <x:v>Erişilemedi</x:v>
      </x:c>
      <x:c r="L579" s="16" t="str">
        <x:v>Stokta yok</x:v>
      </x:c>
      <x:c r="M579" s="16" t="str">
        <x:v>Kahve ürünü</x:v>
      </x:c>
      <x:c r="N579" s="16" t="str">
        <x:v>WooCommerce Store API</x:v>
      </x:c>
      <x:c r="O579" s="16" t="str">
        <x:v>Orta</x:v>
      </x:c>
      <x:c r="P579" s="19" t="n">
        <x:v>46245</x:v>
      </x:c>
      <x:c r="Q579" s="20" t="str">
        <x:v>https://coffeerem.com/product/cold-brew-elkin-guzman-strawberry/</x:v>
      </x:c>
      <x:c r="R579" s="20" t="str">
        <x:v>Fiyat veya gramaj eksik olsa da ürün korundu.</x:v>
      </x:c>
    </x:row>
    <x:row r="580" ht="40" customHeight="1">
      <x:c r="A580" s="16" t="str">
        <x:v>Coffeerem Roastery</x:v>
      </x:c>
      <x:c r="B580" s="16" t="str">
        <x:v>İzmir</x:v>
      </x:c>
      <x:c r="C580" s="16" t="str">
        <x:v>Kısmi doğrulama</x:v>
      </x:c>
      <x:c r="D580" s="16" t="str">
        <x:v>Ürün kaydı</x:v>
      </x:c>
      <x:c r="E580" s="16" t="str">
        <x:v>Cold Brew Finca Milan Washed Nitro</x:v>
      </x:c>
      <x:c r="F580" s="16" t="str">
        <x:v>Kolombiya</x:v>
      </x:c>
      <x:c r="G580" s="17" t="str">
        <x:v>Erişilemedi</x:v>
      </x:c>
      <x:c r="H580" s="16" t="str">
        <x:v>Erişilemedi</x:v>
      </x:c>
      <x:c r="I580" s="18" t="n">
        <x:v>1100</x:v>
      </x:c>
      <x:c r="J580" s="18" t="str">
        <x:v>Erişildi</x:v>
      </x:c>
      <x:c r="K580" s="18" t="str">
        <x:f>IF(AND(ISNUMBER(G580),ISNUMBER(I580)),I580/G580*1000,"Erişilemedi")</x:f>
        <x:v>Erişilemedi</x:v>
      </x:c>
      <x:c r="L580" s="16" t="str">
        <x:v>Stokta</x:v>
      </x:c>
      <x:c r="M580" s="16" t="str">
        <x:v>Kahve ürünü</x:v>
      </x:c>
      <x:c r="N580" s="16" t="str">
        <x:v>WooCommerce Store API</x:v>
      </x:c>
      <x:c r="O580" s="16" t="str">
        <x:v>Orta</x:v>
      </x:c>
      <x:c r="P580" s="19" t="n">
        <x:v>46245</x:v>
      </x:c>
      <x:c r="Q580" s="20" t="str">
        <x:v>https://coffeerem.com/product/cold-brew-finca-milan-washed-nitro/</x:v>
      </x:c>
      <x:c r="R580" s="20" t="str">
        <x:v>Fiyat veya gramaj eksik olsa da ürün korundu.</x:v>
      </x:c>
    </x:row>
    <x:row r="581" ht="40" customHeight="1">
      <x:c r="A581" s="16" t="str">
        <x:v>Coffeerem Roastery</x:v>
      </x:c>
      <x:c r="B581" s="16" t="str">
        <x:v>İzmir</x:v>
      </x:c>
      <x:c r="C581" s="16" t="str">
        <x:v>Kısmi doğrulama</x:v>
      </x:c>
      <x:c r="D581" s="16" t="str">
        <x:v>Ürün kaydı</x:v>
      </x:c>
      <x:c r="E581" s="16" t="str">
        <x:v>Cold Brew Gisanga</x:v>
      </x:c>
      <x:c r="F581" s="16" t="str">
        <x:v>Ruanda</x:v>
      </x:c>
      <x:c r="G581" s="17" t="str">
        <x:v>Erişilemedi</x:v>
      </x:c>
      <x:c r="H581" s="16" t="str">
        <x:v>Erişilemedi</x:v>
      </x:c>
      <x:c r="I581" s="18" t="n">
        <x:v>750</x:v>
      </x:c>
      <x:c r="J581" s="18" t="str">
        <x:v>Erişildi</x:v>
      </x:c>
      <x:c r="K581" s="18" t="str">
        <x:f>IF(AND(ISNUMBER(G581),ISNUMBER(I581)),I581/G581*1000,"Erişilemedi")</x:f>
        <x:v>Erişilemedi</x:v>
      </x:c>
      <x:c r="L581" s="16" t="str">
        <x:v>Stokta yok</x:v>
      </x:c>
      <x:c r="M581" s="16" t="str">
        <x:v>Kahve ürünü</x:v>
      </x:c>
      <x:c r="N581" s="16" t="str">
        <x:v>WooCommerce Store API</x:v>
      </x:c>
      <x:c r="O581" s="16" t="str">
        <x:v>Orta</x:v>
      </x:c>
      <x:c r="P581" s="19" t="n">
        <x:v>46245</x:v>
      </x:c>
      <x:c r="Q581" s="20" t="str">
        <x:v>https://coffeerem.com/product/cold-brew-gisanga/</x:v>
      </x:c>
      <x:c r="R581" s="20" t="str">
        <x:v>Fiyat veya gramaj eksik olsa da ürün korundu.</x:v>
      </x:c>
    </x:row>
    <x:row r="582" ht="40" customHeight="1">
      <x:c r="A582" s="16" t="str">
        <x:v>Coffeerem Roastery</x:v>
      </x:c>
      <x:c r="B582" s="16" t="str">
        <x:v>İzmir</x:v>
      </x:c>
      <x:c r="C582" s="16" t="str">
        <x:v>Kısmi doğrulama</x:v>
      </x:c>
      <x:c r="D582" s="16" t="str">
        <x:v>Ürün kaydı</x:v>
      </x:c>
      <x:c r="E582" s="16" t="str">
        <x:v>Cold Brew Maracay</x:v>
      </x:c>
      <x:c r="F582" s="16" t="str">
        <x:v>Kolombiya</x:v>
      </x:c>
      <x:c r="G582" s="17" t="str">
        <x:v>Erişilemedi</x:v>
      </x:c>
      <x:c r="H582" s="16" t="str">
        <x:v>Erişilemedi</x:v>
      </x:c>
      <x:c r="I582" s="18" t="n">
        <x:v>900</x:v>
      </x:c>
      <x:c r="J582" s="18" t="str">
        <x:v>Erişildi</x:v>
      </x:c>
      <x:c r="K582" s="18" t="str">
        <x:f>IF(AND(ISNUMBER(G582),ISNUMBER(I582)),I582/G582*1000,"Erişilemedi")</x:f>
        <x:v>Erişilemedi</x:v>
      </x:c>
      <x:c r="L582" s="16" t="str">
        <x:v>Stokta yok</x:v>
      </x:c>
      <x:c r="M582" s="16" t="str">
        <x:v>Kahve ürünü</x:v>
      </x:c>
      <x:c r="N582" s="16" t="str">
        <x:v>WooCommerce Store API</x:v>
      </x:c>
      <x:c r="O582" s="16" t="str">
        <x:v>Orta</x:v>
      </x:c>
      <x:c r="P582" s="19" t="n">
        <x:v>46245</x:v>
      </x:c>
      <x:c r="Q582" s="20" t="str">
        <x:v>https://coffeerem.com/product/cold-brew-yaye/</x:v>
      </x:c>
      <x:c r="R582" s="20" t="str">
        <x:v>Fiyat veya gramaj eksik olsa da ürün korundu.</x:v>
      </x:c>
    </x:row>
    <x:row r="583" ht="40" customHeight="1">
      <x:c r="A583" s="16" t="str">
        <x:v>Coffeerem Roastery</x:v>
      </x:c>
      <x:c r="B583" s="16" t="str">
        <x:v>İzmir</x:v>
      </x:c>
      <x:c r="C583" s="16" t="str">
        <x:v>Kısmi doğrulama</x:v>
      </x:c>
      <x:c r="D583" s="16" t="str">
        <x:v>Ürün kaydı</x:v>
      </x:c>
      <x:c r="E583" s="16" t="str">
        <x:v>Cold Brew No: 1</x:v>
      </x:c>
      <x:c r="F583" s="16" t="str">
        <x:v>Menşe belirtilmemiş</x:v>
      </x:c>
      <x:c r="G583" s="17" t="str">
        <x:v>Erişilemedi</x:v>
      </x:c>
      <x:c r="H583" s="16" t="str">
        <x:v>Erişilemedi</x:v>
      </x:c>
      <x:c r="I583" s="18" t="n">
        <x:v>700</x:v>
      </x:c>
      <x:c r="J583" s="18" t="str">
        <x:v>Erişildi</x:v>
      </x:c>
      <x:c r="K583" s="18" t="str">
        <x:f>IF(AND(ISNUMBER(G583),ISNUMBER(I583)),I583/G583*1000,"Erişilemedi")</x:f>
        <x:v>Erişilemedi</x:v>
      </x:c>
      <x:c r="L583" s="16" t="str">
        <x:v>Stokta</x:v>
      </x:c>
      <x:c r="M583" s="16" t="str">
        <x:v>Kahve ürünü</x:v>
      </x:c>
      <x:c r="N583" s="16" t="str">
        <x:v>WooCommerce Store API</x:v>
      </x:c>
      <x:c r="O583" s="16" t="str">
        <x:v>Orta</x:v>
      </x:c>
      <x:c r="P583" s="19" t="n">
        <x:v>46245</x:v>
      </x:c>
      <x:c r="Q583" s="20" t="str">
        <x:v>https://coffeerem.com/product/cold-brew-no-1/</x:v>
      </x:c>
      <x:c r="R583" s="20" t="str">
        <x:v>Fiyat veya gramaj eksik olsa da ürün korundu.</x:v>
      </x:c>
    </x:row>
    <x:row r="584" ht="40" customHeight="1">
      <x:c r="A584" s="16" t="str">
        <x:v>Coffeerem Roastery</x:v>
      </x:c>
      <x:c r="B584" s="16" t="str">
        <x:v>İzmir</x:v>
      </x:c>
      <x:c r="C584" s="16" t="str">
        <x:v>Kısmi doğrulama</x:v>
      </x:c>
      <x:c r="D584" s="16" t="str">
        <x:v>Ürün kaydı</x:v>
      </x:c>
      <x:c r="E584" s="16" t="str">
        <x:v>Cold Brew No: 2</x:v>
      </x:c>
      <x:c r="F584" s="16" t="str">
        <x:v>Etiyopya</x:v>
      </x:c>
      <x:c r="G584" s="17" t="str">
        <x:v>Erişilemedi</x:v>
      </x:c>
      <x:c r="H584" s="16" t="str">
        <x:v>Erişilemedi</x:v>
      </x:c>
      <x:c r="I584" s="18" t="n">
        <x:v>650</x:v>
      </x:c>
      <x:c r="J584" s="18" t="str">
        <x:v>Erişildi</x:v>
      </x:c>
      <x:c r="K584" s="18" t="str">
        <x:f>IF(AND(ISNUMBER(G584),ISNUMBER(I584)),I584/G584*1000,"Erişilemedi")</x:f>
        <x:v>Erişilemedi</x:v>
      </x:c>
      <x:c r="L584" s="16" t="str">
        <x:v>Stokta yok</x:v>
      </x:c>
      <x:c r="M584" s="16" t="str">
        <x:v>Kahve ürünü</x:v>
      </x:c>
      <x:c r="N584" s="16" t="str">
        <x:v>WooCommerce Store API</x:v>
      </x:c>
      <x:c r="O584" s="16" t="str">
        <x:v>Orta</x:v>
      </x:c>
      <x:c r="P584" s="19" t="n">
        <x:v>46245</x:v>
      </x:c>
      <x:c r="Q584" s="20" t="str">
        <x:v>https://coffeerem.com/product/cold-brew-no-2/</x:v>
      </x:c>
      <x:c r="R584" s="20" t="str">
        <x:v>Fiyat veya gramaj eksik olsa da ürün korundu.</x:v>
      </x:c>
    </x:row>
    <x:row r="585" ht="40" customHeight="1">
      <x:c r="A585" s="16" t="str">
        <x:v>Coffeerem Roastery</x:v>
      </x:c>
      <x:c r="B585" s="16" t="str">
        <x:v>İzmir</x:v>
      </x:c>
      <x:c r="C585" s="16" t="str">
        <x:v>Kısmi doğrulama</x:v>
      </x:c>
      <x:c r="D585" s="16" t="str">
        <x:v>Ürün kaydı</x:v>
      </x:c>
      <x:c r="E585" s="16" t="str">
        <x:v>Cold Brew No: 2</x:v>
      </x:c>
      <x:c r="F585" s="16" t="str">
        <x:v>Kolombiya</x:v>
      </x:c>
      <x:c r="G585" s="17" t="str">
        <x:v>Erişilemedi</x:v>
      </x:c>
      <x:c r="H585" s="16" t="str">
        <x:v>Erişilemedi</x:v>
      </x:c>
      <x:c r="I585" s="18" t="n">
        <x:v>800</x:v>
      </x:c>
      <x:c r="J585" s="18" t="str">
        <x:v>Erişildi</x:v>
      </x:c>
      <x:c r="K585" s="18" t="str">
        <x:f>IF(AND(ISNUMBER(G585),ISNUMBER(I585)),I585/G585*1000,"Erişilemedi")</x:f>
        <x:v>Erişilemedi</x:v>
      </x:c>
      <x:c r="L585" s="16" t="str">
        <x:v>Stokta</x:v>
      </x:c>
      <x:c r="M585" s="16" t="str">
        <x:v>Kahve ürünü</x:v>
      </x:c>
      <x:c r="N585" s="16" t="str">
        <x:v>WooCommerce Store API</x:v>
      </x:c>
      <x:c r="O585" s="16" t="str">
        <x:v>Orta</x:v>
      </x:c>
      <x:c r="P585" s="19" t="n">
        <x:v>46245</x:v>
      </x:c>
      <x:c r="Q585" s="20" t="str">
        <x:v>https://coffeerem.com/product/cold-brew-01-1-litre/</x:v>
      </x:c>
      <x:c r="R585" s="20" t="str">
        <x:v>Fiyat veya gramaj eksik olsa da ürün korundu.</x:v>
      </x:c>
    </x:row>
    <x:row r="586" ht="40" customHeight="1">
      <x:c r="A586" s="16" t="str">
        <x:v>Coffeerem Roastery</x:v>
      </x:c>
      <x:c r="B586" s="16" t="str">
        <x:v>İzmir</x:v>
      </x:c>
      <x:c r="C586" s="16" t="str">
        <x:v>Kısmi doğrulama</x:v>
      </x:c>
      <x:c r="D586" s="16" t="str">
        <x:v>Ürün kaydı</x:v>
      </x:c>
      <x:c r="E586" s="16" t="str">
        <x:v>Cold Brew Rugali Natural Anaerobic</x:v>
      </x:c>
      <x:c r="F586" s="16" t="str">
        <x:v>Hindistan</x:v>
      </x:c>
      <x:c r="G586" s="17" t="str">
        <x:v>Erişilemedi</x:v>
      </x:c>
      <x:c r="H586" s="16" t="str">
        <x:v>Erişilemedi</x:v>
      </x:c>
      <x:c r="I586" s="18" t="n">
        <x:v>900</x:v>
      </x:c>
      <x:c r="J586" s="18" t="str">
        <x:v>Erişildi</x:v>
      </x:c>
      <x:c r="K586" s="18" t="str">
        <x:f>IF(AND(ISNUMBER(G586),ISNUMBER(I586)),I586/G586*1000,"Erişilemedi")</x:f>
        <x:v>Erişilemedi</x:v>
      </x:c>
      <x:c r="L586" s="16" t="str">
        <x:v>Stokta</x:v>
      </x:c>
      <x:c r="M586" s="16" t="str">
        <x:v>Kahve ürünü</x:v>
      </x:c>
      <x:c r="N586" s="16" t="str">
        <x:v>WooCommerce Store API</x:v>
      </x:c>
      <x:c r="O586" s="16" t="str">
        <x:v>Orta</x:v>
      </x:c>
      <x:c r="P586" s="19" t="n">
        <x:v>46245</x:v>
      </x:c>
      <x:c r="Q586" s="20" t="str">
        <x:v>https://coffeerem.com/product/cold-brew-rugali-natural-anaerobic/</x:v>
      </x:c>
      <x:c r="R586" s="20" t="str">
        <x:v>Fiyat veya gramaj eksik olsa da ürün korundu.</x:v>
      </x:c>
    </x:row>
    <x:row r="587" ht="40" customHeight="1">
      <x:c r="A587" s="16" t="str">
        <x:v>Coffeerem Roastery</x:v>
      </x:c>
      <x:c r="B587" s="16" t="str">
        <x:v>İzmir</x:v>
      </x:c>
      <x:c r="C587" s="16" t="str">
        <x:v>Kısmi doğrulama</x:v>
      </x:c>
      <x:c r="D587" s="16" t="str">
        <x:v>Ürün kaydı</x:v>
      </x:c>
      <x:c r="E587" s="16" t="str">
        <x:v>Cold Brew Santa Monica Coco Peach</x:v>
      </x:c>
      <x:c r="F587" s="16" t="str">
        <x:v>Hindistan</x:v>
      </x:c>
      <x:c r="G587" s="17" t="str">
        <x:v>Erişilemedi</x:v>
      </x:c>
      <x:c r="H587" s="16" t="str">
        <x:v>Erişilemedi</x:v>
      </x:c>
      <x:c r="I587" s="18" t="n">
        <x:v>1100</x:v>
      </x:c>
      <x:c r="J587" s="18" t="str">
        <x:v>Erişildi</x:v>
      </x:c>
      <x:c r="K587" s="18" t="str">
        <x:f>IF(AND(ISNUMBER(G587),ISNUMBER(I587)),I587/G587*1000,"Erişilemedi")</x:f>
        <x:v>Erişilemedi</x:v>
      </x:c>
      <x:c r="L587" s="16" t="str">
        <x:v>Stokta</x:v>
      </x:c>
      <x:c r="M587" s="16" t="str">
        <x:v>Kahve ürünü</x:v>
      </x:c>
      <x:c r="N587" s="16" t="str">
        <x:v>WooCommerce Store API</x:v>
      </x:c>
      <x:c r="O587" s="16" t="str">
        <x:v>Orta</x:v>
      </x:c>
      <x:c r="P587" s="19" t="n">
        <x:v>46245</x:v>
      </x:c>
      <x:c r="Q587" s="20" t="str">
        <x:v>https://coffeerem.com/product/cold-brew-santa-monica-coco-peach/</x:v>
      </x:c>
      <x:c r="R587" s="20" t="str">
        <x:v>Fiyat veya gramaj eksik olsa da ürün korundu.</x:v>
      </x:c>
    </x:row>
    <x:row r="588" ht="40" customHeight="1">
      <x:c r="A588" s="16" t="str">
        <x:v>Coffeerem Roastery</x:v>
      </x:c>
      <x:c r="B588" s="16" t="str">
        <x:v>İzmir</x:v>
      </x:c>
      <x:c r="C588" s="16" t="str">
        <x:v>Kısmi doğrulama</x:v>
      </x:c>
      <x:c r="D588" s="16" t="str">
        <x:v>Ürün kaydı</x:v>
      </x:c>
      <x:c r="E588" s="16" t="str">
        <x:v>Cold Brew Santa Monica Passion Fruit</x:v>
      </x:c>
      <x:c r="F588" s="16" t="str">
        <x:v>Menşe belirtilmemiş</x:v>
      </x:c>
      <x:c r="G588" s="17" t="str">
        <x:v>Erişilemedi</x:v>
      </x:c>
      <x:c r="H588" s="16" t="str">
        <x:v>Erişilemedi</x:v>
      </x:c>
      <x:c r="I588" s="18" t="n">
        <x:v>1100</x:v>
      </x:c>
      <x:c r="J588" s="18" t="str">
        <x:v>Erişildi</x:v>
      </x:c>
      <x:c r="K588" s="18" t="str">
        <x:f>IF(AND(ISNUMBER(G588),ISNUMBER(I588)),I588/G588*1000,"Erişilemedi")</x:f>
        <x:v>Erişilemedi</x:v>
      </x:c>
      <x:c r="L588" s="16" t="str">
        <x:v>Stokta</x:v>
      </x:c>
      <x:c r="M588" s="16" t="str">
        <x:v>Kahve ürünü</x:v>
      </x:c>
      <x:c r="N588" s="16" t="str">
        <x:v>WooCommerce Store API</x:v>
      </x:c>
      <x:c r="O588" s="16" t="str">
        <x:v>Orta</x:v>
      </x:c>
      <x:c r="P588" s="19" t="n">
        <x:v>46245</x:v>
      </x:c>
      <x:c r="Q588" s="20" t="str">
        <x:v>https://coffeerem.com/product/cold-brew-santa-monica-passion-fruit-2/</x:v>
      </x:c>
      <x:c r="R588" s="20" t="str">
        <x:v>Fiyat veya gramaj eksik olsa da ürün korundu.</x:v>
      </x:c>
    </x:row>
    <x:row r="589" ht="40" customHeight="1">
      <x:c r="A589" s="16" t="str">
        <x:v>Coffeerem Roastery</x:v>
      </x:c>
      <x:c r="B589" s="16" t="str">
        <x:v>İzmir</x:v>
      </x:c>
      <x:c r="C589" s="16" t="str">
        <x:v>Kısmi doğrulama</x:v>
      </x:c>
      <x:c r="D589" s="16" t="str">
        <x:v>Ürün kaydı</x:v>
      </x:c>
      <x:c r="E589" s="16" t="str">
        <x:v>Cold Brew Santa Monica Passion Fruit</x:v>
      </x:c>
      <x:c r="F589" s="16" t="str">
        <x:v>Menşe belirtilmemiş</x:v>
      </x:c>
      <x:c r="G589" s="17" t="str">
        <x:v>Erişilemedi</x:v>
      </x:c>
      <x:c r="H589" s="16" t="str">
        <x:v>Erişilemedi</x:v>
      </x:c>
      <x:c r="I589" s="18" t="n">
        <x:v>1200</x:v>
      </x:c>
      <x:c r="J589" s="18" t="str">
        <x:v>Erişildi</x:v>
      </x:c>
      <x:c r="K589" s="18" t="str">
        <x:f>IF(AND(ISNUMBER(G589),ISNUMBER(I589)),I589/G589*1000,"Erişilemedi")</x:f>
        <x:v>Erişilemedi</x:v>
      </x:c>
      <x:c r="L589" s="16" t="str">
        <x:v>Stokta</x:v>
      </x:c>
      <x:c r="M589" s="16" t="str">
        <x:v>Kahve ürünü</x:v>
      </x:c>
      <x:c r="N589" s="16" t="str">
        <x:v>WooCommerce Store API</x:v>
      </x:c>
      <x:c r="O589" s="16" t="str">
        <x:v>Orta</x:v>
      </x:c>
      <x:c r="P589" s="19" t="n">
        <x:v>46245</x:v>
      </x:c>
      <x:c r="Q589" s="20" t="str">
        <x:v>https://coffeerem.com/product/cold-brew-santa-monica-passion-fruit/</x:v>
      </x:c>
      <x:c r="R589" s="20" t="str">
        <x:v>Fiyat veya gramaj eksik olsa da ürün korundu.</x:v>
      </x:c>
    </x:row>
    <x:row r="590" ht="40" customHeight="1">
      <x:c r="A590" s="16" t="str">
        <x:v>Coffeerem Roastery</x:v>
      </x:c>
      <x:c r="B590" s="16" t="str">
        <x:v>İzmir</x:v>
      </x:c>
      <x:c r="C590" s="16" t="str">
        <x:v>Kısmi doğrulama</x:v>
      </x:c>
      <x:c r="D590" s="16" t="str">
        <x:v>Ürün kaydı</x:v>
      </x:c>
      <x:c r="E590" s="16" t="str">
        <x:v>Cold Brew Shyria Natural Anaerobic</x:v>
      </x:c>
      <x:c r="F590" s="16" t="str">
        <x:v>Menşe belirtilmemiş</x:v>
      </x:c>
      <x:c r="G590" s="17" t="str">
        <x:v>Erişilemedi</x:v>
      </x:c>
      <x:c r="H590" s="16" t="str">
        <x:v>Erişilemedi</x:v>
      </x:c>
      <x:c r="I590" s="18" t="n">
        <x:v>900</x:v>
      </x:c>
      <x:c r="J590" s="18" t="str">
        <x:v>Erişildi</x:v>
      </x:c>
      <x:c r="K590" s="18" t="str">
        <x:f>IF(AND(ISNUMBER(G590),ISNUMBER(I590)),I590/G590*1000,"Erişilemedi")</x:f>
        <x:v>Erişilemedi</x:v>
      </x:c>
      <x:c r="L590" s="16" t="str">
        <x:v>Stokta</x:v>
      </x:c>
      <x:c r="M590" s="16" t="str">
        <x:v>Kahve ürünü</x:v>
      </x:c>
      <x:c r="N590" s="16" t="str">
        <x:v>WooCommerce Store API</x:v>
      </x:c>
      <x:c r="O590" s="16" t="str">
        <x:v>Orta</x:v>
      </x:c>
      <x:c r="P590" s="19" t="n">
        <x:v>46245</x:v>
      </x:c>
      <x:c r="Q590" s="20" t="str">
        <x:v>https://coffeerem.com/product/cold-brew-shyria-natural-anaerobic/</x:v>
      </x:c>
      <x:c r="R590" s="20" t="str">
        <x:v>Fiyat veya gramaj eksik olsa da ürün korundu.</x:v>
      </x:c>
    </x:row>
    <x:row r="591" ht="40" customHeight="1">
      <x:c r="A591" s="16" t="str">
        <x:v>Coffeerem Roastery</x:v>
      </x:c>
      <x:c r="B591" s="16" t="str">
        <x:v>İzmir</x:v>
      </x:c>
      <x:c r="C591" s="16" t="str">
        <x:v>Kısmi doğrulama</x:v>
      </x:c>
      <x:c r="D591" s="16" t="str">
        <x:v>Ürün kaydı</x:v>
      </x:c>
      <x:c r="E591" s="16" t="str">
        <x:v>Cold Brew Sugarcane Decaf</x:v>
      </x:c>
      <x:c r="F591" s="16" t="str">
        <x:v>Kolombiya</x:v>
      </x:c>
      <x:c r="G591" s="17" t="str">
        <x:v>Erişilemedi</x:v>
      </x:c>
      <x:c r="H591" s="16" t="str">
        <x:v>Erişilemedi</x:v>
      </x:c>
      <x:c r="I591" s="18" t="n">
        <x:v>700</x:v>
      </x:c>
      <x:c r="J591" s="18" t="str">
        <x:v>Erişildi</x:v>
      </x:c>
      <x:c r="K591" s="18" t="str">
        <x:f>IF(AND(ISNUMBER(G591),ISNUMBER(I591)),I591/G591*1000,"Erişilemedi")</x:f>
        <x:v>Erişilemedi</x:v>
      </x:c>
      <x:c r="L591" s="16" t="str">
        <x:v>Stokta yok</x:v>
      </x:c>
      <x:c r="M591" s="16" t="str">
        <x:v>Kahve ürünü</x:v>
      </x:c>
      <x:c r="N591" s="16" t="str">
        <x:v>WooCommerce Store API</x:v>
      </x:c>
      <x:c r="O591" s="16" t="str">
        <x:v>Orta</x:v>
      </x:c>
      <x:c r="P591" s="19" t="n">
        <x:v>46245</x:v>
      </x:c>
      <x:c r="Q591" s="20" t="str">
        <x:v>https://coffeerem.com/product/cold-brew-sugarcane-decaf/</x:v>
      </x:c>
      <x:c r="R591" s="20" t="str">
        <x:v>Fiyat veya gramaj eksik olsa da ürün korundu.</x:v>
      </x:c>
    </x:row>
    <x:row r="592" ht="40" customHeight="1">
      <x:c r="A592" s="16" t="str">
        <x:v>Coffeerem Roastery</x:v>
      </x:c>
      <x:c r="B592" s="16" t="str">
        <x:v>İzmir</x:v>
      </x:c>
      <x:c r="C592" s="16" t="str">
        <x:v>Kısmi doğrulama</x:v>
      </x:c>
      <x:c r="D592" s="16" t="str">
        <x:v>Ürün kaydı</x:v>
      </x:c>
      <x:c r="E592" s="16" t="str">
        <x:v>Dark Ceremony Espresso Filtre</x:v>
      </x:c>
      <x:c r="F592" s="16" t="str">
        <x:v>Harman – menşe belirtilmemiş</x:v>
      </x:c>
      <x:c r="G592" s="17" t="n">
        <x:v>60000</x:v>
      </x:c>
      <x:c r="H592" s="16" t="str">
        <x:v>Erişildi</x:v>
      </x:c>
      <x:c r="I592" s="18" t="n">
        <x:v>500</x:v>
      </x:c>
      <x:c r="J592" s="18" t="str">
        <x:v>Erişildi</x:v>
      </x:c>
      <x:c r="K592" s="18" t="n">
        <x:f>IF(AND(ISNUMBER(G592),ISNUMBER(I592)),I592/G592*1000,"Erişilemedi")</x:f>
        <x:v>8.333333333333334</x:v>
      </x:c>
      <x:c r="L592" s="16" t="str">
        <x:v>Stokta</x:v>
      </x:c>
      <x:c r="M592" s="16" t="str">
        <x:v>Harman</x:v>
      </x:c>
      <x:c r="N592" s="16" t="str">
        <x:v>WooCommerce Store API</x:v>
      </x:c>
      <x:c r="O592" s="16" t="str">
        <x:v>Yüksek</x:v>
      </x:c>
      <x:c r="P592" s="19" t="n">
        <x:v>46245</x:v>
      </x:c>
      <x:c r="Q592" s="20" t="str">
        <x:v>https://coffeerem.com/product/dark-ceremony-espressofiltre/</x:v>
      </x:c>
      <x:c r="R592" s="20" t="str">
        <x:v>Başlık/açıklamada açık gramaj bulunan aktif ürün.</x:v>
      </x:c>
    </x:row>
    <x:row r="593" ht="40" customHeight="1">
      <x:c r="A593" s="16" t="str">
        <x:v>Coffeerem Roastery</x:v>
      </x:c>
      <x:c r="B593" s="16" t="str">
        <x:v>İzmir</x:v>
      </x:c>
      <x:c r="C593" s="16" t="str">
        <x:v>Kısmi doğrulama</x:v>
      </x:c>
      <x:c r="D593" s="16" t="str">
        <x:v>Ürün kaydı</x:v>
      </x:c>
      <x:c r="E593" s="16" t="str">
        <x:v>ESPRESSO DENEME PAKETİ</x:v>
      </x:c>
      <x:c r="F593" s="16" t="str">
        <x:v>Harman – menşe belirtilmemiş</x:v>
      </x:c>
      <x:c r="G593" s="17" t="n">
        <x:v>1000</x:v>
      </x:c>
      <x:c r="H593" s="16" t="str">
        <x:v>Erişildi</x:v>
      </x:c>
      <x:c r="I593" s="18" t="n">
        <x:v>1700</x:v>
      </x:c>
      <x:c r="J593" s="18" t="str">
        <x:v>Erişildi</x:v>
      </x:c>
      <x:c r="K593" s="18" t="n">
        <x:f>IF(AND(ISNUMBER(G593),ISNUMBER(I593)),I593/G593*1000,"Erişilemedi")</x:f>
        <x:v>1700</x:v>
      </x:c>
      <x:c r="L593" s="16" t="str">
        <x:v>Stokta</x:v>
      </x:c>
      <x:c r="M593" s="16" t="str">
        <x:v>Tek köken/ürün</x:v>
      </x:c>
      <x:c r="N593" s="16" t="str">
        <x:v>WooCommerce Store API</x:v>
      </x:c>
      <x:c r="O593" s="16" t="str">
        <x:v>Yüksek</x:v>
      </x:c>
      <x:c r="P593" s="19" t="n">
        <x:v>46245</x:v>
      </x:c>
      <x:c r="Q593" s="20" t="str">
        <x:v>https://coffeerem.com/product/espresso-deneme-paketi/</x:v>
      </x:c>
      <x:c r="R593" s="20" t="str">
        <x:v>Başlık/açıklamada açık gramaj bulunan aktif ürün.</x:v>
      </x:c>
    </x:row>
    <x:row r="594" ht="40" customHeight="1">
      <x:c r="A594" s="16" t="str">
        <x:v>Coffeerem Roastery</x:v>
      </x:c>
      <x:c r="B594" s="16" t="str">
        <x:v>İzmir</x:v>
      </x:c>
      <x:c r="C594" s="16" t="str">
        <x:v>Kısmi doğrulama</x:v>
      </x:c>
      <x:c r="D594" s="16" t="str">
        <x:v>Ürün kaydı</x:v>
      </x:c>
      <x:c r="E594" s="16" t="str">
        <x:v>FİLTRE DENEME PAKETİ</x:v>
      </x:c>
      <x:c r="F594" s="16" t="str">
        <x:v>Etiyopya | Kolombiya | Brezilya</x:v>
      </x:c>
      <x:c r="G594" s="17" t="n">
        <x:v>600</x:v>
      </x:c>
      <x:c r="H594" s="16" t="str">
        <x:v>Erişildi</x:v>
      </x:c>
      <x:c r="I594" s="18" t="n">
        <x:v>1600</x:v>
      </x:c>
      <x:c r="J594" s="18" t="str">
        <x:v>Erişildi</x:v>
      </x:c>
      <x:c r="K594" s="18" t="n">
        <x:f>IF(AND(ISNUMBER(G594),ISNUMBER(I594)),I594/G594*1000,"Erişilemedi")</x:f>
        <x:v>2666.6666666666665</x:v>
      </x:c>
      <x:c r="L594" s="16" t="str">
        <x:v>Stokta</x:v>
      </x:c>
      <x:c r="M594" s="16" t="str">
        <x:v>Tek köken/ürün</x:v>
      </x:c>
      <x:c r="N594" s="16" t="str">
        <x:v>WooCommerce Store API</x:v>
      </x:c>
      <x:c r="O594" s="16" t="str">
        <x:v>Yüksek</x:v>
      </x:c>
      <x:c r="P594" s="19" t="n">
        <x:v>46245</x:v>
      </x:c>
      <x:c r="Q594" s="20" t="str">
        <x:v>https://coffeerem.com/product/filtre-deneme-paketi/</x:v>
      </x:c>
      <x:c r="R594" s="20" t="str">
        <x:v>Başlık/açıklamada açık gramaj bulunan aktif ürün.</x:v>
      </x:c>
    </x:row>
    <x:row r="595" ht="40" customHeight="1">
      <x:c r="A595" s="16" t="str">
        <x:v>Coffeerem Roastery</x:v>
      </x:c>
      <x:c r="B595" s="16" t="str">
        <x:v>İzmir</x:v>
      </x:c>
      <x:c r="C595" s="16" t="str">
        <x:v>Kısmi doğrulama</x:v>
      </x:c>
      <x:c r="D595" s="16" t="str">
        <x:v>Ürün kaydı</x:v>
      </x:c>
      <x:c r="E595" s="16" t="str">
        <x:v>House Ceremony Espresso Filtre</x:v>
      </x:c>
      <x:c r="F595" s="16" t="str">
        <x:v>Kolombiya</x:v>
      </x:c>
      <x:c r="G595" s="17" t="n">
        <x:v>16</x:v>
      </x:c>
      <x:c r="H595" s="16" t="str">
        <x:v>Erişildi</x:v>
      </x:c>
      <x:c r="I595" s="18" t="n">
        <x:v>510</x:v>
      </x:c>
      <x:c r="J595" s="18" t="str">
        <x:v>Erişildi</x:v>
      </x:c>
      <x:c r="K595" s="18" t="n">
        <x:f>IF(AND(ISNUMBER(G595),ISNUMBER(I595)),I595/G595*1000,"Erişilemedi")</x:f>
        <x:v>31875</x:v>
      </x:c>
      <x:c r="L595" s="16" t="str">
        <x:v>Stokta</x:v>
      </x:c>
      <x:c r="M595" s="16" t="str">
        <x:v>Tek köken/ürün</x:v>
      </x:c>
      <x:c r="N595" s="16" t="str">
        <x:v>WooCommerce Store API</x:v>
      </x:c>
      <x:c r="O595" s="16" t="str">
        <x:v>Yüksek</x:v>
      </x:c>
      <x:c r="P595" s="19" t="n">
        <x:v>46245</x:v>
      </x:c>
      <x:c r="Q595" s="20" t="str">
        <x:v>https://coffeerem.com/product/house-ceremony-yeni-yil-ozer-seri/</x:v>
      </x:c>
      <x:c r="R595" s="20" t="str">
        <x:v>Başlık/açıklamada açık gramaj bulunan aktif ürün.</x:v>
      </x:c>
    </x:row>
    <x:row r="596" ht="40" customHeight="1">
      <x:c r="A596" s="16" t="str">
        <x:v>Coffeerem Roastery</x:v>
      </x:c>
      <x:c r="B596" s="16" t="str">
        <x:v>İzmir</x:v>
      </x:c>
      <x:c r="C596" s="16" t="str">
        <x:v>Kısmi doğrulama</x:v>
      </x:c>
      <x:c r="D596" s="16" t="str">
        <x:v>Ürün kaydı</x:v>
      </x:c>
      <x:c r="E596" s="16" t="str">
        <x:v>Red Ceremony Espresso Filtre</x:v>
      </x:c>
      <x:c r="F596" s="16" t="str">
        <x:v>Harman – menşe belirtilmemiş</x:v>
      </x:c>
      <x:c r="G596" s="17" t="n">
        <x:v>60000</x:v>
      </x:c>
      <x:c r="H596" s="16" t="str">
        <x:v>Erişildi</x:v>
      </x:c>
      <x:c r="I596" s="18" t="n">
        <x:v>500</x:v>
      </x:c>
      <x:c r="J596" s="18" t="str">
        <x:v>Erişildi</x:v>
      </x:c>
      <x:c r="K596" s="18" t="n">
        <x:f>IF(AND(ISNUMBER(G596),ISNUMBER(I596)),I596/G596*1000,"Erişilemedi")</x:f>
        <x:v>8.333333333333334</x:v>
      </x:c>
      <x:c r="L596" s="16" t="str">
        <x:v>Stokta</x:v>
      </x:c>
      <x:c r="M596" s="16" t="str">
        <x:v>Tek köken/ürün</x:v>
      </x:c>
      <x:c r="N596" s="16" t="str">
        <x:v>WooCommerce Store API</x:v>
      </x:c>
      <x:c r="O596" s="16" t="str">
        <x:v>Yüksek</x:v>
      </x:c>
      <x:c r="P596" s="19" t="n">
        <x:v>46245</x:v>
      </x:c>
      <x:c r="Q596" s="20" t="str">
        <x:v>https://coffeerem.com/product/red-ceremony-espressofiltre/</x:v>
      </x:c>
      <x:c r="R596" s="20" t="str">
        <x:v>Başlık/açıklamada açık gramaj bulunan aktif ürün.</x:v>
      </x:c>
    </x:row>
    <x:row r="597" ht="40" customHeight="1">
      <x:c r="A597" s="16" t="str">
        <x:v>Coffy</x:v>
      </x:c>
      <x:c r="B597" s="16" t="str">
        <x:v>İstanbul</x:v>
      </x:c>
      <x:c r="C597" s="16" t="str">
        <x:v>Kısmi doğrulama</x:v>
      </x:c>
      <x:c r="D597" s="16" t="str">
        <x:v>Katalog takip kaydı</x:v>
      </x:c>
      <x:c r="E597" s="16" t="str">
        <x:v>Ürün kataloğu — ayrıntılı ürün verisine erişilemedi</x:v>
      </x:c>
      <x:c r="F597" s="16" t="str">
        <x:v>Erişilemedi</x:v>
      </x:c>
      <x:c r="G597" s="17" t="str">
        <x:v>Erişilemedi</x:v>
      </x:c>
      <x:c r="H597" s="16" t="str">
        <x:v>Erişilemedi</x:v>
      </x:c>
      <x:c r="I597" s="18" t="str">
        <x:v>Erişilemedi</x:v>
      </x:c>
      <x:c r="J597" s="18" t="str">
        <x:v>Erişilemedi</x:v>
      </x:c>
      <x:c r="K597" s="18" t="str">
        <x:f>IF(AND(ISNUMBER(G597),ISNUMBER(I597)),I597/G597*1000,"Erişilemedi")</x:f>
        <x:v>Erişilemedi</x:v>
      </x:c>
      <x:c r="L597" s="16" t="str">
        <x:v>Erişilemedi</x:v>
      </x:c>
      <x:c r="M597" s="16" t="str">
        <x:v>Katalog/takip kaydı</x:v>
      </x:c>
      <x:c r="N597" s="16" t="str">
        <x:v>Instagram veya mevcut kaynak</x:v>
      </x:c>
      <x:c r="O597" s="16" t="str">
        <x:v>Takip gerekli</x:v>
      </x:c>
      <x:c r="P597" s="19" t="n">
        <x:v>46245</x:v>
      </x:c>
      <x:c r="Q597" s="20" t="str">
        <x:v>Erişilemedi</x:v>
      </x:c>
      <x:c r="R597" s="20" t="str">
        <x:v>Ürün adı, gramaj ve fiyat birlikte çıkarılamadı. Bağlantı manuel inceleme için korundu.</x:v>
      </x:c>
    </x:row>
    <x:row r="598" ht="40" customHeight="1">
      <x:c r="A598" s="16" t="str">
        <x:v>Collective Coffee Roasters</x:v>
      </x:c>
      <x:c r="B598" s="16" t="str">
        <x:v>İstanbul</x:v>
      </x:c>
      <x:c r="C598" s="16" t="str">
        <x:v>Kısmi doğrulama</x:v>
      </x:c>
      <x:c r="D598" s="16" t="str">
        <x:v>Ürün kaydı</x:v>
      </x:c>
      <x:c r="E598" s="16" t="str">
        <x:v>Brasil / Alta Mogiana</x:v>
      </x:c>
      <x:c r="F598" s="16" t="str">
        <x:v>Brezilya</x:v>
      </x:c>
      <x:c r="G598" s="17" t="str">
        <x:v>Erişilemedi</x:v>
      </x:c>
      <x:c r="H598" s="16" t="str">
        <x:v>Erişilemedi</x:v>
      </x:c>
      <x:c r="I598" s="18" t="n">
        <x:v>0</x:v>
      </x:c>
      <x:c r="J598" s="18" t="str">
        <x:v>Erişilemedi</x:v>
      </x:c>
      <x:c r="K598" s="18" t="str">
        <x:f>IF(AND(ISNUMBER(G598),ISNUMBER(I598)),I598/G598*1000,"Erişilemedi")</x:f>
        <x:v>Erişilemedi</x:v>
      </x:c>
      <x:c r="L598" s="16" t="str">
        <x:v>Stokta</x:v>
      </x:c>
      <x:c r="M598" s="16" t="str">
        <x:v>Kahve ürünü</x:v>
      </x:c>
      <x:c r="N598" s="16" t="str">
        <x:v>WooCommerce Store API</x:v>
      </x:c>
      <x:c r="O598" s="16" t="str">
        <x:v>Orta</x:v>
      </x:c>
      <x:c r="P598" s="19" t="n">
        <x:v>46245</x:v>
      </x:c>
      <x:c r="Q598" s="20" t="str">
        <x:v>https://collectivecoffeeroasters.com.tr/product/brasil-alta-mogiana/</x:v>
      </x:c>
      <x:c r="R598" s="20" t="str">
        <x:v>Fiyat veya gramaj eksik olsa da ürün korundu.</x:v>
      </x:c>
    </x:row>
    <x:row r="599" ht="40" customHeight="1">
      <x:c r="A599" s="16" t="str">
        <x:v>Collective Coffee Roasters</x:v>
      </x:c>
      <x:c r="B599" s="16" t="str">
        <x:v>İstanbul</x:v>
      </x:c>
      <x:c r="C599" s="16" t="str">
        <x:v>Kısmi doğrulama</x:v>
      </x:c>
      <x:c r="D599" s="16" t="str">
        <x:v>Ürün kaydı</x:v>
      </x:c>
      <x:c r="E599" s="16" t="str">
        <x:v>Brasil / Amazon Espresso Blend</x:v>
      </x:c>
      <x:c r="F599" s="16" t="str">
        <x:v>Brezilya</x:v>
      </x:c>
      <x:c r="G599" s="17" t="str">
        <x:v>Erişilemedi</x:v>
      </x:c>
      <x:c r="H599" s="16" t="str">
        <x:v>Erişilemedi</x:v>
      </x:c>
      <x:c r="I599" s="18" t="n">
        <x:v>0</x:v>
      </x:c>
      <x:c r="J599" s="18" t="str">
        <x:v>Erişilemedi</x:v>
      </x:c>
      <x:c r="K599" s="18" t="str">
        <x:f>IF(AND(ISNUMBER(G599),ISNUMBER(I599)),I599/G599*1000,"Erişilemedi")</x:f>
        <x:v>Erişilemedi</x:v>
      </x:c>
      <x:c r="L599" s="16" t="str">
        <x:v>Stokta</x:v>
      </x:c>
      <x:c r="M599" s="16" t="str">
        <x:v>Harman</x:v>
      </x:c>
      <x:c r="N599" s="16" t="str">
        <x:v>WooCommerce Store API</x:v>
      </x:c>
      <x:c r="O599" s="16" t="str">
        <x:v>Orta</x:v>
      </x:c>
      <x:c r="P599" s="19" t="n">
        <x:v>46245</x:v>
      </x:c>
      <x:c r="Q599" s="20" t="str">
        <x:v>https://collectivecoffeeroasters.com.tr/product/brasil-amazon-espresso-blend/</x:v>
      </x:c>
      <x:c r="R599" s="20" t="str">
        <x:v>Fiyat veya gramaj eksik olsa da ürün korundu.</x:v>
      </x:c>
    </x:row>
    <x:row r="600" ht="40" customHeight="1">
      <x:c r="A600" s="16" t="str">
        <x:v>Collective Coffee Roasters</x:v>
      </x:c>
      <x:c r="B600" s="16" t="str">
        <x:v>İstanbul</x:v>
      </x:c>
      <x:c r="C600" s="16" t="str">
        <x:v>Kısmi doğrulama</x:v>
      </x:c>
      <x:c r="D600" s="16" t="str">
        <x:v>Ürün kaydı</x:v>
      </x:c>
      <x:c r="E600" s="16" t="str">
        <x:v>Brasil / Bukowski Espresso Blend</x:v>
      </x:c>
      <x:c r="F600" s="16" t="str">
        <x:v>Brezilya</x:v>
      </x:c>
      <x:c r="G600" s="17" t="str">
        <x:v>Erişilemedi</x:v>
      </x:c>
      <x:c r="H600" s="16" t="str">
        <x:v>Erişilemedi</x:v>
      </x:c>
      <x:c r="I600" s="18" t="n">
        <x:v>0</x:v>
      </x:c>
      <x:c r="J600" s="18" t="str">
        <x:v>Erişilemedi</x:v>
      </x:c>
      <x:c r="K600" s="18" t="str">
        <x:f>IF(AND(ISNUMBER(G600),ISNUMBER(I600)),I600/G600*1000,"Erişilemedi")</x:f>
        <x:v>Erişilemedi</x:v>
      </x:c>
      <x:c r="L600" s="16" t="str">
        <x:v>Stokta</x:v>
      </x:c>
      <x:c r="M600" s="16" t="str">
        <x:v>Harman</x:v>
      </x:c>
      <x:c r="N600" s="16" t="str">
        <x:v>WooCommerce Store API</x:v>
      </x:c>
      <x:c r="O600" s="16" t="str">
        <x:v>Orta</x:v>
      </x:c>
      <x:c r="P600" s="19" t="n">
        <x:v>46245</x:v>
      </x:c>
      <x:c r="Q600" s="20" t="str">
        <x:v>https://collectivecoffeeroasters.com.tr/product/brasil-bukowski-espresso-blend/</x:v>
      </x:c>
      <x:c r="R600" s="20" t="str">
        <x:v>Fiyat veya gramaj eksik olsa da ürün korundu.</x:v>
      </x:c>
    </x:row>
    <x:row r="601" ht="40" customHeight="1">
      <x:c r="A601" s="16" t="str">
        <x:v>Collective Coffee Roasters</x:v>
      </x:c>
      <x:c r="B601" s="16" t="str">
        <x:v>İstanbul</x:v>
      </x:c>
      <x:c r="C601" s="16" t="str">
        <x:v>Kısmi doğrulama</x:v>
      </x:c>
      <x:c r="D601" s="16" t="str">
        <x:v>Ürün kaydı</x:v>
      </x:c>
      <x:c r="E601" s="16" t="str">
        <x:v>Colombia / Medellin</x:v>
      </x:c>
      <x:c r="F601" s="16" t="str">
        <x:v>Kolombiya</x:v>
      </x:c>
      <x:c r="G601" s="17" t="str">
        <x:v>Erişilemedi</x:v>
      </x:c>
      <x:c r="H601" s="16" t="str">
        <x:v>Erişilemedi</x:v>
      </x:c>
      <x:c r="I601" s="18" t="n">
        <x:v>0</x:v>
      </x:c>
      <x:c r="J601" s="18" t="str">
        <x:v>Erişilemedi</x:v>
      </x:c>
      <x:c r="K601" s="18" t="str">
        <x:f>IF(AND(ISNUMBER(G601),ISNUMBER(I601)),I601/G601*1000,"Erişilemedi")</x:f>
        <x:v>Erişilemedi</x:v>
      </x:c>
      <x:c r="L601" s="16" t="str">
        <x:v>Stokta</x:v>
      </x:c>
      <x:c r="M601" s="16" t="str">
        <x:v>Kahve ürünü</x:v>
      </x:c>
      <x:c r="N601" s="16" t="str">
        <x:v>WooCommerce Store API</x:v>
      </x:c>
      <x:c r="O601" s="16" t="str">
        <x:v>Orta</x:v>
      </x:c>
      <x:c r="P601" s="19" t="n">
        <x:v>46245</x:v>
      </x:c>
      <x:c r="Q601" s="20" t="str">
        <x:v>https://collectivecoffeeroasters.com.tr/product/colombia-medellin/</x:v>
      </x:c>
      <x:c r="R601" s="20" t="str">
        <x:v>Fiyat veya gramaj eksik olsa da ürün korundu.</x:v>
      </x:c>
    </x:row>
    <x:row r="602" ht="40" customHeight="1">
      <x:c r="A602" s="16" t="str">
        <x:v>Collective Coffee Roasters</x:v>
      </x:c>
      <x:c r="B602" s="16" t="str">
        <x:v>İstanbul</x:v>
      </x:c>
      <x:c r="C602" s="16" t="str">
        <x:v>Kısmi doğrulama</x:v>
      </x:c>
      <x:c r="D602" s="16" t="str">
        <x:v>Ürün kaydı</x:v>
      </x:c>
      <x:c r="E602" s="16" t="str">
        <x:v>Ethiopia / Africano Espresso Blend</x:v>
      </x:c>
      <x:c r="F602" s="16" t="str">
        <x:v>Etiyopya</x:v>
      </x:c>
      <x:c r="G602" s="17" t="str">
        <x:v>Erişilemedi</x:v>
      </x:c>
      <x:c r="H602" s="16" t="str">
        <x:v>Erişilemedi</x:v>
      </x:c>
      <x:c r="I602" s="18" t="n">
        <x:v>0</x:v>
      </x:c>
      <x:c r="J602" s="18" t="str">
        <x:v>Erişilemedi</x:v>
      </x:c>
      <x:c r="K602" s="18" t="str">
        <x:f>IF(AND(ISNUMBER(G602),ISNUMBER(I602)),I602/G602*1000,"Erişilemedi")</x:f>
        <x:v>Erişilemedi</x:v>
      </x:c>
      <x:c r="L602" s="16" t="str">
        <x:v>Stokta</x:v>
      </x:c>
      <x:c r="M602" s="16" t="str">
        <x:v>Harman</x:v>
      </x:c>
      <x:c r="N602" s="16" t="str">
        <x:v>WooCommerce Store API</x:v>
      </x:c>
      <x:c r="O602" s="16" t="str">
        <x:v>Orta</x:v>
      </x:c>
      <x:c r="P602" s="19" t="n">
        <x:v>46245</x:v>
      </x:c>
      <x:c r="Q602" s="20" t="str">
        <x:v>https://collectivecoffeeroasters.com.tr/product/ethiopia-africano-espresso-blend/</x:v>
      </x:c>
      <x:c r="R602" s="20" t="str">
        <x:v>Fiyat veya gramaj eksik olsa da ürün korundu.</x:v>
      </x:c>
    </x:row>
    <x:row r="603" ht="40" customHeight="1">
      <x:c r="A603" s="16" t="str">
        <x:v>Collective Coffee Roasters</x:v>
      </x:c>
      <x:c r="B603" s="16" t="str">
        <x:v>İstanbul</x:v>
      </x:c>
      <x:c r="C603" s="16" t="str">
        <x:v>Kısmi doğrulama</x:v>
      </x:c>
      <x:c r="D603" s="16" t="str">
        <x:v>Ürün kaydı</x:v>
      </x:c>
      <x:c r="E603" s="16" t="str">
        <x:v>Ethiopia / Chelelektu</x:v>
      </x:c>
      <x:c r="F603" s="16" t="str">
        <x:v>Etiyopya</x:v>
      </x:c>
      <x:c r="G603" s="17" t="str">
        <x:v>Erişilemedi</x:v>
      </x:c>
      <x:c r="H603" s="16" t="str">
        <x:v>Erişilemedi</x:v>
      </x:c>
      <x:c r="I603" s="18" t="n">
        <x:v>0</x:v>
      </x:c>
      <x:c r="J603" s="18" t="str">
        <x:v>Erişilemedi</x:v>
      </x:c>
      <x:c r="K603" s="18" t="str">
        <x:f>IF(AND(ISNUMBER(G603),ISNUMBER(I603)),I603/G603*1000,"Erişilemedi")</x:f>
        <x:v>Erişilemedi</x:v>
      </x:c>
      <x:c r="L603" s="16" t="str">
        <x:v>Stokta</x:v>
      </x:c>
      <x:c r="M603" s="16" t="str">
        <x:v>Kahve ürünü</x:v>
      </x:c>
      <x:c r="N603" s="16" t="str">
        <x:v>WooCommerce Store API</x:v>
      </x:c>
      <x:c r="O603" s="16" t="str">
        <x:v>Orta</x:v>
      </x:c>
      <x:c r="P603" s="19" t="n">
        <x:v>46245</x:v>
      </x:c>
      <x:c r="Q603" s="20" t="str">
        <x:v>https://collectivecoffeeroasters.com.tr/product/ethiopia-chelelektu/</x:v>
      </x:c>
      <x:c r="R603" s="20" t="str">
        <x:v>Fiyat veya gramaj eksik olsa da ürün korundu.</x:v>
      </x:c>
    </x:row>
    <x:row r="604" ht="40" customHeight="1">
      <x:c r="A604" s="16" t="str">
        <x:v>Collective Coffee Roasters</x:v>
      </x:c>
      <x:c r="B604" s="16" t="str">
        <x:v>İstanbul</x:v>
      </x:c>
      <x:c r="C604" s="16" t="str">
        <x:v>Kısmi doğrulama</x:v>
      </x:c>
      <x:c r="D604" s="16" t="str">
        <x:v>Ürün kaydı</x:v>
      </x:c>
      <x:c r="E604" s="16" t="str">
        <x:v>Ethiopia / Cross Espresso Blend</x:v>
      </x:c>
      <x:c r="F604" s="16" t="str">
        <x:v>Etiyopya</x:v>
      </x:c>
      <x:c r="G604" s="17" t="str">
        <x:v>Erişilemedi</x:v>
      </x:c>
      <x:c r="H604" s="16" t="str">
        <x:v>Erişilemedi</x:v>
      </x:c>
      <x:c r="I604" s="18" t="n">
        <x:v>0</x:v>
      </x:c>
      <x:c r="J604" s="18" t="str">
        <x:v>Erişilemedi</x:v>
      </x:c>
      <x:c r="K604" s="18" t="str">
        <x:f>IF(AND(ISNUMBER(G604),ISNUMBER(I604)),I604/G604*1000,"Erişilemedi")</x:f>
        <x:v>Erişilemedi</x:v>
      </x:c>
      <x:c r="L604" s="16" t="str">
        <x:v>Stokta</x:v>
      </x:c>
      <x:c r="M604" s="16" t="str">
        <x:v>Harman</x:v>
      </x:c>
      <x:c r="N604" s="16" t="str">
        <x:v>WooCommerce Store API</x:v>
      </x:c>
      <x:c r="O604" s="16" t="str">
        <x:v>Orta</x:v>
      </x:c>
      <x:c r="P604" s="19" t="n">
        <x:v>46245</x:v>
      </x:c>
      <x:c r="Q604" s="20" t="str">
        <x:v>https://collectivecoffeeroasters.com.tr/product/ethiopia-cross-espresso-blend/</x:v>
      </x:c>
      <x:c r="R604" s="20" t="str">
        <x:v>Fiyat veya gramaj eksik olsa da ürün korundu.</x:v>
      </x:c>
    </x:row>
    <x:row r="605" ht="40" customHeight="1">
      <x:c r="A605" s="16" t="str">
        <x:v>Collective Coffee Roasters</x:v>
      </x:c>
      <x:c r="B605" s="16" t="str">
        <x:v>İstanbul</x:v>
      </x:c>
      <x:c r="C605" s="16" t="str">
        <x:v>Kısmi doğrulama</x:v>
      </x:c>
      <x:c r="D605" s="16" t="str">
        <x:v>Ürün kaydı</x:v>
      </x:c>
      <x:c r="E605" s="16" t="str">
        <x:v>Ethiopia / Konga</x:v>
      </x:c>
      <x:c r="F605" s="16" t="str">
        <x:v>Etiyopya</x:v>
      </x:c>
      <x:c r="G605" s="17" t="str">
        <x:v>Erişilemedi</x:v>
      </x:c>
      <x:c r="H605" s="16" t="str">
        <x:v>Erişilemedi</x:v>
      </x:c>
      <x:c r="I605" s="18" t="n">
        <x:v>0</x:v>
      </x:c>
      <x:c r="J605" s="18" t="str">
        <x:v>Erişilemedi</x:v>
      </x:c>
      <x:c r="K605" s="18" t="str">
        <x:f>IF(AND(ISNUMBER(G605),ISNUMBER(I605)),I605/G605*1000,"Erişilemedi")</x:f>
        <x:v>Erişilemedi</x:v>
      </x:c>
      <x:c r="L605" s="16" t="str">
        <x:v>Stokta</x:v>
      </x:c>
      <x:c r="M605" s="16" t="str">
        <x:v>Kahve ürünü</x:v>
      </x:c>
      <x:c r="N605" s="16" t="str">
        <x:v>WooCommerce Store API</x:v>
      </x:c>
      <x:c r="O605" s="16" t="str">
        <x:v>Orta</x:v>
      </x:c>
      <x:c r="P605" s="19" t="n">
        <x:v>46245</x:v>
      </x:c>
      <x:c r="Q605" s="20" t="str">
        <x:v>https://collectivecoffeeroasters.com.tr/product/ethiopia-konga/</x:v>
      </x:c>
      <x:c r="R605" s="20" t="str">
        <x:v>Fiyat veya gramaj eksik olsa da ürün korundu.</x:v>
      </x:c>
    </x:row>
    <x:row r="606" ht="40" customHeight="1">
      <x:c r="A606" s="16" t="str">
        <x:v>Collective Coffee Roasters</x:v>
      </x:c>
      <x:c r="B606" s="16" t="str">
        <x:v>İstanbul</x:v>
      </x:c>
      <x:c r="C606" s="16" t="str">
        <x:v>Kısmi doğrulama</x:v>
      </x:c>
      <x:c r="D606" s="16" t="str">
        <x:v>Ürün kaydı</x:v>
      </x:c>
      <x:c r="E606" s="16" t="str">
        <x:v>Ethiopia / Lekempti</x:v>
      </x:c>
      <x:c r="F606" s="16" t="str">
        <x:v>Etiyopya</x:v>
      </x:c>
      <x:c r="G606" s="17" t="str">
        <x:v>Erişilemedi</x:v>
      </x:c>
      <x:c r="H606" s="16" t="str">
        <x:v>Erişilemedi</x:v>
      </x:c>
      <x:c r="I606" s="18" t="n">
        <x:v>0</x:v>
      </x:c>
      <x:c r="J606" s="18" t="str">
        <x:v>Erişilemedi</x:v>
      </x:c>
      <x:c r="K606" s="18" t="str">
        <x:f>IF(AND(ISNUMBER(G606),ISNUMBER(I606)),I606/G606*1000,"Erişilemedi")</x:f>
        <x:v>Erişilemedi</x:v>
      </x:c>
      <x:c r="L606" s="16" t="str">
        <x:v>Stokta</x:v>
      </x:c>
      <x:c r="M606" s="16" t="str">
        <x:v>Kahve ürünü</x:v>
      </x:c>
      <x:c r="N606" s="16" t="str">
        <x:v>WooCommerce Store API</x:v>
      </x:c>
      <x:c r="O606" s="16" t="str">
        <x:v>Orta</x:v>
      </x:c>
      <x:c r="P606" s="19" t="n">
        <x:v>46245</x:v>
      </x:c>
      <x:c r="Q606" s="20" t="str">
        <x:v>https://collectivecoffeeroasters.com.tr/product/ethiopia-lekempti/</x:v>
      </x:c>
      <x:c r="R606" s="20" t="str">
        <x:v>Fiyat veya gramaj eksik olsa da ürün korundu.</x:v>
      </x:c>
    </x:row>
    <x:row r="607" ht="40" customHeight="1">
      <x:c r="A607" s="16" t="str">
        <x:v>Collective Coffee Roasters</x:v>
      </x:c>
      <x:c r="B607" s="16" t="str">
        <x:v>İstanbul</x:v>
      </x:c>
      <x:c r="C607" s="16" t="str">
        <x:v>Kısmi doğrulama</x:v>
      </x:c>
      <x:c r="D607" s="16" t="str">
        <x:v>Ürün kaydı</x:v>
      </x:c>
      <x:c r="E607" s="16" t="str">
        <x:v>Guatemala / Huehuetenengo</x:v>
      </x:c>
      <x:c r="F607" s="16" t="str">
        <x:v>Guatemala</x:v>
      </x:c>
      <x:c r="G607" s="17" t="str">
        <x:v>Erişilemedi</x:v>
      </x:c>
      <x:c r="H607" s="16" t="str">
        <x:v>Erişilemedi</x:v>
      </x:c>
      <x:c r="I607" s="18" t="n">
        <x:v>0</x:v>
      </x:c>
      <x:c r="J607" s="18" t="str">
        <x:v>Erişilemedi</x:v>
      </x:c>
      <x:c r="K607" s="18" t="str">
        <x:f>IF(AND(ISNUMBER(G607),ISNUMBER(I607)),I607/G607*1000,"Erişilemedi")</x:f>
        <x:v>Erişilemedi</x:v>
      </x:c>
      <x:c r="L607" s="16" t="str">
        <x:v>Stokta</x:v>
      </x:c>
      <x:c r="M607" s="16" t="str">
        <x:v>Kahve ürünü</x:v>
      </x:c>
      <x:c r="N607" s="16" t="str">
        <x:v>WooCommerce Store API</x:v>
      </x:c>
      <x:c r="O607" s="16" t="str">
        <x:v>Orta</x:v>
      </x:c>
      <x:c r="P607" s="19" t="n">
        <x:v>46245</x:v>
      </x:c>
      <x:c r="Q607" s="20" t="str">
        <x:v>https://collectivecoffeeroasters.com.tr/product/guatemala-huehuetenengo/</x:v>
      </x:c>
      <x:c r="R607" s="20" t="str">
        <x:v>Fiyat veya gramaj eksik olsa da ürün korundu.</x:v>
      </x:c>
    </x:row>
    <x:row r="608" ht="40" customHeight="1">
      <x:c r="A608" s="16" t="str">
        <x:v>Collective Coffee Roasters</x:v>
      </x:c>
      <x:c r="B608" s="16" t="str">
        <x:v>İstanbul</x:v>
      </x:c>
      <x:c r="C608" s="16" t="str">
        <x:v>Kısmi doğrulama</x:v>
      </x:c>
      <x:c r="D608" s="16" t="str">
        <x:v>Ürün kaydı</x:v>
      </x:c>
      <x:c r="E608" s="16" t="str">
        <x:v>Kenya / Central</x:v>
      </x:c>
      <x:c r="F608" s="16" t="str">
        <x:v>Kenya</x:v>
      </x:c>
      <x:c r="G608" s="17" t="str">
        <x:v>Erişilemedi</x:v>
      </x:c>
      <x:c r="H608" s="16" t="str">
        <x:v>Erişilemedi</x:v>
      </x:c>
      <x:c r="I608" s="18" t="n">
        <x:v>0</x:v>
      </x:c>
      <x:c r="J608" s="18" t="str">
        <x:v>Erişilemedi</x:v>
      </x:c>
      <x:c r="K608" s="18" t="str">
        <x:f>IF(AND(ISNUMBER(G608),ISNUMBER(I608)),I608/G608*1000,"Erişilemedi")</x:f>
        <x:v>Erişilemedi</x:v>
      </x:c>
      <x:c r="L608" s="16" t="str">
        <x:v>Stokta</x:v>
      </x:c>
      <x:c r="M608" s="16" t="str">
        <x:v>Kahve ürünü</x:v>
      </x:c>
      <x:c r="N608" s="16" t="str">
        <x:v>WooCommerce Store API</x:v>
      </x:c>
      <x:c r="O608" s="16" t="str">
        <x:v>Orta</x:v>
      </x:c>
      <x:c r="P608" s="19" t="n">
        <x:v>46245</x:v>
      </x:c>
      <x:c r="Q608" s="20" t="str">
        <x:v>https://collectivecoffeeroasters.com.tr/product/kenya-central/</x:v>
      </x:c>
      <x:c r="R608" s="20" t="str">
        <x:v>Fiyat veya gramaj eksik olsa da ürün korundu.</x:v>
      </x:c>
    </x:row>
    <x:row r="609" ht="40" customHeight="1">
      <x:c r="A609" s="16" t="str">
        <x:v>Collective Coffee Roasters</x:v>
      </x:c>
      <x:c r="B609" s="16" t="str">
        <x:v>İstanbul</x:v>
      </x:c>
      <x:c r="C609" s="16" t="str">
        <x:v>Kısmi doğrulama</x:v>
      </x:c>
      <x:c r="D609" s="16" t="str">
        <x:v>Ürün kaydı</x:v>
      </x:c>
      <x:c r="E609" s="16" t="str">
        <x:v>Kenya / Rift Valley</x:v>
      </x:c>
      <x:c r="F609" s="16" t="str">
        <x:v>Kenya</x:v>
      </x:c>
      <x:c r="G609" s="17" t="str">
        <x:v>Erişilemedi</x:v>
      </x:c>
      <x:c r="H609" s="16" t="str">
        <x:v>Erişilemedi</x:v>
      </x:c>
      <x:c r="I609" s="18" t="n">
        <x:v>0</x:v>
      </x:c>
      <x:c r="J609" s="18" t="str">
        <x:v>Erişilemedi</x:v>
      </x:c>
      <x:c r="K609" s="18" t="str">
        <x:f>IF(AND(ISNUMBER(G609),ISNUMBER(I609)),I609/G609*1000,"Erişilemedi")</x:f>
        <x:v>Erişilemedi</x:v>
      </x:c>
      <x:c r="L609" s="16" t="str">
        <x:v>Stokta</x:v>
      </x:c>
      <x:c r="M609" s="16" t="str">
        <x:v>Kahve ürünü</x:v>
      </x:c>
      <x:c r="N609" s="16" t="str">
        <x:v>WooCommerce Store API</x:v>
      </x:c>
      <x:c r="O609" s="16" t="str">
        <x:v>Orta</x:v>
      </x:c>
      <x:c r="P609" s="19" t="n">
        <x:v>46245</x:v>
      </x:c>
      <x:c r="Q609" s="20" t="str">
        <x:v>https://collectivecoffeeroasters.com.tr/product/kenya-rift-valley/</x:v>
      </x:c>
      <x:c r="R609" s="20" t="str">
        <x:v>Fiyat veya gramaj eksik olsa da ürün korundu.</x:v>
      </x:c>
    </x:row>
    <x:row r="610" ht="40" customHeight="1">
      <x:c r="A610" s="16" t="str">
        <x:v>Collective Coffee Roasters</x:v>
      </x:c>
      <x:c r="B610" s="16" t="str">
        <x:v>İstanbul</x:v>
      </x:c>
      <x:c r="C610" s="16" t="str">
        <x:v>Kısmi doğrulama</x:v>
      </x:c>
      <x:c r="D610" s="16" t="str">
        <x:v>Ürün kaydı</x:v>
      </x:c>
      <x:c r="E610" s="16" t="str">
        <x:v>Tanzania / Kilimanjaro</x:v>
      </x:c>
      <x:c r="F610" s="16" t="str">
        <x:v>Tanzanya</x:v>
      </x:c>
      <x:c r="G610" s="17" t="str">
        <x:v>Erişilemedi</x:v>
      </x:c>
      <x:c r="H610" s="16" t="str">
        <x:v>Erişilemedi</x:v>
      </x:c>
      <x:c r="I610" s="18" t="n">
        <x:v>0</x:v>
      </x:c>
      <x:c r="J610" s="18" t="str">
        <x:v>Erişilemedi</x:v>
      </x:c>
      <x:c r="K610" s="18" t="str">
        <x:f>IF(AND(ISNUMBER(G610),ISNUMBER(I610)),I610/G610*1000,"Erişilemedi")</x:f>
        <x:v>Erişilemedi</x:v>
      </x:c>
      <x:c r="L610" s="16" t="str">
        <x:v>Stokta</x:v>
      </x:c>
      <x:c r="M610" s="16" t="str">
        <x:v>Kahve ürünü</x:v>
      </x:c>
      <x:c r="N610" s="16" t="str">
        <x:v>WooCommerce Store API</x:v>
      </x:c>
      <x:c r="O610" s="16" t="str">
        <x:v>Orta</x:v>
      </x:c>
      <x:c r="P610" s="19" t="n">
        <x:v>46245</x:v>
      </x:c>
      <x:c r="Q610" s="20" t="str">
        <x:v>https://collectivecoffeeroasters.com.tr/product/tanzania-kilimanjaro/</x:v>
      </x:c>
      <x:c r="R610" s="20" t="str">
        <x:v>Fiyat veya gramaj eksik olsa da ürün korundu.</x:v>
      </x:c>
    </x:row>
    <x:row r="611" ht="40" customHeight="1">
      <x:c r="A611" s="16" t="str">
        <x:v>Collective Coffee Roasters</x:v>
      </x:c>
      <x:c r="B611" s="16" t="str">
        <x:v>İstanbul</x:v>
      </x:c>
      <x:c r="C611" s="16" t="str">
        <x:v>Kısmi doğrulama</x:v>
      </x:c>
      <x:c r="D611" s="16" t="str">
        <x:v>Ürün kaydı</x:v>
      </x:c>
      <x:c r="E611" s="16" t="str">
        <x:v>Tanzania / Mbinga</x:v>
      </x:c>
      <x:c r="F611" s="16" t="str">
        <x:v>Tanzanya</x:v>
      </x:c>
      <x:c r="G611" s="17" t="str">
        <x:v>Erişilemedi</x:v>
      </x:c>
      <x:c r="H611" s="16" t="str">
        <x:v>Erişilemedi</x:v>
      </x:c>
      <x:c r="I611" s="18" t="n">
        <x:v>0</x:v>
      </x:c>
      <x:c r="J611" s="18" t="str">
        <x:v>Erişilemedi</x:v>
      </x:c>
      <x:c r="K611" s="18" t="str">
        <x:f>IF(AND(ISNUMBER(G611),ISNUMBER(I611)),I611/G611*1000,"Erişilemedi")</x:f>
        <x:v>Erişilemedi</x:v>
      </x:c>
      <x:c r="L611" s="16" t="str">
        <x:v>Stokta</x:v>
      </x:c>
      <x:c r="M611" s="16" t="str">
        <x:v>Kahve ürünü</x:v>
      </x:c>
      <x:c r="N611" s="16" t="str">
        <x:v>WooCommerce Store API</x:v>
      </x:c>
      <x:c r="O611" s="16" t="str">
        <x:v>Orta</x:v>
      </x:c>
      <x:c r="P611" s="19" t="n">
        <x:v>46245</x:v>
      </x:c>
      <x:c r="Q611" s="20" t="str">
        <x:v>https://collectivecoffeeroasters.com.tr/product/tanzania-mbinga/</x:v>
      </x:c>
      <x:c r="R611" s="20" t="str">
        <x:v>Fiyat veya gramaj eksik olsa da ürün korundu.</x:v>
      </x:c>
    </x:row>
    <x:row r="612" ht="40" customHeight="1">
      <x:c r="A612" s="16" t="str">
        <x:v>Collective Coffee Roasters</x:v>
      </x:c>
      <x:c r="B612" s="16" t="str">
        <x:v>İstanbul</x:v>
      </x:c>
      <x:c r="C612" s="16" t="str">
        <x:v>Kısmi doğrulama</x:v>
      </x:c>
      <x:c r="D612" s="16" t="str">
        <x:v>Ürün kaydı</x:v>
      </x:c>
      <x:c r="E612" s="16" t="str">
        <x:v>Turkish Coffee</x:v>
      </x:c>
      <x:c r="F612" s="16" t="str">
        <x:v>Brezilya</x:v>
      </x:c>
      <x:c r="G612" s="17" t="str">
        <x:v>Erişilemedi</x:v>
      </x:c>
      <x:c r="H612" s="16" t="str">
        <x:v>Erişilemedi</x:v>
      </x:c>
      <x:c r="I612" s="18" t="n">
        <x:v>0</x:v>
      </x:c>
      <x:c r="J612" s="18" t="str">
        <x:v>Erişilemedi</x:v>
      </x:c>
      <x:c r="K612" s="18" t="str">
        <x:f>IF(AND(ISNUMBER(G612),ISNUMBER(I612)),I612/G612*1000,"Erişilemedi")</x:f>
        <x:v>Erişilemedi</x:v>
      </x:c>
      <x:c r="L612" s="16" t="str">
        <x:v>Stokta</x:v>
      </x:c>
      <x:c r="M612" s="16" t="str">
        <x:v>Kahve ürünü</x:v>
      </x:c>
      <x:c r="N612" s="16" t="str">
        <x:v>WooCommerce Store API</x:v>
      </x:c>
      <x:c r="O612" s="16" t="str">
        <x:v>Orta</x:v>
      </x:c>
      <x:c r="P612" s="19" t="n">
        <x:v>46245</x:v>
      </x:c>
      <x:c r="Q612" s="20" t="str">
        <x:v>https://collectivecoffeeroasters.com.tr/product/turkish-coffee/</x:v>
      </x:c>
      <x:c r="R612" s="20" t="str">
        <x:v>Fiyat veya gramaj eksik olsa da ürün korundu.</x:v>
      </x:c>
    </x:row>
    <x:row r="613" ht="40" customHeight="1">
      <x:c r="A613" s="16" t="str">
        <x:v>Cup of Joy</x:v>
      </x:c>
      <x:c r="B613" s="16" t="str">
        <x:v>İstanbul</x:v>
      </x:c>
      <x:c r="C613" s="16" t="str">
        <x:v>Kısmi doğrulama</x:v>
      </x:c>
      <x:c r="D613" s="16" t="str">
        <x:v>Katalog takip kaydı</x:v>
      </x:c>
      <x:c r="E613" s="16" t="str">
        <x:v>Ürün kataloğu — ayrıntılı ürün verisine erişilemedi</x:v>
      </x:c>
      <x:c r="F613" s="16" t="str">
        <x:v>Erişilemedi</x:v>
      </x:c>
      <x:c r="G613" s="17" t="str">
        <x:v>Erişilemedi</x:v>
      </x:c>
      <x:c r="H613" s="16" t="str">
        <x:v>Erişilemedi</x:v>
      </x:c>
      <x:c r="I613" s="18" t="str">
        <x:v>Erişilemedi</x:v>
      </x:c>
      <x:c r="J613" s="18" t="str">
        <x:v>Erişilemedi</x:v>
      </x:c>
      <x:c r="K613" s="18" t="str">
        <x:f>IF(AND(ISNUMBER(G613),ISNUMBER(I613)),I613/G613*1000,"Erişilemedi")</x:f>
        <x:v>Erişilemedi</x:v>
      </x:c>
      <x:c r="L613" s="16" t="str">
        <x:v>Erişilemedi</x:v>
      </x:c>
      <x:c r="M613" s="16" t="str">
        <x:v>Katalog/takip kaydı</x:v>
      </x:c>
      <x:c r="N613" s="16" t="str">
        <x:v>Instagram veya mevcut kaynak</x:v>
      </x:c>
      <x:c r="O613" s="16" t="str">
        <x:v>Takip gerekli</x:v>
      </x:c>
      <x:c r="P613" s="19" t="n">
        <x:v>46245</x:v>
      </x:c>
      <x:c r="Q613" s="20" t="str">
        <x:v>Erişilemedi</x:v>
      </x:c>
      <x:c r="R613" s="20" t="str">
        <x:v>Ürün adı, gramaj ve fiyat birlikte çıkarılamadı. Bağlantı manuel inceleme için korundu.</x:v>
      </x:c>
    </x:row>
    <x:row r="614" ht="40" customHeight="1">
      <x:c r="A614" s="16" t="str">
        <x:v>Daphne Coffee Co.</x:v>
      </x:c>
      <x:c r="B614" s="16" t="str">
        <x:v>Ankara</x:v>
      </x:c>
      <x:c r="C614" s="16" t="str">
        <x:v>Kısmi doğrulama</x:v>
      </x:c>
      <x:c r="D614" s="16" t="str">
        <x:v>Katalog takip kaydı</x:v>
      </x:c>
      <x:c r="E614" s="16" t="str">
        <x:v>Ürün kataloğu — ayrıntılı ürün verisine erişilemedi</x:v>
      </x:c>
      <x:c r="F614" s="16" t="str">
        <x:v>Erişilemedi</x:v>
      </x:c>
      <x:c r="G614" s="17" t="str">
        <x:v>Erişilemedi</x:v>
      </x:c>
      <x:c r="H614" s="16" t="str">
        <x:v>Erişilemedi</x:v>
      </x:c>
      <x:c r="I614" s="18" t="str">
        <x:v>Erişilemedi</x:v>
      </x:c>
      <x:c r="J614" s="18" t="str">
        <x:v>Erişilemedi</x:v>
      </x:c>
      <x:c r="K614" s="18" t="str">
        <x:f>IF(AND(ISNUMBER(G614),ISNUMBER(I614)),I614/G614*1000,"Erişilemedi")</x:f>
        <x:v>Erişilemedi</x:v>
      </x:c>
      <x:c r="L614" s="16" t="str">
        <x:v>Erişilemedi</x:v>
      </x:c>
      <x:c r="M614" s="16" t="str">
        <x:v>Katalog/takip kaydı</x:v>
      </x:c>
      <x:c r="N614" s="16" t="str">
        <x:v>Instagram veya mevcut kaynak</x:v>
      </x:c>
      <x:c r="O614" s="16" t="str">
        <x:v>Takip gerekli</x:v>
      </x:c>
      <x:c r="P614" s="19" t="n">
        <x:v>46245</x:v>
      </x:c>
      <x:c r="Q614" s="20" t="str">
        <x:v>Erişilemedi</x:v>
      </x:c>
      <x:c r="R614" s="20" t="str">
        <x:v>Ürün adı, gramaj ve fiyat birlikte çıkarılamadı. Bağlantı manuel inceleme için korundu.</x:v>
      </x:c>
    </x:row>
    <x:row r="615" ht="40" customHeight="1">
      <x:c r="A615" s="16" t="str">
        <x:v>Deal Coffee Co.</x:v>
      </x:c>
      <x:c r="B615" s="16" t="str">
        <x:v>İstanbul</x:v>
      </x:c>
      <x:c r="C615" s="16" t="str">
        <x:v>Doğrulandı</x:v>
      </x:c>
      <x:c r="D615" s="16" t="str">
        <x:v>Ürün kaydı</x:v>
      </x:c>
      <x:c r="E615" s="16" t="str">
        <x:v>CEREMONY</x:v>
      </x:c>
      <x:c r="F615" s="16" t="str">
        <x:v>Kolombiya | Brezilya</x:v>
      </x:c>
      <x:c r="G615" s="17" t="str">
        <x:v>Erişilemedi</x:v>
      </x:c>
      <x:c r="H615" s="16" t="str">
        <x:v>Erişilemedi</x:v>
      </x:c>
      <x:c r="I615" s="18" t="n">
        <x:v>540</x:v>
      </x:c>
      <x:c r="J615" s="18" t="str">
        <x:v>Erişildi</x:v>
      </x:c>
      <x:c r="K615" s="18" t="str">
        <x:f>IF(AND(ISNUMBER(G615),ISNUMBER(I615)),I615/G615*1000,"Erişilemedi")</x:f>
        <x:v>Erişilemedi</x:v>
      </x:c>
      <x:c r="L615" s="16" t="str">
        <x:v>Stokta</x:v>
      </x:c>
      <x:c r="M615" s="16" t="str">
        <x:v>Harman</x:v>
      </x:c>
      <x:c r="N615" s="16" t="str">
        <x:v>Shopify ürün akışı</x:v>
      </x:c>
      <x:c r="O615" s="16" t="str">
        <x:v>Orta</x:v>
      </x:c>
      <x:c r="P615" s="19" t="n">
        <x:v>46245</x:v>
      </x:c>
      <x:c r="Q615" s="20" t="str">
        <x:v>https://deal.com.tr/products/ceremonyy</x:v>
      </x:c>
      <x:c r="R615" s="20" t="str">
        <x:v>Öğütüm seçenekleri tekilleştirildi.</x:v>
      </x:c>
    </x:row>
    <x:row r="616" ht="40" customHeight="1">
      <x:c r="A616" s="16" t="str">
        <x:v>Deal Coffee Co.</x:v>
      </x:c>
      <x:c r="B616" s="16" t="str">
        <x:v>İstanbul</x:v>
      </x:c>
      <x:c r="C616" s="16" t="str">
        <x:v>Doğrulandı</x:v>
      </x:c>
      <x:c r="D616" s="16" t="str">
        <x:v>Ürün kaydı</x:v>
      </x:c>
      <x:c r="E616" s="16" t="str">
        <x:v>CEREMONY</x:v>
      </x:c>
      <x:c r="F616" s="16" t="str">
        <x:v>Kolombiya | Brezilya</x:v>
      </x:c>
      <x:c r="G616" s="17" t="str">
        <x:v>Erişilemedi</x:v>
      </x:c>
      <x:c r="H616" s="16" t="str">
        <x:v>Erişilemedi</x:v>
      </x:c>
      <x:c r="I616" s="18" t="n">
        <x:v>1944</x:v>
      </x:c>
      <x:c r="J616" s="18" t="str">
        <x:v>Erişildi</x:v>
      </x:c>
      <x:c r="K616" s="18" t="str">
        <x:f>IF(AND(ISNUMBER(G616),ISNUMBER(I616)),I616/G616*1000,"Erişilemedi")</x:f>
        <x:v>Erişilemedi</x:v>
      </x:c>
      <x:c r="L616" s="16" t="str">
        <x:v>Stokta</x:v>
      </x:c>
      <x:c r="M616" s="16" t="str">
        <x:v>Harman</x:v>
      </x:c>
      <x:c r="N616" s="16" t="str">
        <x:v>Shopify ürün akışı</x:v>
      </x:c>
      <x:c r="O616" s="16" t="str">
        <x:v>Orta</x:v>
      </x:c>
      <x:c r="P616" s="19" t="n">
        <x:v>46245</x:v>
      </x:c>
      <x:c r="Q616" s="20" t="str">
        <x:v>https://deal.com.tr/products/ceremonyy</x:v>
      </x:c>
      <x:c r="R616" s="20" t="str">
        <x:v>Öğütüm seçenekleri tekilleştirildi.</x:v>
      </x:c>
    </x:row>
    <x:row r="617" ht="40" customHeight="1">
      <x:c r="A617" s="16" t="str">
        <x:v>Deal Coffee Co.</x:v>
      </x:c>
      <x:c r="B617" s="16" t="str">
        <x:v>İstanbul</x:v>
      </x:c>
      <x:c r="C617" s="16" t="str">
        <x:v>Doğrulandı</x:v>
      </x:c>
      <x:c r="D617" s="16" t="str">
        <x:v>Ürün kaydı</x:v>
      </x:c>
      <x:c r="E617" s="16" t="str">
        <x:v>Experimental Cold Brew</x:v>
      </x:c>
      <x:c r="F617" s="16" t="str">
        <x:v>Kolombiya | Hindistan</x:v>
      </x:c>
      <x:c r="G617" s="17" t="str">
        <x:v>Erişilemedi</x:v>
      </x:c>
      <x:c r="H617" s="16" t="str">
        <x:v>Erişilemedi</x:v>
      </x:c>
      <x:c r="I617" s="18" t="n">
        <x:v>1100</x:v>
      </x:c>
      <x:c r="J617" s="18" t="str">
        <x:v>Erişildi</x:v>
      </x:c>
      <x:c r="K617" s="18" t="str">
        <x:f>IF(AND(ISNUMBER(G617),ISNUMBER(I617)),I617/G617*1000,"Erişilemedi")</x:f>
        <x:v>Erişilemedi</x:v>
      </x:c>
      <x:c r="L617" s="16" t="str">
        <x:v>Stokta</x:v>
      </x:c>
      <x:c r="M617" s="16" t="str">
        <x:v>Kahve ürünü</x:v>
      </x:c>
      <x:c r="N617" s="16" t="str">
        <x:v>Shopify ürün akışı</x:v>
      </x:c>
      <x:c r="O617" s="16" t="str">
        <x:v>Orta</x:v>
      </x:c>
      <x:c r="P617" s="19" t="n">
        <x:v>46245</x:v>
      </x:c>
      <x:c r="Q617" s="20" t="str">
        <x:v>https://deal.com.tr/products/experimental-cold-brew</x:v>
      </x:c>
      <x:c r="R617" s="20" t="str">
        <x:v>Öğütüm seçenekleri tekilleştirildi.</x:v>
      </x:c>
    </x:row>
    <x:row r="618" ht="40" customHeight="1">
      <x:c r="A618" s="16" t="str">
        <x:v>Deal Coffee Co.</x:v>
      </x:c>
      <x:c r="B618" s="16" t="str">
        <x:v>İstanbul</x:v>
      </x:c>
      <x:c r="C618" s="16" t="str">
        <x:v>Doğrulandı</x:v>
      </x:c>
      <x:c r="D618" s="16" t="str">
        <x:v>Ürün kaydı</x:v>
      </x:c>
      <x:c r="E618" s="16" t="str">
        <x:v>Ofis Kahvesi Bundle 1000gr x5</x:v>
      </x:c>
      <x:c r="F618" s="16" t="str">
        <x:v>Kolombiya</x:v>
      </x:c>
      <x:c r="G618" s="17" t="n">
        <x:v>1000</x:v>
      </x:c>
      <x:c r="H618" s="16" t="str">
        <x:v>Erişildi</x:v>
      </x:c>
      <x:c r="I618" s="18" t="n">
        <x:v>7750</x:v>
      </x:c>
      <x:c r="J618" s="18" t="str">
        <x:v>Erişildi</x:v>
      </x:c>
      <x:c r="K618" s="18" t="n">
        <x:f>IF(AND(ISNUMBER(G618),ISNUMBER(I618)),I618/G618*1000,"Erişilemedi")</x:f>
        <x:v>7750</x:v>
      </x:c>
      <x:c r="L618" s="16" t="str">
        <x:v>Stokta</x:v>
      </x:c>
      <x:c r="M618" s="16" t="str">
        <x:v>Tek köken/ürün</x:v>
      </x:c>
      <x:c r="N618" s="16" t="str">
        <x:v>Shopify ürün akışı</x:v>
      </x:c>
      <x:c r="O618" s="16" t="str">
        <x:v>Yüksek</x:v>
      </x:c>
      <x:c r="P618" s="19" t="n">
        <x:v>46245</x:v>
      </x:c>
      <x:c r="Q618" s="20" t="str">
        <x:v>https://deal.com.tr/products/ofis-kahvesi-bundle-1000gr-x5</x:v>
      </x:c>
      <x:c r="R618" s="20" t="str">
        <x:v>Öğütüm seçenekleri aynı gramaj ve fiyatta tekilleştirildi.</x:v>
      </x:c>
    </x:row>
    <x:row r="619" ht="40" customHeight="1">
      <x:c r="A619" s="16" t="str">
        <x:v>Deal Coffee Co.</x:v>
      </x:c>
      <x:c r="B619" s="16" t="str">
        <x:v>İstanbul</x:v>
      </x:c>
      <x:c r="C619" s="16" t="str">
        <x:v>Doğrulandı</x:v>
      </x:c>
      <x:c r="D619" s="16" t="str">
        <x:v>Ürün kaydı</x:v>
      </x:c>
      <x:c r="E619" s="16" t="str">
        <x:v>Orange Bourbon (Endonezya)</x:v>
      </x:c>
      <x:c r="F619" s="16" t="str">
        <x:v>Endonezya</x:v>
      </x:c>
      <x:c r="G619" s="17" t="str">
        <x:v>Erişilemedi</x:v>
      </x:c>
      <x:c r="H619" s="16" t="str">
        <x:v>Erişilemedi</x:v>
      </x:c>
      <x:c r="I619" s="18" t="n">
        <x:v>850</x:v>
      </x:c>
      <x:c r="J619" s="18" t="str">
        <x:v>Erişildi</x:v>
      </x:c>
      <x:c r="K619" s="18" t="str">
        <x:f>IF(AND(ISNUMBER(G619),ISNUMBER(I619)),I619/G619*1000,"Erişilemedi")</x:f>
        <x:v>Erişilemedi</x:v>
      </x:c>
      <x:c r="L619" s="16" t="str">
        <x:v>Stokta</x:v>
      </x:c>
      <x:c r="M619" s="16" t="str">
        <x:v>Kahve ürünü</x:v>
      </x:c>
      <x:c r="N619" s="16" t="str">
        <x:v>Shopify ürün akışı</x:v>
      </x:c>
      <x:c r="O619" s="16" t="str">
        <x:v>Orta</x:v>
      </x:c>
      <x:c r="P619" s="19" t="n">
        <x:v>46245</x:v>
      </x:c>
      <x:c r="Q619" s="20" t="str">
        <x:v>https://deal.com.tr/products/endonezya-orange-bourbon</x:v>
      </x:c>
      <x:c r="R619" s="20" t="str">
        <x:v>Öğütüm seçenekleri tekilleştirildi.</x:v>
      </x:c>
    </x:row>
    <x:row r="620" ht="40" customHeight="1">
      <x:c r="A620" s="16" t="str">
        <x:v>Depo Coffee Roasting</x:v>
      </x:c>
      <x:c r="B620" s="16" t="str"/>
      <x:c r="C620" s="16" t="str">
        <x:v>Doğrulandı</x:v>
      </x:c>
      <x:c r="D620" s="16" t="str">
        <x:v>Ürün kaydı</x:v>
      </x:c>
      <x:c r="E620" s="16" t="str">
        <x:v>Online Sodexo ve Multinet &amp;ouml;deme se&amp;ccedil;enekleriyle Alışveriş Yapabilirsin!</x:v>
      </x:c>
      <x:c r="F620" s="16" t="str">
        <x:v>Panama</x:v>
      </x:c>
      <x:c r="G620" s="17" t="str">
        <x:v>Erişilemedi</x:v>
      </x:c>
      <x:c r="H620" s="16" t="str">
        <x:v>Erişilemedi</x:v>
      </x:c>
      <x:c r="I620" s="18" t="n">
        <x:v>0</x:v>
      </x:c>
      <x:c r="J620" s="18" t="str">
        <x:v>Erişilemedi</x:v>
      </x:c>
      <x:c r="K620" s="18" t="str">
        <x:f>IF(AND(ISNUMBER(G620),ISNUMBER(I620)),I620/G620*1000,"Erişilemedi")</x:f>
        <x:v>Erişilemedi</x:v>
      </x:c>
      <x:c r="L620" s="16" t="str">
        <x:v>Belirsiz</x:v>
      </x:c>
      <x:c r="M620" s="16" t="str">
        <x:v>Kahve ürünü</x:v>
      </x:c>
      <x:c r="N620" s="16" t="str">
        <x:v>Site haritası ürün sayfası</x:v>
      </x:c>
      <x:c r="O620" s="16" t="str">
        <x:v>Düşük</x:v>
      </x:c>
      <x:c r="P620" s="19" t="n">
        <x:v>46245</x:v>
      </x:c>
      <x:c r="Q620" s="20" t="str">
        <x:v>https://www.depocoffeeroasting.com/post/12-panama-kahvesinin-özellikleri</x:v>
      </x:c>
      <x:c r="R620" s="20" t="str">
        <x:v>Ürün kimliği korundu; eksik alanlar erişilemedi olarak işaretlenecek.</x:v>
      </x:c>
    </x:row>
    <x:row r="621" ht="40" customHeight="1">
      <x:c r="A621" s="16" t="str">
        <x:v>Depo Coffee Roasting</x:v>
      </x:c>
      <x:c r="B621" s="16" t="str"/>
      <x:c r="C621" s="16" t="str">
        <x:v>Doğrulandı</x:v>
      </x:c>
      <x:c r="D621" s="16" t="str">
        <x:v>Ürün kaydı</x:v>
      </x:c>
      <x:c r="E621" s="16" t="str">
        <x:v>Online Sodexo ve Multinet &amp;ouml;deme se&amp;ccedil;enekleriyle Alışveriş Yapabilirsin!</x:v>
      </x:c>
      <x:c r="F621" s="16" t="str">
        <x:v>Menşe belirtilmemiş</x:v>
      </x:c>
      <x:c r="G621" s="17" t="n">
        <x:v>15</x:v>
      </x:c>
      <x:c r="H621" s="16" t="str">
        <x:v>Erişildi</x:v>
      </x:c>
      <x:c r="I621" s="18" t="n">
        <x:v>0</x:v>
      </x:c>
      <x:c r="J621" s="18" t="str">
        <x:v>Erişilemedi</x:v>
      </x:c>
      <x:c r="K621" s="18" t="n">
        <x:f>IF(AND(ISNUMBER(G621),ISNUMBER(I621)),I621/G621*1000,"Erişilemedi")</x:f>
        <x:v>0</x:v>
      </x:c>
      <x:c r="L621" s="16" t="str">
        <x:v>Belirsiz</x:v>
      </x:c>
      <x:c r="M621" s="16" t="str">
        <x:v>Kahve ürünü</x:v>
      </x:c>
      <x:c r="N621" s="16" t="str">
        <x:v>Site haritası ürün sayfası</x:v>
      </x:c>
      <x:c r="O621" s="16" t="str">
        <x:v>Düşük</x:v>
      </x:c>
      <x:c r="P621" s="19" t="n">
        <x:v>46245</x:v>
      </x:c>
      <x:c r="Q621" s="20" t="str">
        <x:v>https://www.depocoffeeroasting.com/post/french-press-nasıl-demlenir</x:v>
      </x:c>
      <x:c r="R621" s="20" t="str">
        <x:v>Ürün kimliği korundu; eksik alanlar erişilemedi olarak işaretlenecek.</x:v>
      </x:c>
    </x:row>
    <x:row r="622" ht="40" customHeight="1">
      <x:c r="A622" s="16" t="str">
        <x:v>Depo Coffee Roasting</x:v>
      </x:c>
      <x:c r="B622" s="16" t="str"/>
      <x:c r="C622" s="16" t="str">
        <x:v>Doğrulandı</x:v>
      </x:c>
      <x:c r="D622" s="16" t="str">
        <x:v>Ürün kaydı</x:v>
      </x:c>
      <x:c r="E622" s="16" t="str">
        <x:v>Online Sodexo ve Multinet &amp;ouml;deme se&amp;ccedil;enekleriyle Alışveriş Yapabilirsin!</x:v>
      </x:c>
      <x:c r="F622" s="16" t="str">
        <x:v>Menşe belirtilmemiş</x:v>
      </x:c>
      <x:c r="G622" s="17" t="n">
        <x:v>60000</x:v>
      </x:c>
      <x:c r="H622" s="16" t="str">
        <x:v>Erişildi</x:v>
      </x:c>
      <x:c r="I622" s="18" t="n">
        <x:v>0</x:v>
      </x:c>
      <x:c r="J622" s="18" t="str">
        <x:v>Erişilemedi</x:v>
      </x:c>
      <x:c r="K622" s="18" t="n">
        <x:f>IF(AND(ISNUMBER(G622),ISNUMBER(I622)),I622/G622*1000,"Erişilemedi")</x:f>
        <x:v>0</x:v>
      </x:c>
      <x:c r="L622" s="16" t="str">
        <x:v>Belirsiz</x:v>
      </x:c>
      <x:c r="M622" s="16" t="str">
        <x:v>Kahve ürünü</x:v>
      </x:c>
      <x:c r="N622" s="16" t="str">
        <x:v>Site haritası ürün sayfası</x:v>
      </x:c>
      <x:c r="O622" s="16" t="str">
        <x:v>Düşük</x:v>
      </x:c>
      <x:c r="P622" s="19" t="n">
        <x:v>46245</x:v>
      </x:c>
      <x:c r="Q622" s="20" t="str">
        <x:v>https://www.depocoffeeroasting.com/post/çin-in-kahve-üretimindeki-rolü</x:v>
      </x:c>
      <x:c r="R622" s="20" t="str">
        <x:v>Ürün kimliği korundu; eksik alanlar erişilemedi olarak işaretlenecek.</x:v>
      </x:c>
    </x:row>
    <x:row r="623" ht="40" customHeight="1">
      <x:c r="A623" s="16" t="str">
        <x:v>der Röster</x:v>
      </x:c>
      <x:c r="B623" s="16" t="str">
        <x:v>Ankara</x:v>
      </x:c>
      <x:c r="C623" s="16" t="str">
        <x:v>Doğrulandı</x:v>
      </x:c>
      <x:c r="D623" s="16" t="str">
        <x:v>Katalog takip kaydı</x:v>
      </x:c>
      <x:c r="E623" s="16" t="str">
        <x:v>Ürün kataloğu — ayrıntılı ürün verisine erişilemedi</x:v>
      </x:c>
      <x:c r="F623" s="16" t="str">
        <x:v>Erişilemedi</x:v>
      </x:c>
      <x:c r="G623" s="17" t="str">
        <x:v>Erişilemedi</x:v>
      </x:c>
      <x:c r="H623" s="16" t="str">
        <x:v>Erişilemedi</x:v>
      </x:c>
      <x:c r="I623" s="18" t="str">
        <x:v>Erişilemedi</x:v>
      </x:c>
      <x:c r="J623" s="18" t="str">
        <x:v>Erişilemedi</x:v>
      </x:c>
      <x:c r="K623" s="18" t="str">
        <x:f>IF(AND(ISNUMBER(G623),ISNUMBER(I623)),I623/G623*1000,"Erişilemedi")</x:f>
        <x:v>Erişilemedi</x:v>
      </x:c>
      <x:c r="L623" s="16" t="str">
        <x:v>Erişilemedi</x:v>
      </x:c>
      <x:c r="M623" s="16" t="str">
        <x:v>Katalog/takip kaydı</x:v>
      </x:c>
      <x:c r="N623" s="16" t="str">
        <x:v>Mağaza/katalog bağlantısı</x:v>
      </x:c>
      <x:c r="O623" s="16" t="str">
        <x:v>Takip gerekli</x:v>
      </x:c>
      <x:c r="P623" s="19" t="n">
        <x:v>46245</x:v>
      </x:c>
      <x:c r="Q623" s="20" t="str">
        <x:v>https://derroster.com/der-roster</x:v>
      </x:c>
      <x:c r="R623" s="20" t="str">
        <x:v>Ürün adı, gramaj ve fiyat birlikte çıkarılamadı. Bağlantı manuel inceleme için korundu.</x:v>
      </x:c>
    </x:row>
    <x:row r="624" ht="40" customHeight="1">
      <x:c r="A624" s="16" t="str">
        <x:v>Edition Coffee Roastery</x:v>
      </x:c>
      <x:c r="B624" s="16" t="str"/>
      <x:c r="C624" s="16" t="str">
        <x:v>Doğrulandı</x:v>
      </x:c>
      <x:c r="D624" s="16" t="str">
        <x:v>Ürün kaydı</x:v>
      </x:c>
      <x:c r="E624" s="16" t="str">
        <x:v>Edition Coffee Roastery</x:v>
      </x:c>
      <x:c r="F624" s="16" t="str">
        <x:v>Menşe belirtilmemiş</x:v>
      </x:c>
      <x:c r="G624" s="17" t="str">
        <x:v>Erişilemedi</x:v>
      </x:c>
      <x:c r="H624" s="16" t="str">
        <x:v>Erişilemedi</x:v>
      </x:c>
      <x:c r="I624" s="18" t="n">
        <x:v>850</x:v>
      </x:c>
      <x:c r="J624" s="18" t="str">
        <x:v>Erişildi</x:v>
      </x:c>
      <x:c r="K624" s="18" t="str">
        <x:f>IF(AND(ISNUMBER(G624),ISNUMBER(I624)),I624/G624*1000,"Erişilemedi")</x:f>
        <x:v>Erişilemedi</x:v>
      </x:c>
      <x:c r="L624" s="16" t="str">
        <x:v>Belirsiz</x:v>
      </x:c>
      <x:c r="M624" s="16" t="str">
        <x:v>Kahve ürünü</x:v>
      </x:c>
      <x:c r="N624" s="16" t="str">
        <x:v>Site haritası ürün sayfası</x:v>
      </x:c>
      <x:c r="O624" s="16" t="str">
        <x:v>Düşük</x:v>
      </x:c>
      <x:c r="P624" s="19" t="n">
        <x:v>46245</x:v>
      </x:c>
      <x:c r="Q624" s="20" t="str">
        <x:v>https://editioncoffee.com.tr/</x:v>
      </x:c>
      <x:c r="R624" s="20" t="str">
        <x:v>Ürün kimliği korundu; eksik alanlar erişilemedi olarak işaretlenecek.</x:v>
      </x:c>
    </x:row>
    <x:row r="625" ht="40" customHeight="1">
      <x:c r="A625" s="16" t="str">
        <x:v>Espressolab</x:v>
      </x:c>
      <x:c r="B625" s="16" t="str">
        <x:v>İstanbul</x:v>
      </x:c>
      <x:c r="C625" s="16" t="str">
        <x:v>Doğrulandı</x:v>
      </x:c>
      <x:c r="D625" s="16" t="str">
        <x:v>Katalog takip kaydı</x:v>
      </x:c>
      <x:c r="E625" s="16" t="str">
        <x:v>Ürün kataloğu — ayrıntılı ürün verisine erişilemedi</x:v>
      </x:c>
      <x:c r="F625" s="16" t="str">
        <x:v>Erişilemedi</x:v>
      </x:c>
      <x:c r="G625" s="17" t="str">
        <x:v>Erişilemedi</x:v>
      </x:c>
      <x:c r="H625" s="16" t="str">
        <x:v>Erişilemedi</x:v>
      </x:c>
      <x:c r="I625" s="18" t="str">
        <x:v>Erişilemedi</x:v>
      </x:c>
      <x:c r="J625" s="18" t="str">
        <x:v>Erişilemedi</x:v>
      </x:c>
      <x:c r="K625" s="18" t="str">
        <x:f>IF(AND(ISNUMBER(G625),ISNUMBER(I625)),I625/G625*1000,"Erişilemedi")</x:f>
        <x:v>Erişilemedi</x:v>
      </x:c>
      <x:c r="L625" s="16" t="str">
        <x:v>Erişilemedi</x:v>
      </x:c>
      <x:c r="M625" s="16" t="str">
        <x:v>Katalog/takip kaydı</x:v>
      </x:c>
      <x:c r="N625" s="16" t="str">
        <x:v>Mağaza/katalog bağlantısı</x:v>
      </x:c>
      <x:c r="O625" s="16" t="str">
        <x:v>Takip gerekli</x:v>
      </x:c>
      <x:c r="P625" s="19" t="n">
        <x:v>46245</x:v>
      </x:c>
      <x:c r="Q625" s="20" t="str">
        <x:v>https://espressolab.com/alisveris</x:v>
      </x:c>
      <x:c r="R625" s="20" t="str">
        <x:v>Ürün adı, gramaj ve fiyat birlikte çıkarılamadı. Bağlantı manuel inceleme için korundu.</x:v>
      </x:c>
    </x:row>
    <x:row r="626" ht="40" customHeight="1">
      <x:c r="A626" s="16" t="str">
        <x:v>Fam Coffee</x:v>
      </x:c>
      <x:c r="B626" s="16" t="str">
        <x:v>İstanbul</x:v>
      </x:c>
      <x:c r="C626" s="16" t="str">
        <x:v>Kısmi doğrulama</x:v>
      </x:c>
      <x:c r="D626" s="16" t="str">
        <x:v>Katalog takip kaydı</x:v>
      </x:c>
      <x:c r="E626" s="16" t="str">
        <x:v>Ürün kataloğu — ayrıntılı ürün verisine erişilemedi</x:v>
      </x:c>
      <x:c r="F626" s="16" t="str">
        <x:v>Erişilemedi</x:v>
      </x:c>
      <x:c r="G626" s="17" t="str">
        <x:v>Erişilemedi</x:v>
      </x:c>
      <x:c r="H626" s="16" t="str">
        <x:v>Erişilemedi</x:v>
      </x:c>
      <x:c r="I626" s="18" t="str">
        <x:v>Erişilemedi</x:v>
      </x:c>
      <x:c r="J626" s="18" t="str">
        <x:v>Erişilemedi</x:v>
      </x:c>
      <x:c r="K626" s="18" t="str">
        <x:f>IF(AND(ISNUMBER(G626),ISNUMBER(I626)),I626/G626*1000,"Erişilemedi")</x:f>
        <x:v>Erişilemedi</x:v>
      </x:c>
      <x:c r="L626" s="16" t="str">
        <x:v>Erişilemedi</x:v>
      </x:c>
      <x:c r="M626" s="16" t="str">
        <x:v>Katalog/takip kaydı</x:v>
      </x:c>
      <x:c r="N626" s="16" t="str">
        <x:v>Instagram veya mevcut kaynak</x:v>
      </x:c>
      <x:c r="O626" s="16" t="str">
        <x:v>Takip gerekli</x:v>
      </x:c>
      <x:c r="P626" s="19" t="n">
        <x:v>46245</x:v>
      </x:c>
      <x:c r="Q626" s="20" t="str">
        <x:v>Erişilemedi</x:v>
      </x:c>
      <x:c r="R626" s="20" t="str">
        <x:v>Ürün adı, gramaj ve fiyat birlikte çıkarılamadı. Bağlantı manuel inceleme için korundu.</x:v>
      </x:c>
    </x:row>
    <x:row r="627" ht="40" customHeight="1">
      <x:c r="A627" s="16" t="str">
        <x:v>Federal Coffee</x:v>
      </x:c>
      <x:c r="B627" s="16" t="str">
        <x:v>İstanbul</x:v>
      </x:c>
      <x:c r="C627" s="16" t="str">
        <x:v>Kısmi doğrulama</x:v>
      </x:c>
      <x:c r="D627" s="16" t="str">
        <x:v>Katalog takip kaydı</x:v>
      </x:c>
      <x:c r="E627" s="16" t="str">
        <x:v>Ürün kataloğu — ayrıntılı ürün verisine erişilemedi</x:v>
      </x:c>
      <x:c r="F627" s="16" t="str">
        <x:v>Erişilemedi</x:v>
      </x:c>
      <x:c r="G627" s="17" t="str">
        <x:v>Erişilemedi</x:v>
      </x:c>
      <x:c r="H627" s="16" t="str">
        <x:v>Erişilemedi</x:v>
      </x:c>
      <x:c r="I627" s="18" t="str">
        <x:v>Erişilemedi</x:v>
      </x:c>
      <x:c r="J627" s="18" t="str">
        <x:v>Erişilemedi</x:v>
      </x:c>
      <x:c r="K627" s="18" t="str">
        <x:f>IF(AND(ISNUMBER(G627),ISNUMBER(I627)),I627/G627*1000,"Erişilemedi")</x:f>
        <x:v>Erişilemedi</x:v>
      </x:c>
      <x:c r="L627" s="16" t="str">
        <x:v>Erişilemedi</x:v>
      </x:c>
      <x:c r="M627" s="16" t="str">
        <x:v>Katalog/takip kaydı</x:v>
      </x:c>
      <x:c r="N627" s="16" t="str">
        <x:v>Instagram veya mevcut kaynak</x:v>
      </x:c>
      <x:c r="O627" s="16" t="str">
        <x:v>Takip gerekli</x:v>
      </x:c>
      <x:c r="P627" s="19" t="n">
        <x:v>46245</x:v>
      </x:c>
      <x:c r="Q627" s="20" t="str">
        <x:v>Erişilemedi</x:v>
      </x:c>
      <x:c r="R627" s="20" t="str">
        <x:v>Ürün adı, gramaj ve fiyat birlikte çıkarılamadı. Bağlantı manuel inceleme için korundu.</x:v>
      </x:c>
    </x:row>
    <x:row r="628" ht="40" customHeight="1">
      <x:c r="A628" s="16" t="str">
        <x:v>Four Letter Word Coffee</x:v>
      </x:c>
      <x:c r="B628" s="16" t="str">
        <x:v>İstanbul</x:v>
      </x:c>
      <x:c r="C628" s="16" t="str">
        <x:v>Doğrulandı</x:v>
      </x:c>
      <x:c r="D628" s="16" t="str">
        <x:v>Ürün kaydı</x:v>
      </x:c>
      <x:c r="E628" s="16" t="str">
        <x:v>-MAILING LIST- &amp;mdash; FOUR LETTER WORD COFFEE ROASTERS</x:v>
      </x:c>
      <x:c r="F628" s="16" t="str">
        <x:v>Menşe belirtilmemiş</x:v>
      </x:c>
      <x:c r="G628" s="17" t="str">
        <x:v>Erişilemedi</x:v>
      </x:c>
      <x:c r="H628" s="16" t="str">
        <x:v>Erişilemedi</x:v>
      </x:c>
      <x:c r="I628" s="18" t="str">
        <x:v>Erişilemedi</x:v>
      </x:c>
      <x:c r="J628" s="18" t="str">
        <x:v>Erişilemedi</x:v>
      </x:c>
      <x:c r="K628" s="18" t="str">
        <x:f>IF(AND(ISNUMBER(G628),ISNUMBER(I628)),I628/G628*1000,"Erişilemedi")</x:f>
        <x:v>Erişilemedi</x:v>
      </x:c>
      <x:c r="L628" s="16" t="str">
        <x:v>Belirsiz</x:v>
      </x:c>
      <x:c r="M628" s="16" t="str">
        <x:v>Kahve ürünü</x:v>
      </x:c>
      <x:c r="N628" s="16" t="str">
        <x:v>Site haritası ürün sayfası</x:v>
      </x:c>
      <x:c r="O628" s="16" t="str">
        <x:v>Düşük</x:v>
      </x:c>
      <x:c r="P628" s="19" t="n">
        <x:v>46245</x:v>
      </x:c>
      <x:c r="Q628" s="20" t="str">
        <x:v>https://www.4lwcoffee.com/mailing-list</x:v>
      </x:c>
      <x:c r="R628" s="20" t="str">
        <x:v>Ürün kimliği korundu; eksik alanlar erişilemedi olarak işaretlenecek.</x:v>
      </x:c>
    </x:row>
    <x:row r="629" ht="40" customHeight="1">
      <x:c r="A629" s="16" t="str">
        <x:v>Four Letter Word Coffee</x:v>
      </x:c>
      <x:c r="B629" s="16" t="str">
        <x:v>İstanbul</x:v>
      </x:c>
      <x:c r="C629" s="16" t="str">
        <x:v>Doğrulandı</x:v>
      </x:c>
      <x:c r="D629" s="16" t="str">
        <x:v>Ürün kaydı</x:v>
      </x:c>
      <x:c r="E629" s="16" t="str">
        <x:v>2 LB Blend</x:v>
      </x:c>
      <x:c r="F629" s="16" t="str">
        <x:v>Harman – menşe belirtilmemiş</x:v>
      </x:c>
      <x:c r="G629" s="17" t="str">
        <x:v>Erişilemedi</x:v>
      </x:c>
      <x:c r="H629" s="16" t="str">
        <x:v>Erişilemedi</x:v>
      </x:c>
      <x:c r="I629" s="18" t="n">
        <x:v>0</x:v>
      </x:c>
      <x:c r="J629" s="18" t="str">
        <x:v>Erişilemedi</x:v>
      </x:c>
      <x:c r="K629" s="18" t="str">
        <x:f>IF(AND(ISNUMBER(G629),ISNUMBER(I629)),I629/G629*1000,"Erişilemedi")</x:f>
        <x:v>Erişilemedi</x:v>
      </x:c>
      <x:c r="L629" s="16" t="str">
        <x:v>Belirsiz</x:v>
      </x:c>
      <x:c r="M629" s="16" t="str">
        <x:v>Harman</x:v>
      </x:c>
      <x:c r="N629" s="16" t="str">
        <x:v>Site haritası ürün sayfası</x:v>
      </x:c>
      <x:c r="O629" s="16" t="str">
        <x:v>Düşük</x:v>
      </x:c>
      <x:c r="P629" s="19" t="n">
        <x:v>46245</x:v>
      </x:c>
      <x:c r="Q629" s="20" t="str">
        <x:v>https://www.4lwcoffee.com/subscription/p/subscription-blends-1</x:v>
      </x:c>
      <x:c r="R629" s="20" t="str">
        <x:v>Ürün kimliği korundu; eksik alanlar erişilemedi olarak işaretlenecek.</x:v>
      </x:c>
    </x:row>
    <x:row r="630" ht="40" customHeight="1">
      <x:c r="A630" s="16" t="str">
        <x:v>Four Letter Word Coffee</x:v>
      </x:c>
      <x:c r="B630" s="16" t="str">
        <x:v>İstanbul</x:v>
      </x:c>
      <x:c r="C630" s="16" t="str">
        <x:v>Doğrulandı</x:v>
      </x:c>
      <x:c r="D630" s="16" t="str">
        <x:v>Ürün kaydı</x:v>
      </x:c>
      <x:c r="E630" s="16" t="str">
        <x:v>4LW COFFEE ABOUT &amp;mdash; FOUR LETTER WORD COFFEE ROASTERS</x:v>
      </x:c>
      <x:c r="F630" s="16" t="str">
        <x:v>Menşe belirtilmemiş</x:v>
      </x:c>
      <x:c r="G630" s="17" t="str">
        <x:v>Erişilemedi</x:v>
      </x:c>
      <x:c r="H630" s="16" t="str">
        <x:v>Erişilemedi</x:v>
      </x:c>
      <x:c r="I630" s="18" t="str">
        <x:v>Erişilemedi</x:v>
      </x:c>
      <x:c r="J630" s="18" t="str">
        <x:v>Erişilemedi</x:v>
      </x:c>
      <x:c r="K630" s="18" t="str">
        <x:f>IF(AND(ISNUMBER(G630),ISNUMBER(I630)),I630/G630*1000,"Erişilemedi")</x:f>
        <x:v>Erişilemedi</x:v>
      </x:c>
      <x:c r="L630" s="16" t="str">
        <x:v>Belirsiz</x:v>
      </x:c>
      <x:c r="M630" s="16" t="str">
        <x:v>Kahve ürünü</x:v>
      </x:c>
      <x:c r="N630" s="16" t="str">
        <x:v>Site haritası ürün sayfası</x:v>
      </x:c>
      <x:c r="O630" s="16" t="str">
        <x:v>Düşük</x:v>
      </x:c>
      <x:c r="P630" s="19" t="n">
        <x:v>46245</x:v>
      </x:c>
      <x:c r="Q630" s="20" t="str">
        <x:v>https://www.4lwcoffee.com/who-we-are</x:v>
      </x:c>
      <x:c r="R630" s="20" t="str">
        <x:v>Ürün kimliği korundu; eksik alanlar erişilemedi olarak işaretlenecek.</x:v>
      </x:c>
    </x:row>
    <x:row r="631" ht="40" customHeight="1">
      <x:c r="A631" s="16" t="str">
        <x:v>Four Letter Word Coffee</x:v>
      </x:c>
      <x:c r="B631" s="16" t="str">
        <x:v>İstanbul</x:v>
      </x:c>
      <x:c r="C631" s="16" t="str">
        <x:v>Doğrulandı</x:v>
      </x:c>
      <x:c r="D631" s="16" t="str">
        <x:v>Ürün kaydı</x:v>
      </x:c>
      <x:c r="E631" s="16" t="str">
        <x:v>ABOUT &amp;mdash; FOUR LETTER WORD COFFEE ROASTERS</x:v>
      </x:c>
      <x:c r="F631" s="16" t="str">
        <x:v>Menşe belirtilmemiş</x:v>
      </x:c>
      <x:c r="G631" s="17" t="str">
        <x:v>Erişilemedi</x:v>
      </x:c>
      <x:c r="H631" s="16" t="str">
        <x:v>Erişilemedi</x:v>
      </x:c>
      <x:c r="I631" s="18" t="str">
        <x:v>Erişilemedi</x:v>
      </x:c>
      <x:c r="J631" s="18" t="str">
        <x:v>Erişilemedi</x:v>
      </x:c>
      <x:c r="K631" s="18" t="str">
        <x:f>IF(AND(ISNUMBER(G631),ISNUMBER(I631)),I631/G631*1000,"Erişilemedi")</x:f>
        <x:v>Erişilemedi</x:v>
      </x:c>
      <x:c r="L631" s="16" t="str">
        <x:v>Belirsiz</x:v>
      </x:c>
      <x:c r="M631" s="16" t="str">
        <x:v>Kahve ürünü</x:v>
      </x:c>
      <x:c r="N631" s="16" t="str">
        <x:v>Site haritası ürün sayfası</x:v>
      </x:c>
      <x:c r="O631" s="16" t="str">
        <x:v>Düşük</x:v>
      </x:c>
      <x:c r="P631" s="19" t="n">
        <x:v>46245</x:v>
      </x:c>
      <x:c r="Q631" s="20" t="str">
        <x:v>https://www.4lwcoffee.com/who</x:v>
      </x:c>
      <x:c r="R631" s="20" t="str">
        <x:v>Ürün kimliği korundu; eksik alanlar erişilemedi olarak işaretlenecek.</x:v>
      </x:c>
    </x:row>
    <x:row r="632" ht="40" customHeight="1">
      <x:c r="A632" s="16" t="str">
        <x:v>Four Letter Word Coffee</x:v>
      </x:c>
      <x:c r="B632" s="16" t="str">
        <x:v>İstanbul</x:v>
      </x:c>
      <x:c r="C632" s="16" t="str">
        <x:v>Doğrulandı</x:v>
      </x:c>
      <x:c r="D632" s="16" t="str">
        <x:v>Ürün kaydı</x:v>
      </x:c>
      <x:c r="E632" s="16" t="str">
        <x:v>Books &amp;mdash; FOUR LETTER WORD COFFEE ROASTERS</x:v>
      </x:c>
      <x:c r="F632" s="16" t="str">
        <x:v>Menşe belirtilmemiş</x:v>
      </x:c>
      <x:c r="G632" s="17" t="str">
        <x:v>Erişilemedi</x:v>
      </x:c>
      <x:c r="H632" s="16" t="str">
        <x:v>Erişilemedi</x:v>
      </x:c>
      <x:c r="I632" s="18" t="str">
        <x:v>Erişilemedi</x:v>
      </x:c>
      <x:c r="J632" s="18" t="str">
        <x:v>Erişilemedi</x:v>
      </x:c>
      <x:c r="K632" s="18" t="str">
        <x:f>IF(AND(ISNUMBER(G632),ISNUMBER(I632)),I632/G632*1000,"Erişilemedi")</x:f>
        <x:v>Erişilemedi</x:v>
      </x:c>
      <x:c r="L632" s="16" t="str">
        <x:v>Belirsiz</x:v>
      </x:c>
      <x:c r="M632" s="16" t="str">
        <x:v>Kahve ürünü</x:v>
      </x:c>
      <x:c r="N632" s="16" t="str">
        <x:v>Site haritası ürün sayfası</x:v>
      </x:c>
      <x:c r="O632" s="16" t="str">
        <x:v>Düşük</x:v>
      </x:c>
      <x:c r="P632" s="19" t="n">
        <x:v>46245</x:v>
      </x:c>
      <x:c r="Q632" s="20" t="str">
        <x:v>https://www.4lwcoffee.com/books</x:v>
      </x:c>
      <x:c r="R632" s="20" t="str">
        <x:v>Ürün kimliği korundu; eksik alanlar erişilemedi olarak işaretlenecek.</x:v>
      </x:c>
    </x:row>
    <x:row r="633" ht="40" customHeight="1">
      <x:c r="A633" s="16" t="str">
        <x:v>Four Letter Word Coffee</x:v>
      </x:c>
      <x:c r="B633" s="16" t="str">
        <x:v>İstanbul</x:v>
      </x:c>
      <x:c r="C633" s="16" t="str">
        <x:v>Doğrulandı</x:v>
      </x:c>
      <x:c r="D633" s="16" t="str">
        <x:v>Ürün kaydı</x:v>
      </x:c>
      <x:c r="E633" s="16" t="str">
        <x:v>BRAZIL Matas</x:v>
      </x:c>
      <x:c r="F633" s="16" t="str">
        <x:v>Brezilya</x:v>
      </x:c>
      <x:c r="G633" s="17" t="str">
        <x:v>Erişilemedi</x:v>
      </x:c>
      <x:c r="H633" s="16" t="str">
        <x:v>Erişilemedi</x:v>
      </x:c>
      <x:c r="I633" s="18" t="n">
        <x:v>0</x:v>
      </x:c>
      <x:c r="J633" s="18" t="str">
        <x:v>Erişilemedi</x:v>
      </x:c>
      <x:c r="K633" s="18" t="str">
        <x:f>IF(AND(ISNUMBER(G633),ISNUMBER(I633)),I633/G633*1000,"Erişilemedi")</x:f>
        <x:v>Erişilemedi</x:v>
      </x:c>
      <x:c r="L633" s="16" t="str">
        <x:v>Belirsiz</x:v>
      </x:c>
      <x:c r="M633" s="16" t="str">
        <x:v>Kahve ürünü</x:v>
      </x:c>
      <x:c r="N633" s="16" t="str">
        <x:v>Site haritası ürün sayfası</x:v>
      </x:c>
      <x:c r="O633" s="16" t="str">
        <x:v>Düşük</x:v>
      </x:c>
      <x:c r="P633" s="19" t="n">
        <x:v>46245</x:v>
      </x:c>
      <x:c r="Q633" s="20" t="str">
        <x:v>https://www.4lwcoffee.com/store-1/p/brazil-matas</x:v>
      </x:c>
      <x:c r="R633" s="20" t="str">
        <x:v>Ürün kimliği korundu; eksik alanlar erişilemedi olarak işaretlenecek.</x:v>
      </x:c>
    </x:row>
    <x:row r="634" ht="40" customHeight="1">
      <x:c r="A634" s="16" t="str">
        <x:v>Four Letter Word Coffee</x:v>
      </x:c>
      <x:c r="B634" s="16" t="str">
        <x:v>İstanbul</x:v>
      </x:c>
      <x:c r="C634" s="16" t="str">
        <x:v>Doğrulandı</x:v>
      </x:c>
      <x:c r="D634" s="16" t="str">
        <x:v>Ürün kaydı</x:v>
      </x:c>
      <x:c r="E634" s="16" t="str">
        <x:v>burgaz &amp;mdash; FOUR LETTER WORD COFFEE ROASTERS</x:v>
      </x:c>
      <x:c r="F634" s="16" t="str">
        <x:v>Menşe belirtilmemiş</x:v>
      </x:c>
      <x:c r="G634" s="17" t="str">
        <x:v>Erişilemedi</x:v>
      </x:c>
      <x:c r="H634" s="16" t="str">
        <x:v>Erişilemedi</x:v>
      </x:c>
      <x:c r="I634" s="18" t="str">
        <x:v>Erişilemedi</x:v>
      </x:c>
      <x:c r="J634" s="18" t="str">
        <x:v>Erişilemedi</x:v>
      </x:c>
      <x:c r="K634" s="18" t="str">
        <x:f>IF(AND(ISNUMBER(G634),ISNUMBER(I634)),I634/G634*1000,"Erişilemedi")</x:f>
        <x:v>Erişilemedi</x:v>
      </x:c>
      <x:c r="L634" s="16" t="str">
        <x:v>Belirsiz</x:v>
      </x:c>
      <x:c r="M634" s="16" t="str">
        <x:v>Kahve ürünü</x:v>
      </x:c>
      <x:c r="N634" s="16" t="str">
        <x:v>Site haritası ürün sayfası</x:v>
      </x:c>
      <x:c r="O634" s="16" t="str">
        <x:v>Düşük</x:v>
      </x:c>
      <x:c r="P634" s="19" t="n">
        <x:v>46245</x:v>
      </x:c>
      <x:c r="Q634" s="20" t="str">
        <x:v>https://www.4lwcoffee.com/burgaz</x:v>
      </x:c>
      <x:c r="R634" s="20" t="str">
        <x:v>Ürün kimliği korundu; eksik alanlar erişilemedi olarak işaretlenecek.</x:v>
      </x:c>
    </x:row>
    <x:row r="635" ht="40" customHeight="1">
      <x:c r="A635" s="16" t="str">
        <x:v>Four Letter Word Coffee</x:v>
      </x:c>
      <x:c r="B635" s="16" t="str">
        <x:v>İstanbul</x:v>
      </x:c>
      <x:c r="C635" s="16" t="str">
        <x:v>Doğrulandı</x:v>
      </x:c>
      <x:c r="D635" s="16" t="str">
        <x:v>Ürün kaydı</x:v>
      </x:c>
      <x:c r="E635" s="16" t="str">
        <x:v>BURUNDI: LONG MILES COFFEE PROJECT</x:v>
      </x:c>
      <x:c r="F635" s="16" t="str">
        <x:v>Burundi</x:v>
      </x:c>
      <x:c r="G635" s="17" t="str">
        <x:v>Erişilemedi</x:v>
      </x:c>
      <x:c r="H635" s="16" t="str">
        <x:v>Erişilemedi</x:v>
      </x:c>
      <x:c r="I635" s="18" t="str">
        <x:v>Erişilemedi</x:v>
      </x:c>
      <x:c r="J635" s="18" t="str">
        <x:v>Erişilemedi</x:v>
      </x:c>
      <x:c r="K635" s="18" t="str">
        <x:f>IF(AND(ISNUMBER(G635),ISNUMBER(I635)),I635/G635*1000,"Erişilemedi")</x:f>
        <x:v>Erişilemedi</x:v>
      </x:c>
      <x:c r="L635" s="16" t="str">
        <x:v>Belirsiz</x:v>
      </x:c>
      <x:c r="M635" s="16" t="str">
        <x:v>Kahve ürünü</x:v>
      </x:c>
      <x:c r="N635" s="16" t="str">
        <x:v>Site haritası ürün sayfası</x:v>
      </x:c>
      <x:c r="O635" s="16" t="str">
        <x:v>Düşük</x:v>
      </x:c>
      <x:c r="P635" s="19" t="n">
        <x:v>46245</x:v>
      </x:c>
      <x:c r="Q635" s="20" t="str">
        <x:v>https://www.4lwcoffee.com/info-long-miles-coffee</x:v>
      </x:c>
      <x:c r="R635" s="20" t="str">
        <x:v>Ürün kimliği korundu; eksik alanlar erişilemedi olarak işaretlenecek.</x:v>
      </x:c>
    </x:row>
    <x:row r="636" ht="40" customHeight="1">
      <x:c r="A636" s="16" t="str">
        <x:v>Four Letter Word Coffee</x:v>
      </x:c>
      <x:c r="B636" s="16" t="str">
        <x:v>İstanbul</x:v>
      </x:c>
      <x:c r="C636" s="16" t="str">
        <x:v>Doğrulandı</x:v>
      </x:c>
      <x:c r="D636" s="16" t="str">
        <x:v>Ürün kaydı</x:v>
      </x:c>
      <x:c r="E636" s="16" t="str">
        <x:v>Chicago Gallery &amp;mdash; FOUR LETTER WORD COFFEE ROASTERS</x:v>
      </x:c>
      <x:c r="F636" s="16" t="str">
        <x:v>Menşe belirtilmemiş</x:v>
      </x:c>
      <x:c r="G636" s="17" t="str">
        <x:v>Erişilemedi</x:v>
      </x:c>
      <x:c r="H636" s="16" t="str">
        <x:v>Erişilemedi</x:v>
      </x:c>
      <x:c r="I636" s="18" t="n">
        <x:v>5</x:v>
      </x:c>
      <x:c r="J636" s="18" t="str">
        <x:v>Erişildi</x:v>
      </x:c>
      <x:c r="K636" s="18" t="str">
        <x:f>IF(AND(ISNUMBER(G636),ISNUMBER(I636)),I636/G636*1000,"Erişilemedi")</x:f>
        <x:v>Erişilemedi</x:v>
      </x:c>
      <x:c r="L636" s="16" t="str">
        <x:v>Belirsiz</x:v>
      </x:c>
      <x:c r="M636" s="16" t="str">
        <x:v>Kahve ürünü</x:v>
      </x:c>
      <x:c r="N636" s="16" t="str">
        <x:v>Site haritası ürün sayfası</x:v>
      </x:c>
      <x:c r="O636" s="16" t="str">
        <x:v>Düşük</x:v>
      </x:c>
      <x:c r="P636" s="19" t="n">
        <x:v>46245</x:v>
      </x:c>
      <x:c r="Q636" s="20" t="str">
        <x:v>https://www.4lwcoffee.com/chicago-gallery</x:v>
      </x:c>
      <x:c r="R636" s="20" t="str">
        <x:v>Ürün kimliği korundu; eksik alanlar erişilemedi olarak işaretlenecek.</x:v>
      </x:c>
    </x:row>
    <x:row r="637" ht="40" customHeight="1">
      <x:c r="A637" s="16" t="str">
        <x:v>Four Letter Word Coffee</x:v>
      </x:c>
      <x:c r="B637" s="16" t="str">
        <x:v>İstanbul</x:v>
      </x:c>
      <x:c r="C637" s="16" t="str">
        <x:v>Doğrulandı</x:v>
      </x:c>
      <x:c r="D637" s="16" t="str">
        <x:v>Ürün kaydı</x:v>
      </x:c>
      <x:c r="E637" s="16" t="str">
        <x:v>COFFEE TRIPS</x:v>
      </x:c>
      <x:c r="F637" s="16" t="str">
        <x:v>Menşe belirtilmemiş</x:v>
      </x:c>
      <x:c r="G637" s="17" t="str">
        <x:v>Erişilemedi</x:v>
      </x:c>
      <x:c r="H637" s="16" t="str">
        <x:v>Erişilemedi</x:v>
      </x:c>
      <x:c r="I637" s="18" t="str">
        <x:v>Erişilemedi</x:v>
      </x:c>
      <x:c r="J637" s="18" t="str">
        <x:v>Erişilemedi</x:v>
      </x:c>
      <x:c r="K637" s="18" t="str">
        <x:f>IF(AND(ISNUMBER(G637),ISNUMBER(I637)),I637/G637*1000,"Erişilemedi")</x:f>
        <x:v>Erişilemedi</x:v>
      </x:c>
      <x:c r="L637" s="16" t="str">
        <x:v>Belirsiz</x:v>
      </x:c>
      <x:c r="M637" s="16" t="str">
        <x:v>Kahve ürünü</x:v>
      </x:c>
      <x:c r="N637" s="16" t="str">
        <x:v>Site haritası ürün sayfası</x:v>
      </x:c>
      <x:c r="O637" s="16" t="str">
        <x:v>Düşük</x:v>
      </x:c>
      <x:c r="P637" s="19" t="n">
        <x:v>46245</x:v>
      </x:c>
      <x:c r="Q637" s="20" t="str">
        <x:v>https://www.4lwcoffee.com/origin-coming-soon</x:v>
      </x:c>
      <x:c r="R637" s="20" t="str">
        <x:v>Ürün kimliği korundu; eksik alanlar erişilemedi olarak işaretlenecek.</x:v>
      </x:c>
    </x:row>
    <x:row r="638" ht="40" customHeight="1">
      <x:c r="A638" s="16" t="str">
        <x:v>Four Letter Word Coffee</x:v>
      </x:c>
      <x:c r="B638" s="16" t="str">
        <x:v>İstanbul</x:v>
      </x:c>
      <x:c r="C638" s="16" t="str">
        <x:v>Doğrulandı</x:v>
      </x:c>
      <x:c r="D638" s="16" t="str">
        <x:v>Ürün kaydı</x:v>
      </x:c>
      <x:c r="E638" s="16" t="str">
        <x:v>coffees &amp;mdash; COFFEES &amp;mdash; FOUR LETTER WORD COFFEE ROASTERS</x:v>
      </x:c>
      <x:c r="F638" s="16" t="str">
        <x:v>Menşe belirtilmemiş</x:v>
      </x:c>
      <x:c r="G638" s="17" t="str">
        <x:v>Erişilemedi</x:v>
      </x:c>
      <x:c r="H638" s="16" t="str">
        <x:v>Erişilemedi</x:v>
      </x:c>
      <x:c r="I638" s="18" t="n">
        <x:v>0</x:v>
      </x:c>
      <x:c r="J638" s="18" t="str">
        <x:v>Erişilemedi</x:v>
      </x:c>
      <x:c r="K638" s="18" t="str">
        <x:f>IF(AND(ISNUMBER(G638),ISNUMBER(I638)),I638/G638*1000,"Erişilemedi")</x:f>
        <x:v>Erişilemedi</x:v>
      </x:c>
      <x:c r="L638" s="16" t="str">
        <x:v>Belirsiz</x:v>
      </x:c>
      <x:c r="M638" s="16" t="str">
        <x:v>Kahve ürünü</x:v>
      </x:c>
      <x:c r="N638" s="16" t="str">
        <x:v>Site haritası ürün sayfası</x:v>
      </x:c>
      <x:c r="O638" s="16" t="str">
        <x:v>Düşük</x:v>
      </x:c>
      <x:c r="P638" s="19" t="n">
        <x:v>46245</x:v>
      </x:c>
      <x:c r="Q638" s="20" t="str">
        <x:v>https://www.4lwcoffee.com/store-1/coffees</x:v>
      </x:c>
      <x:c r="R638" s="20" t="str">
        <x:v>Ürün kimliği korundu; eksik alanlar erişilemedi olarak işaretlenecek.</x:v>
      </x:c>
    </x:row>
    <x:row r="639" ht="40" customHeight="1">
      <x:c r="A639" s="16" t="str">
        <x:v>Four Letter Word Coffee</x:v>
      </x:c>
      <x:c r="B639" s="16" t="str">
        <x:v>İstanbul</x:v>
      </x:c>
      <x:c r="C639" s="16" t="str">
        <x:v>Doğrulandı</x:v>
      </x:c>
      <x:c r="D639" s="16" t="str">
        <x:v>Ürün kaydı</x:v>
      </x:c>
      <x:c r="E639" s="16" t="str">
        <x:v>COFFEES &amp;mdash; FOUR LETTER WORD COFFEE ROASTERS</x:v>
      </x:c>
      <x:c r="F639" s="16" t="str">
        <x:v>Menşe belirtilmemiş</x:v>
      </x:c>
      <x:c r="G639" s="17" t="str">
        <x:v>Erişilemedi</x:v>
      </x:c>
      <x:c r="H639" s="16" t="str">
        <x:v>Erişilemedi</x:v>
      </x:c>
      <x:c r="I639" s="18" t="n">
        <x:v>0</x:v>
      </x:c>
      <x:c r="J639" s="18" t="str">
        <x:v>Erişilemedi</x:v>
      </x:c>
      <x:c r="K639" s="18" t="str">
        <x:f>IF(AND(ISNUMBER(G639),ISNUMBER(I639)),I639/G639*1000,"Erişilemedi")</x:f>
        <x:v>Erişilemedi</x:v>
      </x:c>
      <x:c r="L639" s="16" t="str">
        <x:v>Belirsiz</x:v>
      </x:c>
      <x:c r="M639" s="16" t="str">
        <x:v>Kahve ürünü</x:v>
      </x:c>
      <x:c r="N639" s="16" t="str">
        <x:v>Site haritası ürün sayfası</x:v>
      </x:c>
      <x:c r="O639" s="16" t="str">
        <x:v>Düşük</x:v>
      </x:c>
      <x:c r="P639" s="19" t="n">
        <x:v>46245</x:v>
      </x:c>
      <x:c r="Q639" s="20" t="str">
        <x:v>https://www.4lwcoffee.com/store-1</x:v>
      </x:c>
      <x:c r="R639" s="20" t="str">
        <x:v>Ürün kimliği korundu; eksik alanlar erişilemedi olarak işaretlenecek.</x:v>
      </x:c>
    </x:row>
    <x:row r="640" ht="40" customHeight="1">
      <x:c r="A640" s="16" t="str">
        <x:v>Four Letter Word Coffee</x:v>
      </x:c>
      <x:c r="B640" s="16" t="str">
        <x:v>İstanbul</x:v>
      </x:c>
      <x:c r="C640" s="16" t="str">
        <x:v>Doğrulandı</x:v>
      </x:c>
      <x:c r="D640" s="16" t="str">
        <x:v>Ürün kaydı</x:v>
      </x:c>
      <x:c r="E640" s="16" t="str">
        <x:v>COLOMBIA Sidra de Luz</x:v>
      </x:c>
      <x:c r="F640" s="16" t="str">
        <x:v>Kolombiya</x:v>
      </x:c>
      <x:c r="G640" s="17" t="str">
        <x:v>Erişilemedi</x:v>
      </x:c>
      <x:c r="H640" s="16" t="str">
        <x:v>Erişilemedi</x:v>
      </x:c>
      <x:c r="I640" s="18" t="n">
        <x:v>0</x:v>
      </x:c>
      <x:c r="J640" s="18" t="str">
        <x:v>Erişilemedi</x:v>
      </x:c>
      <x:c r="K640" s="18" t="str">
        <x:f>IF(AND(ISNUMBER(G640),ISNUMBER(I640)),I640/G640*1000,"Erişilemedi")</x:f>
        <x:v>Erişilemedi</x:v>
      </x:c>
      <x:c r="L640" s="16" t="str">
        <x:v>Belirsiz</x:v>
      </x:c>
      <x:c r="M640" s="16" t="str">
        <x:v>Kahve ürünü</x:v>
      </x:c>
      <x:c r="N640" s="16" t="str">
        <x:v>Site haritası ürün sayfası</x:v>
      </x:c>
      <x:c r="O640" s="16" t="str">
        <x:v>Düşük</x:v>
      </x:c>
      <x:c r="P640" s="19" t="n">
        <x:v>46245</x:v>
      </x:c>
      <x:c r="Q640" s="20" t="str">
        <x:v>https://www.4lwcoffee.com/store-1/p/colombia-sidra-de-luz</x:v>
      </x:c>
      <x:c r="R640" s="20" t="str">
        <x:v>Ürün kimliği korundu; eksik alanlar erişilemedi olarak işaretlenecek.</x:v>
      </x:c>
    </x:row>
    <x:row r="641" ht="40" customHeight="1">
      <x:c r="A641" s="16" t="str">
        <x:v>Four Letter Word Coffee</x:v>
      </x:c>
      <x:c r="B641" s="16" t="str">
        <x:v>İstanbul</x:v>
      </x:c>
      <x:c r="C641" s="16" t="str">
        <x:v>Doğrulandı</x:v>
      </x:c>
      <x:c r="D641" s="16" t="str">
        <x:v>Ürün kaydı</x:v>
      </x:c>
      <x:c r="E641" s="16" t="str">
        <x:v>COLOMBIA: LA PALMA Y EL TUCAN</x:v>
      </x:c>
      <x:c r="F641" s="16" t="str">
        <x:v>Kolombiya</x:v>
      </x:c>
      <x:c r="G641" s="17" t="str">
        <x:v>Erişilemedi</x:v>
      </x:c>
      <x:c r="H641" s="16" t="str">
        <x:v>Erişilemedi</x:v>
      </x:c>
      <x:c r="I641" s="18" t="str">
        <x:v>Erişilemedi</x:v>
      </x:c>
      <x:c r="J641" s="18" t="str">
        <x:v>Erişilemedi</x:v>
      </x:c>
      <x:c r="K641" s="18" t="str">
        <x:f>IF(AND(ISNUMBER(G641),ISNUMBER(I641)),I641/G641*1000,"Erişilemedi")</x:f>
        <x:v>Erişilemedi</x:v>
      </x:c>
      <x:c r="L641" s="16" t="str">
        <x:v>Belirsiz</x:v>
      </x:c>
      <x:c r="M641" s="16" t="str">
        <x:v>Kahve ürünü</x:v>
      </x:c>
      <x:c r="N641" s="16" t="str">
        <x:v>Site haritası ürün sayfası</x:v>
      </x:c>
      <x:c r="O641" s="16" t="str">
        <x:v>Düşük</x:v>
      </x:c>
      <x:c r="P641" s="19" t="n">
        <x:v>46245</x:v>
      </x:c>
      <x:c r="Q641" s="20" t="str">
        <x:v>https://www.4lwcoffee.com/info-colombialapalma</x:v>
      </x:c>
      <x:c r="R641" s="20" t="str">
        <x:v>Ürün kimliği korundu; eksik alanlar erişilemedi olarak işaretlenecek.</x:v>
      </x:c>
    </x:row>
    <x:row r="642" ht="40" customHeight="1">
      <x:c r="A642" s="16" t="str">
        <x:v>Four Letter Word Coffee</x:v>
      </x:c>
      <x:c r="B642" s="16" t="str">
        <x:v>İstanbul</x:v>
      </x:c>
      <x:c r="C642" s="16" t="str">
        <x:v>Doğrulandı</x:v>
      </x:c>
      <x:c r="D642" s="16" t="str">
        <x:v>Ürün kaydı</x:v>
      </x:c>
      <x:c r="E642" s="16" t="str">
        <x:v>COLOMBIA: MARIA BERCELIA MARTINEZ</x:v>
      </x:c>
      <x:c r="F642" s="16" t="str">
        <x:v>Kolombiya</x:v>
      </x:c>
      <x:c r="G642" s="17" t="str">
        <x:v>Erişilemedi</x:v>
      </x:c>
      <x:c r="H642" s="16" t="str">
        <x:v>Erişilemedi</x:v>
      </x:c>
      <x:c r="I642" s="18" t="str">
        <x:v>Erişilemedi</x:v>
      </x:c>
      <x:c r="J642" s="18" t="str">
        <x:v>Erişilemedi</x:v>
      </x:c>
      <x:c r="K642" s="18" t="str">
        <x:f>IF(AND(ISNUMBER(G642),ISNUMBER(I642)),I642/G642*1000,"Erişilemedi")</x:f>
        <x:v>Erişilemedi</x:v>
      </x:c>
      <x:c r="L642" s="16" t="str">
        <x:v>Belirsiz</x:v>
      </x:c>
      <x:c r="M642" s="16" t="str">
        <x:v>Kahve ürünü</x:v>
      </x:c>
      <x:c r="N642" s="16" t="str">
        <x:v>Site haritası ürün sayfası</x:v>
      </x:c>
      <x:c r="O642" s="16" t="str">
        <x:v>Düşük</x:v>
      </x:c>
      <x:c r="P642" s="19" t="n">
        <x:v>46245</x:v>
      </x:c>
      <x:c r="Q642" s="20" t="str">
        <x:v>https://www.4lwcoffee.com/info-colombia-maria-bercelia</x:v>
      </x:c>
      <x:c r="R642" s="20" t="str">
        <x:v>Ürün kimliği korundu; eksik alanlar erişilemedi olarak işaretlenecek.</x:v>
      </x:c>
    </x:row>
    <x:row r="643" ht="40" customHeight="1">
      <x:c r="A643" s="16" t="str">
        <x:v>Four Letter Word Coffee</x:v>
      </x:c>
      <x:c r="B643" s="16" t="str">
        <x:v>İstanbul</x:v>
      </x:c>
      <x:c r="C643" s="16" t="str">
        <x:v>Doğrulandı</x:v>
      </x:c>
      <x:c r="D643" s="16" t="str">
        <x:v>Ürün kaydı</x:v>
      </x:c>
      <x:c r="E643" s="16" t="str">
        <x:v>CONTACT US &amp;mdash; FOUR LETTER WORD COFFEE ROASTERS</x:v>
      </x:c>
      <x:c r="F643" s="16" t="str">
        <x:v>Menşe belirtilmemiş</x:v>
      </x:c>
      <x:c r="G643" s="17" t="str">
        <x:v>Erişilemedi</x:v>
      </x:c>
      <x:c r="H643" s="16" t="str">
        <x:v>Erişilemedi</x:v>
      </x:c>
      <x:c r="I643" s="18" t="str">
        <x:v>Erişilemedi</x:v>
      </x:c>
      <x:c r="J643" s="18" t="str">
        <x:v>Erişilemedi</x:v>
      </x:c>
      <x:c r="K643" s="18" t="str">
        <x:f>IF(AND(ISNUMBER(G643),ISNUMBER(I643)),I643/G643*1000,"Erişilemedi")</x:f>
        <x:v>Erişilemedi</x:v>
      </x:c>
      <x:c r="L643" s="16" t="str">
        <x:v>Belirsiz</x:v>
      </x:c>
      <x:c r="M643" s="16" t="str">
        <x:v>Kahve ürünü</x:v>
      </x:c>
      <x:c r="N643" s="16" t="str">
        <x:v>Site haritası ürün sayfası</x:v>
      </x:c>
      <x:c r="O643" s="16" t="str">
        <x:v>Düşük</x:v>
      </x:c>
      <x:c r="P643" s="19" t="n">
        <x:v>46245</x:v>
      </x:c>
      <x:c r="Q643" s="20" t="str">
        <x:v>https://www.4lwcoffee.com/contact-us</x:v>
      </x:c>
      <x:c r="R643" s="20" t="str">
        <x:v>Ürün kimliği korundu; eksik alanlar erişilemedi olarak işaretlenecek.</x:v>
      </x:c>
    </x:row>
    <x:row r="644" ht="40" customHeight="1">
      <x:c r="A644" s="16" t="str">
        <x:v>Four Letter Word Coffee</x:v>
      </x:c>
      <x:c r="B644" s="16" t="str">
        <x:v>İstanbul</x:v>
      </x:c>
      <x:c r="C644" s="16" t="str">
        <x:v>Doğrulandı</x:v>
      </x:c>
      <x:c r="D644" s="16" t="str">
        <x:v>Ürün kaydı</x:v>
      </x:c>
      <x:c r="E644" s="16" t="str">
        <x:v>DECAF Ethiopia Aba Mecha</x:v>
      </x:c>
      <x:c r="F644" s="16" t="str">
        <x:v>Etiyopya</x:v>
      </x:c>
      <x:c r="G644" s="17" t="str">
        <x:v>Erişilemedi</x:v>
      </x:c>
      <x:c r="H644" s="16" t="str">
        <x:v>Erişilemedi</x:v>
      </x:c>
      <x:c r="I644" s="18" t="n">
        <x:v>0</x:v>
      </x:c>
      <x:c r="J644" s="18" t="str">
        <x:v>Erişilemedi</x:v>
      </x:c>
      <x:c r="K644" s="18" t="str">
        <x:f>IF(AND(ISNUMBER(G644),ISNUMBER(I644)),I644/G644*1000,"Erişilemedi")</x:f>
        <x:v>Erişilemedi</x:v>
      </x:c>
      <x:c r="L644" s="16" t="str">
        <x:v>Belirsiz</x:v>
      </x:c>
      <x:c r="M644" s="16" t="str">
        <x:v>Kahve ürünü</x:v>
      </x:c>
      <x:c r="N644" s="16" t="str">
        <x:v>Site haritası ürün sayfası</x:v>
      </x:c>
      <x:c r="O644" s="16" t="str">
        <x:v>Düşük</x:v>
      </x:c>
      <x:c r="P644" s="19" t="n">
        <x:v>46245</x:v>
      </x:c>
      <x:c r="Q644" s="20" t="str">
        <x:v>https://www.4lwcoffee.com/store-1/p/decaf-ethiopia-aba-mecha</x:v>
      </x:c>
      <x:c r="R644" s="20" t="str">
        <x:v>Ürün kimliği korundu; eksik alanlar erişilemedi olarak işaretlenecek.</x:v>
      </x:c>
    </x:row>
    <x:row r="645" ht="40" customHeight="1">
      <x:c r="A645" s="16" t="str">
        <x:v>Four Letter Word Coffee</x:v>
      </x:c>
      <x:c r="B645" s="16" t="str">
        <x:v>İstanbul</x:v>
      </x:c>
      <x:c r="C645" s="16" t="str">
        <x:v>Doğrulandı</x:v>
      </x:c>
      <x:c r="D645" s="16" t="str">
        <x:v>Ürün kaydı</x:v>
      </x:c>
      <x:c r="E645" s="16" t="str">
        <x:v>Description &amp;mdash; FOUR LETTER WORD COFFEE ROASTERS</x:v>
      </x:c>
      <x:c r="F645" s="16" t="str">
        <x:v>Menşe belirtilmemiş</x:v>
      </x:c>
      <x:c r="G645" s="17" t="str">
        <x:v>Erişilemedi</x:v>
      </x:c>
      <x:c r="H645" s="16" t="str">
        <x:v>Erişilemedi</x:v>
      </x:c>
      <x:c r="I645" s="18" t="str">
        <x:v>Erişilemedi</x:v>
      </x:c>
      <x:c r="J645" s="18" t="str">
        <x:v>Erişilemedi</x:v>
      </x:c>
      <x:c r="K645" s="18" t="str">
        <x:f>IF(AND(ISNUMBER(G645),ISNUMBER(I645)),I645/G645*1000,"Erişilemedi")</x:f>
        <x:v>Erişilemedi</x:v>
      </x:c>
      <x:c r="L645" s="16" t="str">
        <x:v>Belirsiz</x:v>
      </x:c>
      <x:c r="M645" s="16" t="str">
        <x:v>Kahve ürünü</x:v>
      </x:c>
      <x:c r="N645" s="16" t="str">
        <x:v>Site haritası ürün sayfası</x:v>
      </x:c>
      <x:c r="O645" s="16" t="str">
        <x:v>Düşük</x:v>
      </x:c>
      <x:c r="P645" s="19" t="n">
        <x:v>46245</x:v>
      </x:c>
      <x:c r="Q645" s="20" t="str">
        <x:v>https://www.4lwcoffee.com/description-foster</x:v>
      </x:c>
      <x:c r="R645" s="20" t="str">
        <x:v>Ürün kimliği korundu; eksik alanlar erişilemedi olarak işaretlenecek.</x:v>
      </x:c>
    </x:row>
    <x:row r="646" ht="40" customHeight="1">
      <x:c r="A646" s="16" t="str">
        <x:v>Four Letter Word Coffee</x:v>
      </x:c>
      <x:c r="B646" s="16" t="str">
        <x:v>İstanbul</x:v>
      </x:c>
      <x:c r="C646" s="16" t="str">
        <x:v>Doğrulandı</x:v>
      </x:c>
      <x:c r="D646" s="16" t="str">
        <x:v>Ürün kaydı</x:v>
      </x:c>
      <x:c r="E646" s="16" t="str">
        <x:v>ECUADOR La Papaya Typica Mejorado</x:v>
      </x:c>
      <x:c r="F646" s="16" t="str">
        <x:v>Menşe belirtilmemiş</x:v>
      </x:c>
      <x:c r="G646" s="17" t="str">
        <x:v>Erişilemedi</x:v>
      </x:c>
      <x:c r="H646" s="16" t="str">
        <x:v>Erişilemedi</x:v>
      </x:c>
      <x:c r="I646" s="18" t="n">
        <x:v>0</x:v>
      </x:c>
      <x:c r="J646" s="18" t="str">
        <x:v>Erişilemedi</x:v>
      </x:c>
      <x:c r="K646" s="18" t="str">
        <x:f>IF(AND(ISNUMBER(G646),ISNUMBER(I646)),I646/G646*1000,"Erişilemedi")</x:f>
        <x:v>Erişilemedi</x:v>
      </x:c>
      <x:c r="L646" s="16" t="str">
        <x:v>Belirsiz</x:v>
      </x:c>
      <x:c r="M646" s="16" t="str">
        <x:v>Kahve ürünü</x:v>
      </x:c>
      <x:c r="N646" s="16" t="str">
        <x:v>Site haritası ürün sayfası</x:v>
      </x:c>
      <x:c r="O646" s="16" t="str">
        <x:v>Düşük</x:v>
      </x:c>
      <x:c r="P646" s="19" t="n">
        <x:v>46245</x:v>
      </x:c>
      <x:c r="Q646" s="20" t="str">
        <x:v>https://www.4lwcoffee.com/store-1/p/ecuador-la-papaya-anaerobic-2629c-b4sxs-k754g</x:v>
      </x:c>
      <x:c r="R646" s="20" t="str">
        <x:v>Ürün kimliği korundu; eksik alanlar erişilemedi olarak işaretlenecek.</x:v>
      </x:c>
    </x:row>
    <x:row r="647" ht="40" customHeight="1">
      <x:c r="A647" s="16" t="str">
        <x:v>Four Letter Word Coffee</x:v>
      </x:c>
      <x:c r="B647" s="16" t="str">
        <x:v>İstanbul</x:v>
      </x:c>
      <x:c r="C647" s="16" t="str">
        <x:v>Doğrulandı</x:v>
      </x:c>
      <x:c r="D647" s="16" t="str">
        <x:v>Ürün kaydı</x:v>
      </x:c>
      <x:c r="E647" s="16" t="str">
        <x:v>ETHIOPIA Aricha</x:v>
      </x:c>
      <x:c r="F647" s="16" t="str">
        <x:v>Etiyopya</x:v>
      </x:c>
      <x:c r="G647" s="17" t="str">
        <x:v>Erişilemedi</x:v>
      </x:c>
      <x:c r="H647" s="16" t="str">
        <x:v>Erişilemedi</x:v>
      </x:c>
      <x:c r="I647" s="18" t="n">
        <x:v>0</x:v>
      </x:c>
      <x:c r="J647" s="18" t="str">
        <x:v>Erişilemedi</x:v>
      </x:c>
      <x:c r="K647" s="18" t="str">
        <x:f>IF(AND(ISNUMBER(G647),ISNUMBER(I647)),I647/G647*1000,"Erişilemedi")</x:f>
        <x:v>Erişilemedi</x:v>
      </x:c>
      <x:c r="L647" s="16" t="str">
        <x:v>Belirsiz</x:v>
      </x:c>
      <x:c r="M647" s="16" t="str">
        <x:v>Kahve ürünü</x:v>
      </x:c>
      <x:c r="N647" s="16" t="str">
        <x:v>Site haritası ürün sayfası</x:v>
      </x:c>
      <x:c r="O647" s="16" t="str">
        <x:v>Düşük</x:v>
      </x:c>
      <x:c r="P647" s="19" t="n">
        <x:v>46245</x:v>
      </x:c>
      <x:c r="Q647" s="20" t="str">
        <x:v>https://www.4lwcoffee.com/store-1/p/ethiopia-kebena-4zs6l</x:v>
      </x:c>
      <x:c r="R647" s="20" t="str">
        <x:v>Ürün kimliği korundu; eksik alanlar erişilemedi olarak işaretlenecek.</x:v>
      </x:c>
    </x:row>
    <x:row r="648" ht="40" customHeight="1">
      <x:c r="A648" s="16" t="str">
        <x:v>Four Letter Word Coffee</x:v>
      </x:c>
      <x:c r="B648" s="16" t="str">
        <x:v>İstanbul</x:v>
      </x:c>
      <x:c r="C648" s="16" t="str">
        <x:v>Doğrulandı</x:v>
      </x:c>
      <x:c r="D648" s="16" t="str">
        <x:v>Ürün kaydı</x:v>
      </x:c>
      <x:c r="E648" s="16" t="str">
        <x:v>ETHIOPIA: GESHA VILLAGE ESTATE</x:v>
      </x:c>
      <x:c r="F648" s="16" t="str">
        <x:v>Etiyopya</x:v>
      </x:c>
      <x:c r="G648" s="17" t="str">
        <x:v>Erişilemedi</x:v>
      </x:c>
      <x:c r="H648" s="16" t="str">
        <x:v>Erişilemedi</x:v>
      </x:c>
      <x:c r="I648" s="18" t="str">
        <x:v>Erişilemedi</x:v>
      </x:c>
      <x:c r="J648" s="18" t="str">
        <x:v>Erişilemedi</x:v>
      </x:c>
      <x:c r="K648" s="18" t="str">
        <x:f>IF(AND(ISNUMBER(G648),ISNUMBER(I648)),I648/G648*1000,"Erişilemedi")</x:f>
        <x:v>Erişilemedi</x:v>
      </x:c>
      <x:c r="L648" s="16" t="str">
        <x:v>Belirsiz</x:v>
      </x:c>
      <x:c r="M648" s="16" t="str">
        <x:v>Kahve ürünü</x:v>
      </x:c>
      <x:c r="N648" s="16" t="str">
        <x:v>Site haritası ürün sayfası</x:v>
      </x:c>
      <x:c r="O648" s="16" t="str">
        <x:v>Düşük</x:v>
      </x:c>
      <x:c r="P648" s="19" t="n">
        <x:v>46245</x:v>
      </x:c>
      <x:c r="Q648" s="20" t="str">
        <x:v>https://www.4lwcoffee.com/info-gesha-village</x:v>
      </x:c>
      <x:c r="R648" s="20" t="str">
        <x:v>Ürün kimliği korundu; eksik alanlar erişilemedi olarak işaretlenecek.</x:v>
      </x:c>
    </x:row>
    <x:row r="649" ht="40" customHeight="1">
      <x:c r="A649" s="16" t="str">
        <x:v>Four Letter Word Coffee</x:v>
      </x:c>
      <x:c r="B649" s="16" t="str">
        <x:v>İstanbul</x:v>
      </x:c>
      <x:c r="C649" s="16" t="str">
        <x:v>Doğrulandı</x:v>
      </x:c>
      <x:c r="D649" s="16" t="str">
        <x:v>Ürün kaydı</x:v>
      </x:c>
      <x:c r="E649" s="16" t="str">
        <x:v>ETHIOPIA: HELEANNA GEORGALIS</x:v>
      </x:c>
      <x:c r="F649" s="16" t="str">
        <x:v>Etiyopya</x:v>
      </x:c>
      <x:c r="G649" s="17" t="str">
        <x:v>Erişilemedi</x:v>
      </x:c>
      <x:c r="H649" s="16" t="str">
        <x:v>Erişilemedi</x:v>
      </x:c>
      <x:c r="I649" s="18" t="n">
        <x:v>0</x:v>
      </x:c>
      <x:c r="J649" s="18" t="str">
        <x:v>Erişilemedi</x:v>
      </x:c>
      <x:c r="K649" s="18" t="str">
        <x:f>IF(AND(ISNUMBER(G649),ISNUMBER(I649)),I649/G649*1000,"Erişilemedi")</x:f>
        <x:v>Erişilemedi</x:v>
      </x:c>
      <x:c r="L649" s="16" t="str">
        <x:v>Belirsiz</x:v>
      </x:c>
      <x:c r="M649" s="16" t="str">
        <x:v>Kahve ürünü</x:v>
      </x:c>
      <x:c r="N649" s="16" t="str">
        <x:v>Site haritası ürün sayfası</x:v>
      </x:c>
      <x:c r="O649" s="16" t="str">
        <x:v>Düşük</x:v>
      </x:c>
      <x:c r="P649" s="19" t="n">
        <x:v>46245</x:v>
      </x:c>
      <x:c r="Q649" s="20" t="str">
        <x:v>https://www.4lwcoffee.com/info-ethiopia</x:v>
      </x:c>
      <x:c r="R649" s="20" t="str">
        <x:v>Ürün kimliği korundu; eksik alanlar erişilemedi olarak işaretlenecek.</x:v>
      </x:c>
    </x:row>
    <x:row r="650" ht="40" customHeight="1">
      <x:c r="A650" s="16" t="str">
        <x:v>Four Letter Word Coffee</x:v>
      </x:c>
      <x:c r="B650" s="16" t="str">
        <x:v>İstanbul</x:v>
      </x:c>
      <x:c r="C650" s="16" t="str">
        <x:v>Doğrulandı</x:v>
      </x:c>
      <x:c r="D650" s="16" t="str">
        <x:v>Ürün kaydı</x:v>
      </x:c>
      <x:c r="E650" s="16" t="str">
        <x:v>FOUR LETTER WORD COFFEE ROASTERS | Chicago Specialty Coffee</x:v>
      </x:c>
      <x:c r="F650" s="16" t="str">
        <x:v>Menşe belirtilmemiş</x:v>
      </x:c>
      <x:c r="G650" s="17" t="str">
        <x:v>Erişilemedi</x:v>
      </x:c>
      <x:c r="H650" s="16" t="str">
        <x:v>Erişilemedi</x:v>
      </x:c>
      <x:c r="I650" s="18" t="str">
        <x:v>Erişilemedi</x:v>
      </x:c>
      <x:c r="J650" s="18" t="str">
        <x:v>Erişilemedi</x:v>
      </x:c>
      <x:c r="K650" s="18" t="str">
        <x:f>IF(AND(ISNUMBER(G650),ISNUMBER(I650)),I650/G650*1000,"Erişilemedi")</x:f>
        <x:v>Erişilemedi</x:v>
      </x:c>
      <x:c r="L650" s="16" t="str">
        <x:v>Belirsiz</x:v>
      </x:c>
      <x:c r="M650" s="16" t="str">
        <x:v>Kahve ürünü</x:v>
      </x:c>
      <x:c r="N650" s="16" t="str">
        <x:v>Site haritası ürün sayfası</x:v>
      </x:c>
      <x:c r="O650" s="16" t="str">
        <x:v>Düşük</x:v>
      </x:c>
      <x:c r="P650" s="19" t="n">
        <x:v>46245</x:v>
      </x:c>
      <x:c r="Q650" s="20" t="str">
        <x:v>https://www.4lwcoffee.com/home</x:v>
      </x:c>
      <x:c r="R650" s="20" t="str">
        <x:v>Ürün kimliği korundu; eksik alanlar erişilemedi olarak işaretlenecek.</x:v>
      </x:c>
    </x:row>
    <x:row r="651" ht="40" customHeight="1">
      <x:c r="A651" s="16" t="str">
        <x:v>Four Letter Word Coffee</x:v>
      </x:c>
      <x:c r="B651" s="16" t="str">
        <x:v>İstanbul</x:v>
      </x:c>
      <x:c r="C651" s="16" t="str">
        <x:v>Doğrulandı</x:v>
      </x:c>
      <x:c r="D651" s="16" t="str">
        <x:v>Ürün kaydı</x:v>
      </x:c>
      <x:c r="E651" s="16" t="str">
        <x:v>Gallery Introduction &amp;mdash; FOUR LETTER WORD COFFEE ROASTERS</x:v>
      </x:c>
      <x:c r="F651" s="16" t="str">
        <x:v>Menşe belirtilmemiş</x:v>
      </x:c>
      <x:c r="G651" s="17" t="str">
        <x:v>Erişilemedi</x:v>
      </x:c>
      <x:c r="H651" s="16" t="str">
        <x:v>Erişilemedi</x:v>
      </x:c>
      <x:c r="I651" s="18" t="str">
        <x:v>Erişilemedi</x:v>
      </x:c>
      <x:c r="J651" s="18" t="str">
        <x:v>Erişilemedi</x:v>
      </x:c>
      <x:c r="K651" s="18" t="str">
        <x:f>IF(AND(ISNUMBER(G651),ISNUMBER(I651)),I651/G651*1000,"Erişilemedi")</x:f>
        <x:v>Erişilemedi</x:v>
      </x:c>
      <x:c r="L651" s="16" t="str">
        <x:v>Belirsiz</x:v>
      </x:c>
      <x:c r="M651" s="16" t="str">
        <x:v>Kahve ürünü</x:v>
      </x:c>
      <x:c r="N651" s="16" t="str">
        <x:v>Site haritası ürün sayfası</x:v>
      </x:c>
      <x:c r="O651" s="16" t="str">
        <x:v>Düşük</x:v>
      </x:c>
      <x:c r="P651" s="19" t="n">
        <x:v>46245</x:v>
      </x:c>
      <x:c r="Q651" s="20" t="str">
        <x:v>https://www.4lwcoffee.com/gallery-introduction-foster</x:v>
      </x:c>
      <x:c r="R651" s="20" t="str">
        <x:v>Ürün kimliği korundu; eksik alanlar erişilemedi olarak işaretlenecek.</x:v>
      </x:c>
    </x:row>
    <x:row r="652" ht="40" customHeight="1">
      <x:c r="A652" s="16" t="str">
        <x:v>Four Letter Word Coffee</x:v>
      </x:c>
      <x:c r="B652" s="16" t="str">
        <x:v>İstanbul</x:v>
      </x:c>
      <x:c r="C652" s="16" t="str">
        <x:v>Doğrulandı</x:v>
      </x:c>
      <x:c r="D652" s="16" t="str">
        <x:v>Ürün kaydı</x:v>
      </x:c>
      <x:c r="E652" s="16" t="str">
        <x:v>Hero Image &amp;mdash; FOUR LETTER WORD COFFEE ROASTERS</x:v>
      </x:c>
      <x:c r="F652" s="16" t="str">
        <x:v>Menşe belirtilmemiş</x:v>
      </x:c>
      <x:c r="G652" s="17" t="str">
        <x:v>Erişilemedi</x:v>
      </x:c>
      <x:c r="H652" s="16" t="str">
        <x:v>Erişilemedi</x:v>
      </x:c>
      <x:c r="I652" s="18" t="str">
        <x:v>Erişilemedi</x:v>
      </x:c>
      <x:c r="J652" s="18" t="str">
        <x:v>Erişilemedi</x:v>
      </x:c>
      <x:c r="K652" s="18" t="str">
        <x:f>IF(AND(ISNUMBER(G652),ISNUMBER(I652)),I652/G652*1000,"Erişilemedi")</x:f>
        <x:v>Erişilemedi</x:v>
      </x:c>
      <x:c r="L652" s="16" t="str">
        <x:v>Belirsiz</x:v>
      </x:c>
      <x:c r="M652" s="16" t="str">
        <x:v>Kahve ürünü</x:v>
      </x:c>
      <x:c r="N652" s="16" t="str">
        <x:v>Site haritası ürün sayfası</x:v>
      </x:c>
      <x:c r="O652" s="16" t="str">
        <x:v>Düşük</x:v>
      </x:c>
      <x:c r="P652" s="19" t="n">
        <x:v>46245</x:v>
      </x:c>
      <x:c r="Q652" s="20" t="str">
        <x:v>https://www.4lwcoffee.com/hero-image-foster</x:v>
      </x:c>
      <x:c r="R652" s="20" t="str">
        <x:v>Ürün kimliği korundu; eksik alanlar erişilemedi olarak işaretlenecek.</x:v>
      </x:c>
    </x:row>
    <x:row r="653" ht="40" customHeight="1">
      <x:c r="A653" s="16" t="str">
        <x:v>Four Letter Word Coffee</x:v>
      </x:c>
      <x:c r="B653" s="16" t="str">
        <x:v>İstanbul</x:v>
      </x:c>
      <x:c r="C653" s="16" t="str">
        <x:v>Doğrulandı</x:v>
      </x:c>
      <x:c r="D653" s="16" t="str">
        <x:v>Ürün kaydı</x:v>
      </x:c>
      <x:c r="E653" s="16" t="str">
        <x:v>HONDURAS: ROBERTO FIGUEROA</x:v>
      </x:c>
      <x:c r="F653" s="16" t="str">
        <x:v>Honduras</x:v>
      </x:c>
      <x:c r="G653" s="17" t="str">
        <x:v>Erişilemedi</x:v>
      </x:c>
      <x:c r="H653" s="16" t="str">
        <x:v>Erişilemedi</x:v>
      </x:c>
      <x:c r="I653" s="18" t="str">
        <x:v>Erişilemedi</x:v>
      </x:c>
      <x:c r="J653" s="18" t="str">
        <x:v>Erişilemedi</x:v>
      </x:c>
      <x:c r="K653" s="18" t="str">
        <x:f>IF(AND(ISNUMBER(G653),ISNUMBER(I653)),I653/G653*1000,"Erişilemedi")</x:f>
        <x:v>Erişilemedi</x:v>
      </x:c>
      <x:c r="L653" s="16" t="str">
        <x:v>Belirsiz</x:v>
      </x:c>
      <x:c r="M653" s="16" t="str">
        <x:v>Kahve ürünü</x:v>
      </x:c>
      <x:c r="N653" s="16" t="str">
        <x:v>Site haritası ürün sayfası</x:v>
      </x:c>
      <x:c r="O653" s="16" t="str">
        <x:v>Düşük</x:v>
      </x:c>
      <x:c r="P653" s="19" t="n">
        <x:v>46245</x:v>
      </x:c>
      <x:c r="Q653" s="20" t="str">
        <x:v>https://www.4lwcoffee.com/info-roberto-figueroa</x:v>
      </x:c>
      <x:c r="R653" s="20" t="str">
        <x:v>Ürün kimliği korundu; eksik alanlar erişilemedi olarak işaretlenecek.</x:v>
      </x:c>
    </x:row>
    <x:row r="654" ht="40" customHeight="1">
      <x:c r="A654" s="16" t="str">
        <x:v>Four Letter Word Coffee</x:v>
      </x:c>
      <x:c r="B654" s="16" t="str">
        <x:v>İstanbul</x:v>
      </x:c>
      <x:c r="C654" s="16" t="str">
        <x:v>Doğrulandı</x:v>
      </x:c>
      <x:c r="D654" s="16" t="str">
        <x:v>Ürün kaydı</x:v>
      </x:c>
      <x:c r="E654" s="16" t="str">
        <x:v>INFO: Gichata-Ini AA &amp;mdash; FOUR LETTER WORD COFFEE ROASTERS</x:v>
      </x:c>
      <x:c r="F654" s="16" t="str">
        <x:v>Menşe belirtilmemiş</x:v>
      </x:c>
      <x:c r="G654" s="17" t="str">
        <x:v>Erişilemedi</x:v>
      </x:c>
      <x:c r="H654" s="16" t="str">
        <x:v>Erişilemedi</x:v>
      </x:c>
      <x:c r="I654" s="18" t="str">
        <x:v>Erişilemedi</x:v>
      </x:c>
      <x:c r="J654" s="18" t="str">
        <x:v>Erişilemedi</x:v>
      </x:c>
      <x:c r="K654" s="18" t="str">
        <x:f>IF(AND(ISNUMBER(G654),ISNUMBER(I654)),I654/G654*1000,"Erişilemedi")</x:f>
        <x:v>Erişilemedi</x:v>
      </x:c>
      <x:c r="L654" s="16" t="str">
        <x:v>Belirsiz</x:v>
      </x:c>
      <x:c r="M654" s="16" t="str">
        <x:v>Kahve ürünü</x:v>
      </x:c>
      <x:c r="N654" s="16" t="str">
        <x:v>Site haritası ürün sayfası</x:v>
      </x:c>
      <x:c r="O654" s="16" t="str">
        <x:v>Düşük</x:v>
      </x:c>
      <x:c r="P654" s="19" t="n">
        <x:v>46245</x:v>
      </x:c>
      <x:c r="Q654" s="20" t="str">
        <x:v>https://www.4lwcoffee.com/info-gichataini-aa</x:v>
      </x:c>
      <x:c r="R654" s="20" t="str">
        <x:v>Ürün kimliği korundu; eksik alanlar erişilemedi olarak işaretlenecek.</x:v>
      </x:c>
    </x:row>
    <x:row r="655" ht="40" customHeight="1">
      <x:c r="A655" s="16" t="str">
        <x:v>Four Letter Word Coffee</x:v>
      </x:c>
      <x:c r="B655" s="16" t="str">
        <x:v>İstanbul</x:v>
      </x:c>
      <x:c r="C655" s="16" t="str">
        <x:v>Doğrulandı</x:v>
      </x:c>
      <x:c r="D655" s="16" t="str">
        <x:v>Ürün kaydı</x:v>
      </x:c>
      <x:c r="E655" s="16" t="str">
        <x:v>INFO: Jesucita &amp;mdash; FOUR LETTER WORD COFFEE ROASTERS</x:v>
      </x:c>
      <x:c r="F655" s="16" t="str">
        <x:v>Menşe belirtilmemiş</x:v>
      </x:c>
      <x:c r="G655" s="17" t="str">
        <x:v>Erişilemedi</x:v>
      </x:c>
      <x:c r="H655" s="16" t="str">
        <x:v>Erişilemedi</x:v>
      </x:c>
      <x:c r="I655" s="18" t="str">
        <x:v>Erişilemedi</x:v>
      </x:c>
      <x:c r="J655" s="18" t="str">
        <x:v>Erişilemedi</x:v>
      </x:c>
      <x:c r="K655" s="18" t="str">
        <x:f>IF(AND(ISNUMBER(G655),ISNUMBER(I655)),I655/G655*1000,"Erişilemedi")</x:f>
        <x:v>Erişilemedi</x:v>
      </x:c>
      <x:c r="L655" s="16" t="str">
        <x:v>Belirsiz</x:v>
      </x:c>
      <x:c r="M655" s="16" t="str">
        <x:v>Kahve ürünü</x:v>
      </x:c>
      <x:c r="N655" s="16" t="str">
        <x:v>Site haritası ürün sayfası</x:v>
      </x:c>
      <x:c r="O655" s="16" t="str">
        <x:v>Düşük</x:v>
      </x:c>
      <x:c r="P655" s="19" t="n">
        <x:v>46245</x:v>
      </x:c>
      <x:c r="Q655" s="20" t="str">
        <x:v>https://www.4lwcoffee.com/info-jesucita</x:v>
      </x:c>
      <x:c r="R655" s="20" t="str">
        <x:v>Ürün kimliği korundu; eksik alanlar erişilemedi olarak işaretlenecek.</x:v>
      </x:c>
    </x:row>
    <x:row r="656" ht="40" customHeight="1">
      <x:c r="A656" s="16" t="str">
        <x:v>Four Letter Word Coffee</x:v>
      </x:c>
      <x:c r="B656" s="16" t="str">
        <x:v>İstanbul</x:v>
      </x:c>
      <x:c r="C656" s="16" t="str">
        <x:v>Doğrulandı</x:v>
      </x:c>
      <x:c r="D656" s="16" t="str">
        <x:v>Ürün kaydı</x:v>
      </x:c>
      <x:c r="E656" s="16" t="str">
        <x:v>INFO: Trifecta Africa &amp;mdash; FOUR LETTER WORD COFFEE ROASTERS</x:v>
      </x:c>
      <x:c r="F656" s="16" t="str">
        <x:v>Menşe belirtilmemiş</x:v>
      </x:c>
      <x:c r="G656" s="17" t="str">
        <x:v>Erişilemedi</x:v>
      </x:c>
      <x:c r="H656" s="16" t="str">
        <x:v>Erişilemedi</x:v>
      </x:c>
      <x:c r="I656" s="18" t="str">
        <x:v>Erişilemedi</x:v>
      </x:c>
      <x:c r="J656" s="18" t="str">
        <x:v>Erişilemedi</x:v>
      </x:c>
      <x:c r="K656" s="18" t="str">
        <x:f>IF(AND(ISNUMBER(G656),ISNUMBER(I656)),I656/G656*1000,"Erişilemedi")</x:f>
        <x:v>Erişilemedi</x:v>
      </x:c>
      <x:c r="L656" s="16" t="str">
        <x:v>Belirsiz</x:v>
      </x:c>
      <x:c r="M656" s="16" t="str">
        <x:v>Kahve ürünü</x:v>
      </x:c>
      <x:c r="N656" s="16" t="str">
        <x:v>Site haritası ürün sayfası</x:v>
      </x:c>
      <x:c r="O656" s="16" t="str">
        <x:v>Düşük</x:v>
      </x:c>
      <x:c r="P656" s="19" t="n">
        <x:v>46245</x:v>
      </x:c>
      <x:c r="Q656" s="20" t="str">
        <x:v>https://www.4lwcoffee.com/info-trifecta-africa</x:v>
      </x:c>
      <x:c r="R656" s="20" t="str">
        <x:v>Ürün kimliği korundu; eksik alanlar erişilemedi olarak işaretlenecek.</x:v>
      </x:c>
    </x:row>
    <x:row r="657" ht="40" customHeight="1">
      <x:c r="A657" s="16" t="str">
        <x:v>Four Letter Word Coffee</x:v>
      </x:c>
      <x:c r="B657" s="16" t="str">
        <x:v>İstanbul</x:v>
      </x:c>
      <x:c r="C657" s="16" t="str">
        <x:v>Doğrulandı</x:v>
      </x:c>
      <x:c r="D657" s="16" t="str">
        <x:v>Ürün kaydı</x:v>
      </x:c>
      <x:c r="E657" s="16" t="str">
        <x:v>INFO: Trifecta Americas &amp;mdash; FOUR LETTER WORD COFFEE ROASTERS</x:v>
      </x:c>
      <x:c r="F657" s="16" t="str">
        <x:v>Menşe belirtilmemiş</x:v>
      </x:c>
      <x:c r="G657" s="17" t="str">
        <x:v>Erişilemedi</x:v>
      </x:c>
      <x:c r="H657" s="16" t="str">
        <x:v>Erişilemedi</x:v>
      </x:c>
      <x:c r="I657" s="18" t="str">
        <x:v>Erişilemedi</x:v>
      </x:c>
      <x:c r="J657" s="18" t="str">
        <x:v>Erişilemedi</x:v>
      </x:c>
      <x:c r="K657" s="18" t="str">
        <x:f>IF(AND(ISNUMBER(G657),ISNUMBER(I657)),I657/G657*1000,"Erişilemedi")</x:f>
        <x:v>Erişilemedi</x:v>
      </x:c>
      <x:c r="L657" s="16" t="str">
        <x:v>Belirsiz</x:v>
      </x:c>
      <x:c r="M657" s="16" t="str">
        <x:v>Kahve ürünü</x:v>
      </x:c>
      <x:c r="N657" s="16" t="str">
        <x:v>Site haritası ürün sayfası</x:v>
      </x:c>
      <x:c r="O657" s="16" t="str">
        <x:v>Düşük</x:v>
      </x:c>
      <x:c r="P657" s="19" t="n">
        <x:v>46245</x:v>
      </x:c>
      <x:c r="Q657" s="20" t="str">
        <x:v>https://www.4lwcoffee.com/info-trifecta-americas</x:v>
      </x:c>
      <x:c r="R657" s="20" t="str">
        <x:v>Ürün kimliği korundu; eksik alanlar erişilemedi olarak işaretlenecek.</x:v>
      </x:c>
    </x:row>
    <x:row r="658" ht="40" customHeight="1">
      <x:c r="A658" s="16" t="str">
        <x:v>Four Letter Word Coffee</x:v>
      </x:c>
      <x:c r="B658" s="16" t="str">
        <x:v>İstanbul</x:v>
      </x:c>
      <x:c r="C658" s="16" t="str">
        <x:v>Doğrulandı</x:v>
      </x:c>
      <x:c r="D658" s="16" t="str">
        <x:v>Ürün kaydı</x:v>
      </x:c>
      <x:c r="E658" s="16" t="str">
        <x:v>KENYA: GAKUYU-INI AB</x:v>
      </x:c>
      <x:c r="F658" s="16" t="str">
        <x:v>Kenya</x:v>
      </x:c>
      <x:c r="G658" s="17" t="str">
        <x:v>Erişilemedi</x:v>
      </x:c>
      <x:c r="H658" s="16" t="str">
        <x:v>Erişilemedi</x:v>
      </x:c>
      <x:c r="I658" s="18" t="str">
        <x:v>Erişilemedi</x:v>
      </x:c>
      <x:c r="J658" s="18" t="str">
        <x:v>Erişilemedi</x:v>
      </x:c>
      <x:c r="K658" s="18" t="str">
        <x:f>IF(AND(ISNUMBER(G658),ISNUMBER(I658)),I658/G658*1000,"Erişilemedi")</x:f>
        <x:v>Erişilemedi</x:v>
      </x:c>
      <x:c r="L658" s="16" t="str">
        <x:v>Belirsiz</x:v>
      </x:c>
      <x:c r="M658" s="16" t="str">
        <x:v>Kahve ürünü</x:v>
      </x:c>
      <x:c r="N658" s="16" t="str">
        <x:v>Site haritası ürün sayfası</x:v>
      </x:c>
      <x:c r="O658" s="16" t="str">
        <x:v>Düşük</x:v>
      </x:c>
      <x:c r="P658" s="19" t="n">
        <x:v>46245</x:v>
      </x:c>
      <x:c r="Q658" s="20" t="str">
        <x:v>https://www.4lwcoffee.com/info-kenyagakuyuini</x:v>
      </x:c>
      <x:c r="R658" s="20" t="str">
        <x:v>Ürün kimliği korundu; eksik alanlar erişilemedi olarak işaretlenecek.</x:v>
      </x:c>
    </x:row>
    <x:row r="659" ht="40" customHeight="1">
      <x:c r="A659" s="16" t="str">
        <x:v>Four Letter Word Coffee</x:v>
      </x:c>
      <x:c r="B659" s="16" t="str">
        <x:v>İstanbul</x:v>
      </x:c>
      <x:c r="C659" s="16" t="str">
        <x:v>Doğrulandı</x:v>
      </x:c>
      <x:c r="D659" s="16" t="str">
        <x:v>Ürün kaydı</x:v>
      </x:c>
      <x:c r="E659" s="16" t="str">
        <x:v>logan diversey &amp;mdash; FOUR LETTER WORD COFFEE ROASTERS</x:v>
      </x:c>
      <x:c r="F659" s="16" t="str">
        <x:v>Menşe belirtilmemiş</x:v>
      </x:c>
      <x:c r="G659" s="17" t="str">
        <x:v>Erişilemedi</x:v>
      </x:c>
      <x:c r="H659" s="16" t="str">
        <x:v>Erişilemedi</x:v>
      </x:c>
      <x:c r="I659" s="18" t="str">
        <x:v>Erişilemedi</x:v>
      </x:c>
      <x:c r="J659" s="18" t="str">
        <x:v>Erişilemedi</x:v>
      </x:c>
      <x:c r="K659" s="18" t="str">
        <x:f>IF(AND(ISNUMBER(G659),ISNUMBER(I659)),I659/G659*1000,"Erişilemedi")</x:f>
        <x:v>Erişilemedi</x:v>
      </x:c>
      <x:c r="L659" s="16" t="str">
        <x:v>Belirsiz</x:v>
      </x:c>
      <x:c r="M659" s="16" t="str">
        <x:v>Kahve ürünü</x:v>
      </x:c>
      <x:c r="N659" s="16" t="str">
        <x:v>Site haritası ürün sayfası</x:v>
      </x:c>
      <x:c r="O659" s="16" t="str">
        <x:v>Düşük</x:v>
      </x:c>
      <x:c r="P659" s="19" t="n">
        <x:v>46245</x:v>
      </x:c>
      <x:c r="Q659" s="20" t="str">
        <x:v>https://www.4lwcoffee.com/logan-diversey</x:v>
      </x:c>
      <x:c r="R659" s="20" t="str">
        <x:v>Ürün kimliği korundu; eksik alanlar erişilemedi olarak işaretlenecek.</x:v>
      </x:c>
    </x:row>
    <x:row r="660" ht="40" customHeight="1">
      <x:c r="A660" s="16" t="str">
        <x:v>Four Letter Word Coffee</x:v>
      </x:c>
      <x:c r="B660" s="16" t="str">
        <x:v>İstanbul</x:v>
      </x:c>
      <x:c r="C660" s="16" t="str">
        <x:v>Doğrulandı</x:v>
      </x:c>
      <x:c r="D660" s="16" t="str">
        <x:v>Ürün kaydı</x:v>
      </x:c>
      <x:c r="E660" s="16" t="str">
        <x:v>merchandise &amp;mdash; COFFEES &amp;mdash; FOUR LETTER WORD COFFEE ROASTERS</x:v>
      </x:c>
      <x:c r="F660" s="16" t="str">
        <x:v>Menşe belirtilmemiş</x:v>
      </x:c>
      <x:c r="G660" s="17" t="str">
        <x:v>Erişilemedi</x:v>
      </x:c>
      <x:c r="H660" s="16" t="str">
        <x:v>Erişilemedi</x:v>
      </x:c>
      <x:c r="I660" s="18" t="n">
        <x:v>0</x:v>
      </x:c>
      <x:c r="J660" s="18" t="str">
        <x:v>Erişilemedi</x:v>
      </x:c>
      <x:c r="K660" s="18" t="str">
        <x:f>IF(AND(ISNUMBER(G660),ISNUMBER(I660)),I660/G660*1000,"Erişilemedi")</x:f>
        <x:v>Erişilemedi</x:v>
      </x:c>
      <x:c r="L660" s="16" t="str">
        <x:v>Belirsiz</x:v>
      </x:c>
      <x:c r="M660" s="16" t="str">
        <x:v>Kahve ürünü</x:v>
      </x:c>
      <x:c r="N660" s="16" t="str">
        <x:v>Site haritası ürün sayfası</x:v>
      </x:c>
      <x:c r="O660" s="16" t="str">
        <x:v>Düşük</x:v>
      </x:c>
      <x:c r="P660" s="19" t="n">
        <x:v>46245</x:v>
      </x:c>
      <x:c r="Q660" s="20" t="str">
        <x:v>https://www.4lwcoffee.com/store-1/merchandise</x:v>
      </x:c>
      <x:c r="R660" s="20" t="str">
        <x:v>Ürün kimliği korundu; eksik alanlar erişilemedi olarak işaretlenecek.</x:v>
      </x:c>
    </x:row>
    <x:row r="661" ht="40" customHeight="1">
      <x:c r="A661" s="16" t="str">
        <x:v>Four Letter Word Coffee</x:v>
      </x:c>
      <x:c r="B661" s="16" t="str">
        <x:v>İstanbul</x:v>
      </x:c>
      <x:c r="C661" s="16" t="str">
        <x:v>Doğrulandı</x:v>
      </x:c>
      <x:c r="D661" s="16" t="str">
        <x:v>Ürün kaydı</x:v>
      </x:c>
      <x:c r="E661" s="16" t="str">
        <x:v>New Gallery &amp;mdash; FOUR LETTER WORD COFFEE ROASTERS</x:v>
      </x:c>
      <x:c r="F661" s="16" t="str">
        <x:v>Menşe belirtilmemiş</x:v>
      </x:c>
      <x:c r="G661" s="17" t="str">
        <x:v>Erişilemedi</x:v>
      </x:c>
      <x:c r="H661" s="16" t="str">
        <x:v>Erişilemedi</x:v>
      </x:c>
      <x:c r="I661" s="18" t="str">
        <x:v>Erişilemedi</x:v>
      </x:c>
      <x:c r="J661" s="18" t="str">
        <x:v>Erişilemedi</x:v>
      </x:c>
      <x:c r="K661" s="18" t="str">
        <x:f>IF(AND(ISNUMBER(G661),ISNUMBER(I661)),I661/G661*1000,"Erişilemedi")</x:f>
        <x:v>Erişilemedi</x:v>
      </x:c>
      <x:c r="L661" s="16" t="str">
        <x:v>Belirsiz</x:v>
      </x:c>
      <x:c r="M661" s="16" t="str">
        <x:v>Kahve ürünü</x:v>
      </x:c>
      <x:c r="N661" s="16" t="str">
        <x:v>Site haritası ürün sayfası</x:v>
      </x:c>
      <x:c r="O661" s="16" t="str">
        <x:v>Düşük</x:v>
      </x:c>
      <x:c r="P661" s="19" t="n">
        <x:v>46245</x:v>
      </x:c>
      <x:c r="Q661" s="20" t="str">
        <x:v>https://www.4lwcoffee.com/new-gallery-2</x:v>
      </x:c>
      <x:c r="R661" s="20" t="str">
        <x:v>Ürün kimliği korundu; eksik alanlar erişilemedi olarak işaretlenecek.</x:v>
      </x:c>
    </x:row>
    <x:row r="662" ht="40" customHeight="1">
      <x:c r="A662" s="16" t="str">
        <x:v>Four Letter Word Coffee</x:v>
      </x:c>
      <x:c r="B662" s="16" t="str">
        <x:v>İstanbul</x:v>
      </x:c>
      <x:c r="C662" s="16" t="str">
        <x:v>Doğrulandı</x:v>
      </x:c>
      <x:c r="D662" s="16" t="str">
        <x:v>Ürün kaydı</x:v>
      </x:c>
      <x:c r="E662" s="16" t="str">
        <x:v>New Page &amp;mdash; FOUR LETTER WORD COFFEE ROASTERS</x:v>
      </x:c>
      <x:c r="F662" s="16" t="str">
        <x:v>Menşe belirtilmemiş</x:v>
      </x:c>
      <x:c r="G662" s="17" t="str">
        <x:v>Erişilemedi</x:v>
      </x:c>
      <x:c r="H662" s="16" t="str">
        <x:v>Erişilemedi</x:v>
      </x:c>
      <x:c r="I662" s="18" t="str">
        <x:v>Erişilemedi</x:v>
      </x:c>
      <x:c r="J662" s="18" t="str">
        <x:v>Erişilemedi</x:v>
      </x:c>
      <x:c r="K662" s="18" t="str">
        <x:f>IF(AND(ISNUMBER(G662),ISNUMBER(I662)),I662/G662*1000,"Erişilemedi")</x:f>
        <x:v>Erişilemedi</x:v>
      </x:c>
      <x:c r="L662" s="16" t="str">
        <x:v>Belirsiz</x:v>
      </x:c>
      <x:c r="M662" s="16" t="str">
        <x:v>Kahve ürünü</x:v>
      </x:c>
      <x:c r="N662" s="16" t="str">
        <x:v>Site haritası ürün sayfası</x:v>
      </x:c>
      <x:c r="O662" s="16" t="str">
        <x:v>Düşük</x:v>
      </x:c>
      <x:c r="P662" s="19" t="n">
        <x:v>46245</x:v>
      </x:c>
      <x:c r="Q662" s="20" t="str">
        <x:v>https://www.4lwcoffee.com/new-page</x:v>
      </x:c>
      <x:c r="R662" s="20" t="str">
        <x:v>Ürün kimliği korundu; eksik alanlar erişilemedi olarak işaretlenecek.</x:v>
      </x:c>
    </x:row>
    <x:row r="663" ht="40" customHeight="1">
      <x:c r="A663" s="16" t="str">
        <x:v>Four Letter Word Coffee</x:v>
      </x:c>
      <x:c r="B663" s="16" t="str">
        <x:v>İstanbul</x:v>
      </x:c>
      <x:c r="C663" s="16" t="str">
        <x:v>Doğrulandı</x:v>
      </x:c>
      <x:c r="D663" s="16" t="str">
        <x:v>Ürün kaydı</x:v>
      </x:c>
      <x:c r="E663" s="16" t="str">
        <x:v>Plant Gallery &amp;mdash; FOUR LETTER WORD COFFEE ROASTERS</x:v>
      </x:c>
      <x:c r="F663" s="16" t="str">
        <x:v>Menşe belirtilmemiş</x:v>
      </x:c>
      <x:c r="G663" s="17" t="str">
        <x:v>Erişilemedi</x:v>
      </x:c>
      <x:c r="H663" s="16" t="str">
        <x:v>Erişilemedi</x:v>
      </x:c>
      <x:c r="I663" s="18" t="str">
        <x:v>Erişilemedi</x:v>
      </x:c>
      <x:c r="J663" s="18" t="str">
        <x:v>Erişilemedi</x:v>
      </x:c>
      <x:c r="K663" s="18" t="str">
        <x:f>IF(AND(ISNUMBER(G663),ISNUMBER(I663)),I663/G663*1000,"Erişilemedi")</x:f>
        <x:v>Erişilemedi</x:v>
      </x:c>
      <x:c r="L663" s="16" t="str">
        <x:v>Belirsiz</x:v>
      </x:c>
      <x:c r="M663" s="16" t="str">
        <x:v>Kahve ürünü</x:v>
      </x:c>
      <x:c r="N663" s="16" t="str">
        <x:v>Site haritası ürün sayfası</x:v>
      </x:c>
      <x:c r="O663" s="16" t="str">
        <x:v>Düşük</x:v>
      </x:c>
      <x:c r="P663" s="19" t="n">
        <x:v>46245</x:v>
      </x:c>
      <x:c r="Q663" s="20" t="str">
        <x:v>https://www.4lwcoffee.com/plant-gallery</x:v>
      </x:c>
      <x:c r="R663" s="20" t="str">
        <x:v>Ürün kimliği korundu; eksik alanlar erişilemedi olarak işaretlenecek.</x:v>
      </x:c>
    </x:row>
    <x:row r="664" ht="40" customHeight="1">
      <x:c r="A664" s="16" t="str">
        <x:v>Four Letter Word Coffee</x:v>
      </x:c>
      <x:c r="B664" s="16" t="str">
        <x:v>İstanbul</x:v>
      </x:c>
      <x:c r="C664" s="16" t="str">
        <x:v>Doğrulandı</x:v>
      </x:c>
      <x:c r="D664" s="16" t="str">
        <x:v>Ürün kaydı</x:v>
      </x:c>
      <x:c r="E664" s="16" t="str">
        <x:v>Roasters Choice Single Origins</x:v>
      </x:c>
      <x:c r="F664" s="16" t="str">
        <x:v>Menşe belirtilmemiş</x:v>
      </x:c>
      <x:c r="G664" s="17" t="str">
        <x:v>Erişilemedi</x:v>
      </x:c>
      <x:c r="H664" s="16" t="str">
        <x:v>Erişilemedi</x:v>
      </x:c>
      <x:c r="I664" s="18" t="n">
        <x:v>0</x:v>
      </x:c>
      <x:c r="J664" s="18" t="str">
        <x:v>Erişilemedi</x:v>
      </x:c>
      <x:c r="K664" s="18" t="str">
        <x:f>IF(AND(ISNUMBER(G664),ISNUMBER(I664)),I664/G664*1000,"Erişilemedi")</x:f>
        <x:v>Erişilemedi</x:v>
      </x:c>
      <x:c r="L664" s="16" t="str">
        <x:v>Belirsiz</x:v>
      </x:c>
      <x:c r="M664" s="16" t="str">
        <x:v>Kahve ürünü</x:v>
      </x:c>
      <x:c r="N664" s="16" t="str">
        <x:v>Site haritası ürün sayfası</x:v>
      </x:c>
      <x:c r="O664" s="16" t="str">
        <x:v>Düşük</x:v>
      </x:c>
      <x:c r="P664" s="19" t="n">
        <x:v>46245</x:v>
      </x:c>
      <x:c r="Q664" s="20" t="str">
        <x:v>https://www.4lwcoffee.com/subscription/p/subscription-roasters-choice-2</x:v>
      </x:c>
      <x:c r="R664" s="20" t="str">
        <x:v>Ürün kimliği korundu; eksik alanlar erişilemedi olarak işaretlenecek.</x:v>
      </x:c>
    </x:row>
    <x:row r="665" ht="40" customHeight="1">
      <x:c r="A665" s="16" t="str">
        <x:v>Four Letter Word Coffee</x:v>
      </x:c>
      <x:c r="B665" s="16" t="str">
        <x:v>İstanbul</x:v>
      </x:c>
      <x:c r="C665" s="16" t="str">
        <x:v>Doğrulandı</x:v>
      </x:c>
      <x:c r="D665" s="16" t="str">
        <x:v>Ürün kaydı</x:v>
      </x:c>
      <x:c r="E665" s="16" t="str">
        <x:v>Shop Gallery &amp;mdash; FOUR LETTER WORD COFFEE ROASTERS</x:v>
      </x:c>
      <x:c r="F665" s="16" t="str">
        <x:v>Menşe belirtilmemiş</x:v>
      </x:c>
      <x:c r="G665" s="17" t="str">
        <x:v>Erişilemedi</x:v>
      </x:c>
      <x:c r="H665" s="16" t="str">
        <x:v>Erişilemedi</x:v>
      </x:c>
      <x:c r="I665" s="18" t="str">
        <x:v>Erişilemedi</x:v>
      </x:c>
      <x:c r="J665" s="18" t="str">
        <x:v>Erişilemedi</x:v>
      </x:c>
      <x:c r="K665" s="18" t="str">
        <x:f>IF(AND(ISNUMBER(G665),ISNUMBER(I665)),I665/G665*1000,"Erişilemedi")</x:f>
        <x:v>Erişilemedi</x:v>
      </x:c>
      <x:c r="L665" s="16" t="str">
        <x:v>Belirsiz</x:v>
      </x:c>
      <x:c r="M665" s="16" t="str">
        <x:v>Kahve ürünü</x:v>
      </x:c>
      <x:c r="N665" s="16" t="str">
        <x:v>Site haritası ürün sayfası</x:v>
      </x:c>
      <x:c r="O665" s="16" t="str">
        <x:v>Düşük</x:v>
      </x:c>
      <x:c r="P665" s="19" t="n">
        <x:v>46245</x:v>
      </x:c>
      <x:c r="Q665" s="20" t="str">
        <x:v>https://www.4lwcoffee.com/shop-gallery-foster</x:v>
      </x:c>
      <x:c r="R665" s="20" t="str">
        <x:v>Ürün kimliği korundu; eksik alanlar erişilemedi olarak işaretlenecek.</x:v>
      </x:c>
    </x:row>
    <x:row r="666" ht="40" customHeight="1">
      <x:c r="A666" s="16" t="str">
        <x:v>Four Letter Word Coffee</x:v>
      </x:c>
      <x:c r="B666" s="16" t="str">
        <x:v>İstanbul</x:v>
      </x:c>
      <x:c r="C666" s="16" t="str">
        <x:v>Doğrulandı</x:v>
      </x:c>
      <x:c r="D666" s="16" t="str">
        <x:v>Ürün kaydı</x:v>
      </x:c>
      <x:c r="E666" s="16" t="str">
        <x:v>SUBSCRIPTIONS &amp;mdash; FOUR LETTER WORD COFFEE ROASTERS</x:v>
      </x:c>
      <x:c r="F666" s="16" t="str">
        <x:v>Menşe belirtilmemiş</x:v>
      </x:c>
      <x:c r="G666" s="17" t="str">
        <x:v>Erişilemedi</x:v>
      </x:c>
      <x:c r="H666" s="16" t="str">
        <x:v>Erişilemedi</x:v>
      </x:c>
      <x:c r="I666" s="18" t="n">
        <x:v>0</x:v>
      </x:c>
      <x:c r="J666" s="18" t="str">
        <x:v>Erişilemedi</x:v>
      </x:c>
      <x:c r="K666" s="18" t="str">
        <x:f>IF(AND(ISNUMBER(G666),ISNUMBER(I666)),I666/G666*1000,"Erişilemedi")</x:f>
        <x:v>Erişilemedi</x:v>
      </x:c>
      <x:c r="L666" s="16" t="str">
        <x:v>Belirsiz</x:v>
      </x:c>
      <x:c r="M666" s="16" t="str">
        <x:v>Kahve ürünü</x:v>
      </x:c>
      <x:c r="N666" s="16" t="str">
        <x:v>Site haritası ürün sayfası</x:v>
      </x:c>
      <x:c r="O666" s="16" t="str">
        <x:v>Düşük</x:v>
      </x:c>
      <x:c r="P666" s="19" t="n">
        <x:v>46245</x:v>
      </x:c>
      <x:c r="Q666" s="20" t="str">
        <x:v>https://www.4lwcoffee.com/subscription</x:v>
      </x:c>
      <x:c r="R666" s="20" t="str">
        <x:v>Ürün kimliği korundu; eksik alanlar erişilemedi olarak işaretlenecek.</x:v>
      </x:c>
    </x:row>
    <x:row r="667" ht="40" customHeight="1">
      <x:c r="A667" s="16" t="str">
        <x:v>Four Letter Word Coffee</x:v>
      </x:c>
      <x:c r="B667" s="16" t="str">
        <x:v>İstanbul</x:v>
      </x:c>
      <x:c r="C667" s="16" t="str">
        <x:v>Doğrulandı</x:v>
      </x:c>
      <x:c r="D667" s="16" t="str">
        <x:v>Ürün kaydı</x:v>
      </x:c>
      <x:c r="E667" s="16" t="str">
        <x:v>WHOLESALE &amp;mdash; FOUR LETTER WORD COFFEE ROASTERS</x:v>
      </x:c>
      <x:c r="F667" s="16" t="str">
        <x:v>Menşe belirtilmemiş</x:v>
      </x:c>
      <x:c r="G667" s="17" t="str">
        <x:v>Erişilemedi</x:v>
      </x:c>
      <x:c r="H667" s="16" t="str">
        <x:v>Erişilemedi</x:v>
      </x:c>
      <x:c r="I667" s="18" t="str">
        <x:v>Erişilemedi</x:v>
      </x:c>
      <x:c r="J667" s="18" t="str">
        <x:v>Erişilemedi</x:v>
      </x:c>
      <x:c r="K667" s="18" t="str">
        <x:f>IF(AND(ISNUMBER(G667),ISNUMBER(I667)),I667/G667*1000,"Erişilemedi")</x:f>
        <x:v>Erişilemedi</x:v>
      </x:c>
      <x:c r="L667" s="16" t="str">
        <x:v>Belirsiz</x:v>
      </x:c>
      <x:c r="M667" s="16" t="str">
        <x:v>Kahve ürünü</x:v>
      </x:c>
      <x:c r="N667" s="16" t="str">
        <x:v>Site haritası ürün sayfası</x:v>
      </x:c>
      <x:c r="O667" s="16" t="str">
        <x:v>Düşük</x:v>
      </x:c>
      <x:c r="P667" s="19" t="n">
        <x:v>46245</x:v>
      </x:c>
      <x:c r="Q667" s="20" t="str">
        <x:v>https://www.4lwcoffee.com/wholesale</x:v>
      </x:c>
      <x:c r="R667" s="20" t="str">
        <x:v>Ürün kimliği korundu; eksik alanlar erişilemedi olarak işaretlenecek.</x:v>
      </x:c>
    </x:row>
    <x:row r="668" ht="40" customHeight="1">
      <x:c r="A668" s="16" t="str">
        <x:v>Fuga Coffee</x:v>
      </x:c>
      <x:c r="B668" s="16" t="str">
        <x:v>İstanbul</x:v>
      </x:c>
      <x:c r="C668" s="16" t="str">
        <x:v>Doğrulandı</x:v>
      </x:c>
      <x:c r="D668" s="16" t="str">
        <x:v>Ürün kaydı</x:v>
      </x:c>
      <x:c r="E668" s="16" t="str">
        <x:v>Acaia Yeni Pearl Tartı Pitch Black</x:v>
      </x:c>
      <x:c r="F668" s="16" t="str">
        <x:v>Menşe belirtilmemiş</x:v>
      </x:c>
      <x:c r="G668" s="17" t="n">
        <x:v>500</x:v>
      </x:c>
      <x:c r="H668" s="16" t="str">
        <x:v>Erişildi</x:v>
      </x:c>
      <x:c r="I668" s="18" t="n">
        <x:v>1000</x:v>
      </x:c>
      <x:c r="J668" s="18" t="str">
        <x:v>Erişildi</x:v>
      </x:c>
      <x:c r="K668" s="18" t="n">
        <x:f>IF(AND(ISNUMBER(G668),ISNUMBER(I668)),I668/G668*1000,"Erişilemedi")</x:f>
        <x:v>2000</x:v>
      </x:c>
      <x:c r="L668" s="16" t="str">
        <x:v>Belirsiz</x:v>
      </x:c>
      <x:c r="M668" s="16" t="str">
        <x:v>Tek köken/ürün</x:v>
      </x:c>
      <x:c r="N668" s="16" t="str">
        <x:v>Site haritası + HTML ürün kartı</x:v>
      </x:c>
      <x:c r="O668" s="16" t="str">
        <x:v>Düşük</x:v>
      </x:c>
      <x:c r="P668" s="19" t="n">
        <x:v>46245</x:v>
      </x:c>
      <x:c r="Q668" s="20" t="str">
        <x:v>https://fugacoffee.co/tr/urun/acaia-yeni-pearl-tarti-pitch-black</x:v>
      </x:c>
      <x:c r="R668" s="20" t="str">
        <x:v>Başlık/açıklama ve görünür fiyat deseninden çıkarıldı; manuel örnek kontrolü önerilir.</x:v>
      </x:c>
    </x:row>
    <x:row r="669" ht="40" customHeight="1">
      <x:c r="A669" s="16" t="str">
        <x:v>Fuga Coffee</x:v>
      </x:c>
      <x:c r="B669" s="16" t="str">
        <x:v>İstanbul</x:v>
      </x:c>
      <x:c r="C669" s="16" t="str">
        <x:v>Doğrulandı</x:v>
      </x:c>
      <x:c r="D669" s="16" t="str">
        <x:v>Ürün kaydı</x:v>
      </x:c>
      <x:c r="E669" s="16" t="str">
        <x:v>Acaia Yeni Pearl Tartı Pitch Black</x:v>
      </x:c>
      <x:c r="F669" s="16" t="str">
        <x:v>Menşe belirtilmemiş</x:v>
      </x:c>
      <x:c r="G669" s="17" t="n">
        <x:v>500</x:v>
      </x:c>
      <x:c r="H669" s="16" t="str">
        <x:v>Erişildi</x:v>
      </x:c>
      <x:c r="I669" s="18" t="n">
        <x:v>0</x:v>
      </x:c>
      <x:c r="J669" s="18" t="str">
        <x:v>Erişilemedi</x:v>
      </x:c>
      <x:c r="K669" s="18" t="n">
        <x:f>IF(AND(ISNUMBER(G669),ISNUMBER(I669)),I669/G669*1000,"Erişilemedi")</x:f>
        <x:v>0</x:v>
      </x:c>
      <x:c r="L669" s="16" t="str">
        <x:v>Belirsiz</x:v>
      </x:c>
      <x:c r="M669" s="16" t="str">
        <x:v>Kahve ürünü</x:v>
      </x:c>
      <x:c r="N669" s="16" t="str">
        <x:v>Site haritası ürün sayfası</x:v>
      </x:c>
      <x:c r="O669" s="16" t="str">
        <x:v>Düşük</x:v>
      </x:c>
      <x:c r="P669" s="19" t="n">
        <x:v>46245</x:v>
      </x:c>
      <x:c r="Q669" s="20" t="str">
        <x:v>https://fugacoffee.co/en/product/acaia-yeni-pearl-tarti-pitch-black</x:v>
      </x:c>
      <x:c r="R669" s="20" t="str">
        <x:v>Ürün kimliği korundu; eksik alanlar erişilemedi olarak işaretlenecek.</x:v>
      </x:c>
    </x:row>
    <x:row r="670" ht="40" customHeight="1">
      <x:c r="A670" s="16" t="str">
        <x:v>Fuga Coffee</x:v>
      </x:c>
      <x:c r="B670" s="16" t="str">
        <x:v>İstanbul</x:v>
      </x:c>
      <x:c r="C670" s="16" t="str">
        <x:v>Doğrulandı</x:v>
      </x:c>
      <x:c r="D670" s="16" t="str">
        <x:v>Ürün kaydı</x:v>
      </x:c>
      <x:c r="E670" s="16" t="str">
        <x:v>Become Our Partner</x:v>
      </x:c>
      <x:c r="F670" s="16" t="str">
        <x:v>Menşe belirtilmemiş</x:v>
      </x:c>
      <x:c r="G670" s="17" t="str">
        <x:v>Erişilemedi</x:v>
      </x:c>
      <x:c r="H670" s="16" t="str">
        <x:v>Erişilemedi</x:v>
      </x:c>
      <x:c r="I670" s="18" t="n">
        <x:v>0</x:v>
      </x:c>
      <x:c r="J670" s="18" t="str">
        <x:v>Erişilemedi</x:v>
      </x:c>
      <x:c r="K670" s="18" t="str">
        <x:f>IF(AND(ISNUMBER(G670),ISNUMBER(I670)),I670/G670*1000,"Erişilemedi")</x:f>
        <x:v>Erişilemedi</x:v>
      </x:c>
      <x:c r="L670" s="16" t="str">
        <x:v>Belirsiz</x:v>
      </x:c>
      <x:c r="M670" s="16" t="str">
        <x:v>Kahve ürünü</x:v>
      </x:c>
      <x:c r="N670" s="16" t="str">
        <x:v>Site haritası ürün sayfası</x:v>
      </x:c>
      <x:c r="O670" s="16" t="str">
        <x:v>Düşük</x:v>
      </x:c>
      <x:c r="P670" s="19" t="n">
        <x:v>46245</x:v>
      </x:c>
      <x:c r="Q670" s="20" t="str">
        <x:v>https://fugacoffee.co/en/wholesale</x:v>
      </x:c>
      <x:c r="R670" s="20" t="str">
        <x:v>Ürün kimliği korundu; eksik alanlar erişilemedi olarak işaretlenecek.</x:v>
      </x:c>
    </x:row>
    <x:row r="671" ht="40" customHeight="1">
      <x:c r="A671" s="16" t="str">
        <x:v>Fuga Coffee</x:v>
      </x:c>
      <x:c r="B671" s="16" t="str">
        <x:v>İstanbul</x:v>
      </x:c>
      <x:c r="C671" s="16" t="str">
        <x:v>Doğrulandı</x:v>
      </x:c>
      <x:c r="D671" s="16" t="str">
        <x:v>Ürün kaydı</x:v>
      </x:c>
      <x:c r="E671" s="16" t="str">
        <x:v>Blog</x:v>
      </x:c>
      <x:c r="F671" s="16" t="str">
        <x:v>Menşe belirtilmemiş</x:v>
      </x:c>
      <x:c r="G671" s="17" t="str">
        <x:v>Erişilemedi</x:v>
      </x:c>
      <x:c r="H671" s="16" t="str">
        <x:v>Erişilemedi</x:v>
      </x:c>
      <x:c r="I671" s="18" t="n">
        <x:v>0</x:v>
      </x:c>
      <x:c r="J671" s="18" t="str">
        <x:v>Erişilemedi</x:v>
      </x:c>
      <x:c r="K671" s="18" t="str">
        <x:f>IF(AND(ISNUMBER(G671),ISNUMBER(I671)),I671/G671*1000,"Erişilemedi")</x:f>
        <x:v>Erişilemedi</x:v>
      </x:c>
      <x:c r="L671" s="16" t="str">
        <x:v>Belirsiz</x:v>
      </x:c>
      <x:c r="M671" s="16" t="str">
        <x:v>Kahve ürünü</x:v>
      </x:c>
      <x:c r="N671" s="16" t="str">
        <x:v>Site haritası ürün sayfası</x:v>
      </x:c>
      <x:c r="O671" s="16" t="str">
        <x:v>Düşük</x:v>
      </x:c>
      <x:c r="P671" s="19" t="n">
        <x:v>46245</x:v>
      </x:c>
      <x:c r="Q671" s="20" t="str">
        <x:v>https://fugacoffee.co/en/blog</x:v>
      </x:c>
      <x:c r="R671" s="20" t="str">
        <x:v>Ürün kimliği korundu; eksik alanlar erişilemedi olarak işaretlenecek.</x:v>
      </x:c>
    </x:row>
    <x:row r="672" ht="40" customHeight="1">
      <x:c r="A672" s="16" t="str">
        <x:v>Fuga Coffee</x:v>
      </x:c>
      <x:c r="B672" s="16" t="str">
        <x:v>İstanbul</x:v>
      </x:c>
      <x:c r="C672" s="16" t="str">
        <x:v>Doğrulandı</x:v>
      </x:c>
      <x:c r="D672" s="16" t="str">
        <x:v>Ürün kaydı</x:v>
      </x:c>
      <x:c r="E672" s="16" t="str">
        <x:v>Blog</x:v>
      </x:c>
      <x:c r="F672" s="16" t="str">
        <x:v>Menşe belirtilmemiş</x:v>
      </x:c>
      <x:c r="G672" s="17" t="str">
        <x:v>Erişilemedi</x:v>
      </x:c>
      <x:c r="H672" s="16" t="str">
        <x:v>Erişilemedi</x:v>
      </x:c>
      <x:c r="I672" s="18" t="n">
        <x:v>1000</x:v>
      </x:c>
      <x:c r="J672" s="18" t="str">
        <x:v>Erişildi</x:v>
      </x:c>
      <x:c r="K672" s="18" t="str">
        <x:f>IF(AND(ISNUMBER(G672),ISNUMBER(I672)),I672/G672*1000,"Erişilemedi")</x:f>
        <x:v>Erişilemedi</x:v>
      </x:c>
      <x:c r="L672" s="16" t="str">
        <x:v>Belirsiz</x:v>
      </x:c>
      <x:c r="M672" s="16" t="str">
        <x:v>Kahve ürünü</x:v>
      </x:c>
      <x:c r="N672" s="16" t="str">
        <x:v>Site haritası ürün sayfası</x:v>
      </x:c>
      <x:c r="O672" s="16" t="str">
        <x:v>Düşük</x:v>
      </x:c>
      <x:c r="P672" s="19" t="n">
        <x:v>46245</x:v>
      </x:c>
      <x:c r="Q672" s="20" t="str">
        <x:v>https://fugacoffee.co/tr/blog</x:v>
      </x:c>
      <x:c r="R672" s="20" t="str">
        <x:v>Ürün kimliği korundu; eksik alanlar erişilemedi olarak işaretlenecek.</x:v>
      </x:c>
    </x:row>
    <x:row r="673" ht="40" customHeight="1">
      <x:c r="A673" s="16" t="str">
        <x:v>Fuga Coffee</x:v>
      </x:c>
      <x:c r="B673" s="16" t="str">
        <x:v>İstanbul</x:v>
      </x:c>
      <x:c r="C673" s="16" t="str">
        <x:v>Doğrulandı</x:v>
      </x:c>
      <x:c r="D673" s="16" t="str">
        <x:v>Ürün kaydı</x:v>
      </x:c>
      <x:c r="E673" s="16" t="str">
        <x:v>Brazil Mogiana</x:v>
      </x:c>
      <x:c r="F673" s="16" t="str">
        <x:v>Brezilya</x:v>
      </x:c>
      <x:c r="G673" s="17" t="str">
        <x:v>Erişilemedi</x:v>
      </x:c>
      <x:c r="H673" s="16" t="str">
        <x:v>Erişilemedi</x:v>
      </x:c>
      <x:c r="I673" s="18" t="n">
        <x:v>0</x:v>
      </x:c>
      <x:c r="J673" s="18" t="str">
        <x:v>Erişilemedi</x:v>
      </x:c>
      <x:c r="K673" s="18" t="str">
        <x:f>IF(AND(ISNUMBER(G673),ISNUMBER(I673)),I673/G673*1000,"Erişilemedi")</x:f>
        <x:v>Erişilemedi</x:v>
      </x:c>
      <x:c r="L673" s="16" t="str">
        <x:v>Belirsiz</x:v>
      </x:c>
      <x:c r="M673" s="16" t="str">
        <x:v>Kahve ürünü</x:v>
      </x:c>
      <x:c r="N673" s="16" t="str">
        <x:v>Site haritası ürün sayfası</x:v>
      </x:c>
      <x:c r="O673" s="16" t="str">
        <x:v>Düşük</x:v>
      </x:c>
      <x:c r="P673" s="19" t="n">
        <x:v>46245</x:v>
      </x:c>
      <x:c r="Q673" s="20" t="str">
        <x:v>https://fugacoffee.co/en/product/brazil-mogiana</x:v>
      </x:c>
      <x:c r="R673" s="20" t="str">
        <x:v>Ürün kimliği korundu; eksik alanlar erişilemedi olarak işaretlenecek.</x:v>
      </x:c>
    </x:row>
    <x:row r="674" ht="40" customHeight="1">
      <x:c r="A674" s="16" t="str">
        <x:v>Fuga Coffee</x:v>
      </x:c>
      <x:c r="B674" s="16" t="str"/>
      <x:c r="C674" s="16" t="str">
        <x:v>Pilot doğrulaması</x:v>
      </x:c>
      <x:c r="D674" s="16" t="str">
        <x:v>Ürün kaydı</x:v>
      </x:c>
      <x:c r="E674" s="16" t="str">
        <x:v>Brazil Mogiana</x:v>
      </x:c>
      <x:c r="F674" s="16" t="str">
        <x:v>Brezilya</x:v>
      </x:c>
      <x:c r="G674" s="17" t="n">
        <x:v>250</x:v>
      </x:c>
      <x:c r="H674" s="16" t="str">
        <x:v>Erişildi</x:v>
      </x:c>
      <x:c r="I674" s="18" t="n">
        <x:v>470</x:v>
      </x:c>
      <x:c r="J674" s="18" t="str">
        <x:v>Erişildi</x:v>
      </x:c>
      <x:c r="K674" s="18" t="n">
        <x:f>IF(AND(ISNUMBER(G674),ISNUMBER(I674)),I674/G674*1000,"Erişilemedi")</x:f>
        <x:v>1880</x:v>
      </x:c>
      <x:c r="L674" s="16" t="str">
        <x:v>Stokta</x:v>
      </x:c>
      <x:c r="M674" s="16" t="str">
        <x:v>Tek köken</x:v>
      </x:c>
      <x:c r="N674" s="16" t="str">
        <x:v>Pilot manuel/API doğrulaması</x:v>
      </x:c>
      <x:c r="O674" s="16" t="str">
        <x:v>Yüksek</x:v>
      </x:c>
      <x:c r="P674" s="19" t="n">
        <x:v>46245</x:v>
      </x:c>
      <x:c r="Q674" s="20" t="str">
        <x:v>https://fugacoffee.co/en</x:v>
      </x:c>
      <x:c r="R674" s="20" t="str"/>
    </x:row>
    <x:row r="675" ht="40" customHeight="1">
      <x:c r="A675" s="16" t="str">
        <x:v>Fuga Coffee</x:v>
      </x:c>
      <x:c r="B675" s="16" t="str">
        <x:v>İstanbul</x:v>
      </x:c>
      <x:c r="C675" s="16" t="str">
        <x:v>Doğrulandı</x:v>
      </x:c>
      <x:c r="D675" s="16" t="str">
        <x:v>Ürün kaydı</x:v>
      </x:c>
      <x:c r="E675" s="16" t="str">
        <x:v>Brezilya Mogiana</x:v>
      </x:c>
      <x:c r="F675" s="16" t="str">
        <x:v>Brezilya</x:v>
      </x:c>
      <x:c r="G675" s="17" t="str">
        <x:v>Erişilemedi</x:v>
      </x:c>
      <x:c r="H675" s="16" t="str">
        <x:v>Erişilemedi</x:v>
      </x:c>
      <x:c r="I675" s="18" t="n">
        <x:v>1000</x:v>
      </x:c>
      <x:c r="J675" s="18" t="str">
        <x:v>Erişildi</x:v>
      </x:c>
      <x:c r="K675" s="18" t="str">
        <x:f>IF(AND(ISNUMBER(G675),ISNUMBER(I675)),I675/G675*1000,"Erişilemedi")</x:f>
        <x:v>Erişilemedi</x:v>
      </x:c>
      <x:c r="L675" s="16" t="str">
        <x:v>Belirsiz</x:v>
      </x:c>
      <x:c r="M675" s="16" t="str">
        <x:v>Kahve ürünü</x:v>
      </x:c>
      <x:c r="N675" s="16" t="str">
        <x:v>Site haritası ürün sayfası</x:v>
      </x:c>
      <x:c r="O675" s="16" t="str">
        <x:v>Düşük</x:v>
      </x:c>
      <x:c r="P675" s="19" t="n">
        <x:v>46245</x:v>
      </x:c>
      <x:c r="Q675" s="20" t="str">
        <x:v>https://fugacoffee.co/tr/urun/brezilya-mogiana</x:v>
      </x:c>
      <x:c r="R675" s="20" t="str">
        <x:v>Ürün kimliği korundu; eksik alanlar erişilemedi olarak işaretlenecek.</x:v>
      </x:c>
    </x:row>
    <x:row r="676" ht="40" customHeight="1">
      <x:c r="A676" s="16" t="str">
        <x:v>Fuga Coffee</x:v>
      </x:c>
      <x:c r="B676" s="16" t="str">
        <x:v>İstanbul</x:v>
      </x:c>
      <x:c r="C676" s="16" t="str">
        <x:v>Doğrulandı</x:v>
      </x:c>
      <x:c r="D676" s="16" t="str">
        <x:v>Ürün kaydı</x:v>
      </x:c>
      <x:c r="E676" s="16" t="str">
        <x:v>Burundi Busasa</x:v>
      </x:c>
      <x:c r="F676" s="16" t="str">
        <x:v>Burundi</x:v>
      </x:c>
      <x:c r="G676" s="17" t="str">
        <x:v>Erişilemedi</x:v>
      </x:c>
      <x:c r="H676" s="16" t="str">
        <x:v>Erişilemedi</x:v>
      </x:c>
      <x:c r="I676" s="18" t="n">
        <x:v>0</x:v>
      </x:c>
      <x:c r="J676" s="18" t="str">
        <x:v>Erişilemedi</x:v>
      </x:c>
      <x:c r="K676" s="18" t="str">
        <x:f>IF(AND(ISNUMBER(G676),ISNUMBER(I676)),I676/G676*1000,"Erişilemedi")</x:f>
        <x:v>Erişilemedi</x:v>
      </x:c>
      <x:c r="L676" s="16" t="str">
        <x:v>Belirsiz</x:v>
      </x:c>
      <x:c r="M676" s="16" t="str">
        <x:v>Kahve ürünü</x:v>
      </x:c>
      <x:c r="N676" s="16" t="str">
        <x:v>Site haritası ürün sayfası</x:v>
      </x:c>
      <x:c r="O676" s="16" t="str">
        <x:v>Düşük</x:v>
      </x:c>
      <x:c r="P676" s="19" t="n">
        <x:v>46245</x:v>
      </x:c>
      <x:c r="Q676" s="20" t="str">
        <x:v>https://fugacoffee.co/en/product/burundi-busasa</x:v>
      </x:c>
      <x:c r="R676" s="20" t="str">
        <x:v>Ürün kimliği korundu; eksik alanlar erişilemedi olarak işaretlenecek.</x:v>
      </x:c>
    </x:row>
    <x:row r="677" ht="40" customHeight="1">
      <x:c r="A677" s="16" t="str">
        <x:v>Fuga Coffee</x:v>
      </x:c>
      <x:c r="B677" s="16" t="str">
        <x:v>İstanbul</x:v>
      </x:c>
      <x:c r="C677" s="16" t="str">
        <x:v>Doğrulandı</x:v>
      </x:c>
      <x:c r="D677" s="16" t="str">
        <x:v>Ürün kaydı</x:v>
      </x:c>
      <x:c r="E677" s="16" t="str">
        <x:v>Burundi Busasa</x:v>
      </x:c>
      <x:c r="F677" s="16" t="str">
        <x:v>Burundi</x:v>
      </x:c>
      <x:c r="G677" s="17" t="n">
        <x:v>35</x:v>
      </x:c>
      <x:c r="H677" s="16" t="str">
        <x:v>Erişildi</x:v>
      </x:c>
      <x:c r="I677" s="18" t="n">
        <x:v>1000</x:v>
      </x:c>
      <x:c r="J677" s="18" t="str">
        <x:v>Erişildi</x:v>
      </x:c>
      <x:c r="K677" s="18" t="n">
        <x:f>IF(AND(ISNUMBER(G677),ISNUMBER(I677)),I677/G677*1000,"Erişilemedi")</x:f>
        <x:v>28571.428571428572</x:v>
      </x:c>
      <x:c r="L677" s="16" t="str">
        <x:v>Belirsiz</x:v>
      </x:c>
      <x:c r="M677" s="16" t="str">
        <x:v>Tek köken/ürün</x:v>
      </x:c>
      <x:c r="N677" s="16" t="str">
        <x:v>Site haritası + HTML ürün kartı</x:v>
      </x:c>
      <x:c r="O677" s="16" t="str">
        <x:v>Düşük</x:v>
      </x:c>
      <x:c r="P677" s="19" t="n">
        <x:v>46245</x:v>
      </x:c>
      <x:c r="Q677" s="20" t="str">
        <x:v>https://fugacoffee.co/tr/urun/burundi-busasa</x:v>
      </x:c>
      <x:c r="R677" s="20" t="str">
        <x:v>Başlık/açıklama ve görünür fiyat deseninden çıkarıldı; manuel örnek kontrolü önerilir.</x:v>
      </x:c>
    </x:row>
    <x:row r="678" ht="40" customHeight="1">
      <x:c r="A678" s="16" t="str">
        <x:v>Fuga Coffee</x:v>
      </x:c>
      <x:c r="B678" s="16" t="str"/>
      <x:c r="C678" s="16" t="str">
        <x:v>Pilot doğrulaması</x:v>
      </x:c>
      <x:c r="D678" s="16" t="str">
        <x:v>Ürün kaydı</x:v>
      </x:c>
      <x:c r="E678" s="16" t="str">
        <x:v>Burundi Busasa</x:v>
      </x:c>
      <x:c r="F678" s="16" t="str">
        <x:v>Burundi</x:v>
      </x:c>
      <x:c r="G678" s="17" t="n">
        <x:v>250</x:v>
      </x:c>
      <x:c r="H678" s="16" t="str">
        <x:v>Erişildi</x:v>
      </x:c>
      <x:c r="I678" s="18" t="n">
        <x:v>840</x:v>
      </x:c>
      <x:c r="J678" s="18" t="str">
        <x:v>Erişildi</x:v>
      </x:c>
      <x:c r="K678" s="18" t="n">
        <x:f>IF(AND(ISNUMBER(G678),ISNUMBER(I678)),I678/G678*1000,"Erişilemedi")</x:f>
        <x:v>3360</x:v>
      </x:c>
      <x:c r="L678" s="16" t="str">
        <x:v>Stokta</x:v>
      </x:c>
      <x:c r="M678" s="16" t="str">
        <x:v>Tek köken</x:v>
      </x:c>
      <x:c r="N678" s="16" t="str">
        <x:v>Pilot manuel/API doğrulaması</x:v>
      </x:c>
      <x:c r="O678" s="16" t="str">
        <x:v>Yüksek</x:v>
      </x:c>
      <x:c r="P678" s="19" t="n">
        <x:v>46245</x:v>
      </x:c>
      <x:c r="Q678" s="20" t="str">
        <x:v>https://fugacoffee.co/en</x:v>
      </x:c>
      <x:c r="R678" s="20" t="str"/>
    </x:row>
    <x:row r="679" ht="40" customHeight="1">
      <x:c r="A679" s="16" t="str">
        <x:v>Fuga Coffee</x:v>
      </x:c>
      <x:c r="B679" s="16" t="str">
        <x:v>İstanbul</x:v>
      </x:c>
      <x:c r="C679" s="16" t="str">
        <x:v>Doğrulandı</x:v>
      </x:c>
      <x:c r="D679" s="16" t="str">
        <x:v>Ürün kaydı</x:v>
      </x:c>
      <x:c r="E679" s="16" t="str">
        <x:v>Cafec Tritan Server - 400ml</x:v>
      </x:c>
      <x:c r="F679" s="16" t="str">
        <x:v>Menşe belirtilmemiş</x:v>
      </x:c>
      <x:c r="G679" s="17" t="str">
        <x:v>Erişilemedi</x:v>
      </x:c>
      <x:c r="H679" s="16" t="str">
        <x:v>Erişilemedi</x:v>
      </x:c>
      <x:c r="I679" s="18" t="n">
        <x:v>0</x:v>
      </x:c>
      <x:c r="J679" s="18" t="str">
        <x:v>Erişilemedi</x:v>
      </x:c>
      <x:c r="K679" s="18" t="str">
        <x:f>IF(AND(ISNUMBER(G679),ISNUMBER(I679)),I679/G679*1000,"Erişilemedi")</x:f>
        <x:v>Erişilemedi</x:v>
      </x:c>
      <x:c r="L679" s="16" t="str">
        <x:v>Belirsiz</x:v>
      </x:c>
      <x:c r="M679" s="16" t="str">
        <x:v>Kahve ürünü</x:v>
      </x:c>
      <x:c r="N679" s="16" t="str">
        <x:v>Site haritası ürün sayfası</x:v>
      </x:c>
      <x:c r="O679" s="16" t="str">
        <x:v>Düşük</x:v>
      </x:c>
      <x:c r="P679" s="19" t="n">
        <x:v>46245</x:v>
      </x:c>
      <x:c r="Q679" s="20" t="str">
        <x:v>https://fugacoffee.co/en/product/cafec-tritan-server-400ml</x:v>
      </x:c>
      <x:c r="R679" s="20" t="str">
        <x:v>Ürün kimliği korundu; eksik alanlar erişilemedi olarak işaretlenecek.</x:v>
      </x:c>
    </x:row>
    <x:row r="680" ht="40" customHeight="1">
      <x:c r="A680" s="16" t="str">
        <x:v>Fuga Coffee</x:v>
      </x:c>
      <x:c r="B680" s="16" t="str">
        <x:v>İstanbul</x:v>
      </x:c>
      <x:c r="C680" s="16" t="str">
        <x:v>Doğrulandı</x:v>
      </x:c>
      <x:c r="D680" s="16" t="str">
        <x:v>Ürün kaydı</x:v>
      </x:c>
      <x:c r="E680" s="16" t="str">
        <x:v>Coffee Collection</x:v>
      </x:c>
      <x:c r="F680" s="16" t="str">
        <x:v>Etiyopya | Kolombiya | Kenya</x:v>
      </x:c>
      <x:c r="G680" s="17" t="str">
        <x:v>Erişilemedi</x:v>
      </x:c>
      <x:c r="H680" s="16" t="str">
        <x:v>Erişilemedi</x:v>
      </x:c>
      <x:c r="I680" s="18" t="n">
        <x:v>0</x:v>
      </x:c>
      <x:c r="J680" s="18" t="str">
        <x:v>Erişilemedi</x:v>
      </x:c>
      <x:c r="K680" s="18" t="str">
        <x:f>IF(AND(ISNUMBER(G680),ISNUMBER(I680)),I680/G680*1000,"Erişilemedi")</x:f>
        <x:v>Erişilemedi</x:v>
      </x:c>
      <x:c r="L680" s="16" t="str">
        <x:v>Belirsiz</x:v>
      </x:c>
      <x:c r="M680" s="16" t="str">
        <x:v>Kahve ürünü</x:v>
      </x:c>
      <x:c r="N680" s="16" t="str">
        <x:v>Site haritası ürün sayfası</x:v>
      </x:c>
      <x:c r="O680" s="16" t="str">
        <x:v>Düşük</x:v>
      </x:c>
      <x:c r="P680" s="19" t="n">
        <x:v>46245</x:v>
      </x:c>
      <x:c r="Q680" s="20" t="str">
        <x:v>https://fugacoffee.co/en/products</x:v>
      </x:c>
      <x:c r="R680" s="20" t="str">
        <x:v>Ürün kimliği korundu; eksik alanlar erişilemedi olarak işaretlenecek.</x:v>
      </x:c>
    </x:row>
    <x:row r="681" ht="40" customHeight="1">
      <x:c r="A681" s="16" t="str">
        <x:v>Fuga Coffee</x:v>
      </x:c>
      <x:c r="B681" s="16" t="str">
        <x:v>İstanbul</x:v>
      </x:c>
      <x:c r="C681" s="16" t="str">
        <x:v>Doğrulandı</x:v>
      </x:c>
      <x:c r="D681" s="16" t="str">
        <x:v>Ürün kaydı</x:v>
      </x:c>
      <x:c r="E681" s="16" t="str">
        <x:v>Coffee Guide</x:v>
      </x:c>
      <x:c r="F681" s="16" t="str">
        <x:v>Menşe belirtilmemiş</x:v>
      </x:c>
      <x:c r="G681" s="17" t="str">
        <x:v>Erişilemedi</x:v>
      </x:c>
      <x:c r="H681" s="16" t="str">
        <x:v>Erişilemedi</x:v>
      </x:c>
      <x:c r="I681" s="18" t="n">
        <x:v>0</x:v>
      </x:c>
      <x:c r="J681" s="18" t="str">
        <x:v>Erişilemedi</x:v>
      </x:c>
      <x:c r="K681" s="18" t="str">
        <x:f>IF(AND(ISNUMBER(G681),ISNUMBER(I681)),I681/G681*1000,"Erişilemedi")</x:f>
        <x:v>Erişilemedi</x:v>
      </x:c>
      <x:c r="L681" s="16" t="str">
        <x:v>Belirsiz</x:v>
      </x:c>
      <x:c r="M681" s="16" t="str">
        <x:v>Kahve ürünü</x:v>
      </x:c>
      <x:c r="N681" s="16" t="str">
        <x:v>Site haritası ürün sayfası</x:v>
      </x:c>
      <x:c r="O681" s="16" t="str">
        <x:v>Düşük</x:v>
      </x:c>
      <x:c r="P681" s="19" t="n">
        <x:v>46245</x:v>
      </x:c>
      <x:c r="Q681" s="20" t="str">
        <x:v>https://fugacoffee.co/en/coffee-guide</x:v>
      </x:c>
      <x:c r="R681" s="20" t="str">
        <x:v>Ürün kimliği korundu; eksik alanlar erişilemedi olarak işaretlenecek.</x:v>
      </x:c>
    </x:row>
    <x:row r="682" ht="40" customHeight="1">
      <x:c r="A682" s="16" t="str">
        <x:v>Fuga Coffee</x:v>
      </x:c>
      <x:c r="B682" s="16" t="str">
        <x:v>İstanbul</x:v>
      </x:c>
      <x:c r="C682" s="16" t="str">
        <x:v>Doğrulandı</x:v>
      </x:c>
      <x:c r="D682" s="16" t="str">
        <x:v>Ürün kaydı</x:v>
      </x:c>
      <x:c r="E682" s="16" t="str">
        <x:v>Colombia Cundinamarca</x:v>
      </x:c>
      <x:c r="F682" s="16" t="str">
        <x:v>Kolombiya</x:v>
      </x:c>
      <x:c r="G682" s="17" t="str">
        <x:v>Erişilemedi</x:v>
      </x:c>
      <x:c r="H682" s="16" t="str">
        <x:v>Erişilemedi</x:v>
      </x:c>
      <x:c r="I682" s="18" t="n">
        <x:v>0</x:v>
      </x:c>
      <x:c r="J682" s="18" t="str">
        <x:v>Erişilemedi</x:v>
      </x:c>
      <x:c r="K682" s="18" t="str">
        <x:f>IF(AND(ISNUMBER(G682),ISNUMBER(I682)),I682/G682*1000,"Erişilemedi")</x:f>
        <x:v>Erişilemedi</x:v>
      </x:c>
      <x:c r="L682" s="16" t="str">
        <x:v>Belirsiz</x:v>
      </x:c>
      <x:c r="M682" s="16" t="str">
        <x:v>Kahve ürünü</x:v>
      </x:c>
      <x:c r="N682" s="16" t="str">
        <x:v>Site haritası ürün sayfası</x:v>
      </x:c>
      <x:c r="O682" s="16" t="str">
        <x:v>Düşük</x:v>
      </x:c>
      <x:c r="P682" s="19" t="n">
        <x:v>46245</x:v>
      </x:c>
      <x:c r="Q682" s="20" t="str">
        <x:v>https://fugacoffee.co/en/product/colombia-cundinamarca</x:v>
      </x:c>
      <x:c r="R682" s="20" t="str">
        <x:v>Ürün kimliği korundu; eksik alanlar erişilemedi olarak işaretlenecek.</x:v>
      </x:c>
    </x:row>
    <x:row r="683" ht="40" customHeight="1">
      <x:c r="A683" s="16" t="str">
        <x:v>Fuga Coffee</x:v>
      </x:c>
      <x:c r="B683" s="16" t="str"/>
      <x:c r="C683" s="16" t="str">
        <x:v>Pilot doğrulaması</x:v>
      </x:c>
      <x:c r="D683" s="16" t="str">
        <x:v>Ürün kaydı</x:v>
      </x:c>
      <x:c r="E683" s="16" t="str">
        <x:v>Colombia Cundinamarca</x:v>
      </x:c>
      <x:c r="F683" s="16" t="str">
        <x:v>Kolombiya</x:v>
      </x:c>
      <x:c r="G683" s="17" t="n">
        <x:v>250</x:v>
      </x:c>
      <x:c r="H683" s="16" t="str">
        <x:v>Erişildi</x:v>
      </x:c>
      <x:c r="I683" s="18" t="n">
        <x:v>485</x:v>
      </x:c>
      <x:c r="J683" s="18" t="str">
        <x:v>Erişildi</x:v>
      </x:c>
      <x:c r="K683" s="18" t="n">
        <x:f>IF(AND(ISNUMBER(G683),ISNUMBER(I683)),I683/G683*1000,"Erişilemedi")</x:f>
        <x:v>1940</x:v>
      </x:c>
      <x:c r="L683" s="16" t="str">
        <x:v>Stokta</x:v>
      </x:c>
      <x:c r="M683" s="16" t="str">
        <x:v>Tek köken</x:v>
      </x:c>
      <x:c r="N683" s="16" t="str">
        <x:v>Pilot manuel/API doğrulaması</x:v>
      </x:c>
      <x:c r="O683" s="16" t="str">
        <x:v>Yüksek</x:v>
      </x:c>
      <x:c r="P683" s="19" t="n">
        <x:v>46245</x:v>
      </x:c>
      <x:c r="Q683" s="20" t="str">
        <x:v>https://fugacoffee.co/en</x:v>
      </x:c>
      <x:c r="R683" s="20" t="str"/>
    </x:row>
    <x:row r="684" ht="40" customHeight="1">
      <x:c r="A684" s="16" t="str">
        <x:v>Fuga Coffee</x:v>
      </x:c>
      <x:c r="B684" s="16" t="str">
        <x:v>İstanbul</x:v>
      </x:c>
      <x:c r="C684" s="16" t="str">
        <x:v>Doğrulandı</x:v>
      </x:c>
      <x:c r="D684" s="16" t="str">
        <x:v>Ürün kaydı</x:v>
      </x:c>
      <x:c r="E684" s="16" t="str">
        <x:v>Çekirdek Kahve 1 KG</x:v>
      </x:c>
      <x:c r="F684" s="16" t="str">
        <x:v>Menşe belirtilmemiş</x:v>
      </x:c>
      <x:c r="G684" s="17" t="n">
        <x:v>1000</x:v>
      </x:c>
      <x:c r="H684" s="16" t="str">
        <x:v>Erişildi</x:v>
      </x:c>
      <x:c r="I684" s="18" t="n">
        <x:v>1000</x:v>
      </x:c>
      <x:c r="J684" s="18" t="str">
        <x:v>Erişildi</x:v>
      </x:c>
      <x:c r="K684" s="18" t="n">
        <x:f>IF(AND(ISNUMBER(G684),ISNUMBER(I684)),I684/G684*1000,"Erişilemedi")</x:f>
        <x:v>1000</x:v>
      </x:c>
      <x:c r="L684" s="16" t="str">
        <x:v>Belirsiz</x:v>
      </x:c>
      <x:c r="M684" s="16" t="str">
        <x:v>Kahve ürünü</x:v>
      </x:c>
      <x:c r="N684" s="16" t="str">
        <x:v>Site haritası ürün sayfası</x:v>
      </x:c>
      <x:c r="O684" s="16" t="str">
        <x:v>Orta</x:v>
      </x:c>
      <x:c r="P684" s="19" t="n">
        <x:v>46245</x:v>
      </x:c>
      <x:c r="Q684" s="20" t="str">
        <x:v>https://fugacoffee.co/tr/cekirdek-kahve-1-kg</x:v>
      </x:c>
      <x:c r="R684" s="20" t="str">
        <x:v>Ürün kimliği korundu; eksik alanlar erişilemedi olarak işaretlenecek.</x:v>
      </x:c>
    </x:row>
    <x:row r="685" ht="40" customHeight="1">
      <x:c r="A685" s="16" t="str">
        <x:v>Fuga Coffee</x:v>
      </x:c>
      <x:c r="B685" s="16" t="str">
        <x:v>İstanbul</x:v>
      </x:c>
      <x:c r="C685" s="16" t="str">
        <x:v>Doğrulandı</x:v>
      </x:c>
      <x:c r="D685" s="16" t="str">
        <x:v>Ürün kaydı</x:v>
      </x:c>
      <x:c r="E685" s="16" t="str">
        <x:v>Çekirdek Kahve 250 GR</x:v>
      </x:c>
      <x:c r="F685" s="16" t="str">
        <x:v>Menşe belirtilmemiş</x:v>
      </x:c>
      <x:c r="G685" s="17" t="n">
        <x:v>250</x:v>
      </x:c>
      <x:c r="H685" s="16" t="str">
        <x:v>Erişildi</x:v>
      </x:c>
      <x:c r="I685" s="18" t="n">
        <x:v>1000</x:v>
      </x:c>
      <x:c r="J685" s="18" t="str">
        <x:v>Erişildi</x:v>
      </x:c>
      <x:c r="K685" s="18" t="n">
        <x:f>IF(AND(ISNUMBER(G685),ISNUMBER(I685)),I685/G685*1000,"Erişilemedi")</x:f>
        <x:v>4000</x:v>
      </x:c>
      <x:c r="L685" s="16" t="str">
        <x:v>Belirsiz</x:v>
      </x:c>
      <x:c r="M685" s="16" t="str">
        <x:v>Kahve ürünü</x:v>
      </x:c>
      <x:c r="N685" s="16" t="str">
        <x:v>Site haritası ürün sayfası</x:v>
      </x:c>
      <x:c r="O685" s="16" t="str">
        <x:v>Orta</x:v>
      </x:c>
      <x:c r="P685" s="19" t="n">
        <x:v>46245</x:v>
      </x:c>
      <x:c r="Q685" s="20" t="str">
        <x:v>https://fugacoffee.co/tr/cekirdek-kahve-250-gr</x:v>
      </x:c>
      <x:c r="R685" s="20" t="str">
        <x:v>Ürün kimliği korundu; eksik alanlar erişilemedi olarak işaretlenecek.</x:v>
      </x:c>
    </x:row>
    <x:row r="686" ht="40" customHeight="1">
      <x:c r="A686" s="16" t="str">
        <x:v>Fuga Coffee</x:v>
      </x:c>
      <x:c r="B686" s="16" t="str">
        <x:v>İstanbul</x:v>
      </x:c>
      <x:c r="C686" s="16" t="str">
        <x:v>Doğrulandı</x:v>
      </x:c>
      <x:c r="D686" s="16" t="str">
        <x:v>Ürün kaydı</x:v>
      </x:c>
      <x:c r="E686" s="16" t="str">
        <x:v>Ethiopia Uraga</x:v>
      </x:c>
      <x:c r="F686" s="16" t="str">
        <x:v>Etiyopya</x:v>
      </x:c>
      <x:c r="G686" s="17" t="str">
        <x:v>Erişilemedi</x:v>
      </x:c>
      <x:c r="H686" s="16" t="str">
        <x:v>Erişilemedi</x:v>
      </x:c>
      <x:c r="I686" s="18" t="n">
        <x:v>0</x:v>
      </x:c>
      <x:c r="J686" s="18" t="str">
        <x:v>Erişilemedi</x:v>
      </x:c>
      <x:c r="K686" s="18" t="str">
        <x:f>IF(AND(ISNUMBER(G686),ISNUMBER(I686)),I686/G686*1000,"Erişilemedi")</x:f>
        <x:v>Erişilemedi</x:v>
      </x:c>
      <x:c r="L686" s="16" t="str">
        <x:v>Belirsiz</x:v>
      </x:c>
      <x:c r="M686" s="16" t="str">
        <x:v>Kahve ürünü</x:v>
      </x:c>
      <x:c r="N686" s="16" t="str">
        <x:v>Site haritası ürün sayfası</x:v>
      </x:c>
      <x:c r="O686" s="16" t="str">
        <x:v>Düşük</x:v>
      </x:c>
      <x:c r="P686" s="19" t="n">
        <x:v>46245</x:v>
      </x:c>
      <x:c r="Q686" s="20" t="str">
        <x:v>https://fugacoffee.co/en/product/ethiopia-uraga</x:v>
      </x:c>
      <x:c r="R686" s="20" t="str">
        <x:v>Ürün kimliği korundu; eksik alanlar erişilemedi olarak işaretlenecek.</x:v>
      </x:c>
    </x:row>
    <x:row r="687" ht="40" customHeight="1">
      <x:c r="A687" s="16" t="str">
        <x:v>Fuga Coffee</x:v>
      </x:c>
      <x:c r="B687" s="16" t="str"/>
      <x:c r="C687" s="16" t="str">
        <x:v>Pilot doğrulaması</x:v>
      </x:c>
      <x:c r="D687" s="16" t="str">
        <x:v>Ürün kaydı</x:v>
      </x:c>
      <x:c r="E687" s="16" t="str">
        <x:v>Ethiopia Uraga</x:v>
      </x:c>
      <x:c r="F687" s="16" t="str">
        <x:v>Etiyopya</x:v>
      </x:c>
      <x:c r="G687" s="17" t="n">
        <x:v>250</x:v>
      </x:c>
      <x:c r="H687" s="16" t="str">
        <x:v>Erişildi</x:v>
      </x:c>
      <x:c r="I687" s="18" t="n">
        <x:v>840</x:v>
      </x:c>
      <x:c r="J687" s="18" t="str">
        <x:v>Erişildi</x:v>
      </x:c>
      <x:c r="K687" s="18" t="n">
        <x:f>IF(AND(ISNUMBER(G687),ISNUMBER(I687)),I687/G687*1000,"Erişilemedi")</x:f>
        <x:v>3360</x:v>
      </x:c>
      <x:c r="L687" s="16" t="str">
        <x:v>Stokta</x:v>
      </x:c>
      <x:c r="M687" s="16" t="str">
        <x:v>Tek köken</x:v>
      </x:c>
      <x:c r="N687" s="16" t="str">
        <x:v>Pilot manuel/API doğrulaması</x:v>
      </x:c>
      <x:c r="O687" s="16" t="str">
        <x:v>Yüksek</x:v>
      </x:c>
      <x:c r="P687" s="19" t="n">
        <x:v>46245</x:v>
      </x:c>
      <x:c r="Q687" s="20" t="str">
        <x:v>https://fugacoffee.co/en</x:v>
      </x:c>
      <x:c r="R687" s="20" t="str"/>
    </x:row>
    <x:row r="688" ht="40" customHeight="1">
      <x:c r="A688" s="16" t="str">
        <x:v>Fuga Coffee</x:v>
      </x:c>
      <x:c r="B688" s="16" t="str">
        <x:v>İstanbul</x:v>
      </x:c>
      <x:c r="C688" s="16" t="str">
        <x:v>Doğrulandı</x:v>
      </x:c>
      <x:c r="D688" s="16" t="str">
        <x:v>Ürün kaydı</x:v>
      </x:c>
      <x:c r="E688" s="16" t="str">
        <x:v>Etiyopya Uraga</x:v>
      </x:c>
      <x:c r="F688" s="16" t="str">
        <x:v>Etiyopya</x:v>
      </x:c>
      <x:c r="G688" s="17" t="str">
        <x:v>Erişilemedi</x:v>
      </x:c>
      <x:c r="H688" s="16" t="str">
        <x:v>Erişilemedi</x:v>
      </x:c>
      <x:c r="I688" s="18" t="n">
        <x:v>1000</x:v>
      </x:c>
      <x:c r="J688" s="18" t="str">
        <x:v>Erişildi</x:v>
      </x:c>
      <x:c r="K688" s="18" t="str">
        <x:f>IF(AND(ISNUMBER(G688),ISNUMBER(I688)),I688/G688*1000,"Erişilemedi")</x:f>
        <x:v>Erişilemedi</x:v>
      </x:c>
      <x:c r="L688" s="16" t="str">
        <x:v>Belirsiz</x:v>
      </x:c>
      <x:c r="M688" s="16" t="str">
        <x:v>Kahve ürünü</x:v>
      </x:c>
      <x:c r="N688" s="16" t="str">
        <x:v>Site haritası ürün sayfası</x:v>
      </x:c>
      <x:c r="O688" s="16" t="str">
        <x:v>Düşük</x:v>
      </x:c>
      <x:c r="P688" s="19" t="n">
        <x:v>46245</x:v>
      </x:c>
      <x:c r="Q688" s="20" t="str">
        <x:v>https://fugacoffee.co/tr/urun/etiyopya-uraga</x:v>
      </x:c>
      <x:c r="R688" s="20" t="str">
        <x:v>Ürün kimliği korundu; eksik alanlar erişilemedi olarak işaretlenecek.</x:v>
      </x:c>
    </x:row>
    <x:row r="689" ht="40" customHeight="1">
      <x:c r="A689" s="16" t="str">
        <x:v>Fuga Coffee</x:v>
      </x:c>
      <x:c r="B689" s="16" t="str">
        <x:v>İstanbul</x:v>
      </x:c>
      <x:c r="C689" s="16" t="str">
        <x:v>Doğrulandı</x:v>
      </x:c>
      <x:c r="D689" s="16" t="str">
        <x:v>Ürün kaydı</x:v>
      </x:c>
      <x:c r="E689" s="16" t="str">
        <x:v>Find Your Coffee</x:v>
      </x:c>
      <x:c r="F689" s="16" t="str">
        <x:v>Menşe belirtilmemiş</x:v>
      </x:c>
      <x:c r="G689" s="17" t="str">
        <x:v>Erişilemedi</x:v>
      </x:c>
      <x:c r="H689" s="16" t="str">
        <x:v>Erişilemedi</x:v>
      </x:c>
      <x:c r="I689" s="18" t="n">
        <x:v>0</x:v>
      </x:c>
      <x:c r="J689" s="18" t="str">
        <x:v>Erişilemedi</x:v>
      </x:c>
      <x:c r="K689" s="18" t="str">
        <x:f>IF(AND(ISNUMBER(G689),ISNUMBER(I689)),I689/G689*1000,"Erişilemedi")</x:f>
        <x:v>Erişilemedi</x:v>
      </x:c>
      <x:c r="L689" s="16" t="str">
        <x:v>Belirsiz</x:v>
      </x:c>
      <x:c r="M689" s="16" t="str">
        <x:v>Kahve ürünü</x:v>
      </x:c>
      <x:c r="N689" s="16" t="str">
        <x:v>Site haritası ürün sayfası</x:v>
      </x:c>
      <x:c r="O689" s="16" t="str">
        <x:v>Düşük</x:v>
      </x:c>
      <x:c r="P689" s="19" t="n">
        <x:v>46245</x:v>
      </x:c>
      <x:c r="Q689" s="20" t="str">
        <x:v>https://fugacoffee.co/en/find-your-coffee</x:v>
      </x:c>
      <x:c r="R689" s="20" t="str">
        <x:v>Ürün kimliği korundu; eksik alanlar erişilemedi olarak işaretlenecek.</x:v>
      </x:c>
    </x:row>
    <x:row r="690" ht="40" customHeight="1">
      <x:c r="A690" s="16" t="str">
        <x:v>Fuga Coffee</x:v>
      </x:c>
      <x:c r="B690" s="16" t="str">
        <x:v>İstanbul</x:v>
      </x:c>
      <x:c r="C690" s="16" t="str">
        <x:v>Doğrulandı</x:v>
      </x:c>
      <x:c r="D690" s="16" t="str">
        <x:v>Ürün kaydı</x:v>
      </x:c>
      <x:c r="E690" s="16" t="str">
        <x:v>Fuga Ailesine Katıl</x:v>
      </x:c>
      <x:c r="F690" s="16" t="str">
        <x:v>Menşe belirtilmemiş</x:v>
      </x:c>
      <x:c r="G690" s="17" t="str">
        <x:v>Erişilemedi</x:v>
      </x:c>
      <x:c r="H690" s="16" t="str">
        <x:v>Erişilemedi</x:v>
      </x:c>
      <x:c r="I690" s="18" t="n">
        <x:v>1000</x:v>
      </x:c>
      <x:c r="J690" s="18" t="str">
        <x:v>Erişildi</x:v>
      </x:c>
      <x:c r="K690" s="18" t="str">
        <x:f>IF(AND(ISNUMBER(G690),ISNUMBER(I690)),I690/G690*1000,"Erişilemedi")</x:f>
        <x:v>Erişilemedi</x:v>
      </x:c>
      <x:c r="L690" s="16" t="str">
        <x:v>Belirsiz</x:v>
      </x:c>
      <x:c r="M690" s="16" t="str">
        <x:v>Kahve ürünü</x:v>
      </x:c>
      <x:c r="N690" s="16" t="str">
        <x:v>Site haritası ürün sayfası</x:v>
      </x:c>
      <x:c r="O690" s="16" t="str">
        <x:v>Düşük</x:v>
      </x:c>
      <x:c r="P690" s="19" t="n">
        <x:v>46245</x:v>
      </x:c>
      <x:c r="Q690" s="20" t="str">
        <x:v>https://fugacoffee.co/tr/kariyer</x:v>
      </x:c>
      <x:c r="R690" s="20" t="str">
        <x:v>Ürün kimliği korundu; eksik alanlar erişilemedi olarak işaretlenecek.</x:v>
      </x:c>
    </x:row>
    <x:row r="691" ht="40" customHeight="1">
      <x:c r="A691" s="16" t="str">
        <x:v>Fuga Coffee</x:v>
      </x:c>
      <x:c r="B691" s="16" t="str"/>
      <x:c r="C691" s="16" t="str">
        <x:v>Pilot doğrulaması</x:v>
      </x:c>
      <x:c r="D691" s="16" t="str">
        <x:v>Ürün kaydı</x:v>
      </x:c>
      <x:c r="E691" s="16" t="str">
        <x:v>Honduras Caviflor</x:v>
      </x:c>
      <x:c r="F691" s="16" t="str">
        <x:v>Honduras</x:v>
      </x:c>
      <x:c r="G691" s="17" t="n">
        <x:v>250</x:v>
      </x:c>
      <x:c r="H691" s="16" t="str">
        <x:v>Erişildi</x:v>
      </x:c>
      <x:c r="I691" s="18" t="n">
        <x:v>610</x:v>
      </x:c>
      <x:c r="J691" s="18" t="str">
        <x:v>Erişildi</x:v>
      </x:c>
      <x:c r="K691" s="18" t="n">
        <x:f>IF(AND(ISNUMBER(G691),ISNUMBER(I691)),I691/G691*1000,"Erişilemedi")</x:f>
        <x:v>2440</x:v>
      </x:c>
      <x:c r="L691" s="16" t="str">
        <x:v>Stokta</x:v>
      </x:c>
      <x:c r="M691" s="16" t="str">
        <x:v>Tek köken</x:v>
      </x:c>
      <x:c r="N691" s="16" t="str">
        <x:v>Pilot manuel/API doğrulaması</x:v>
      </x:c>
      <x:c r="O691" s="16" t="str">
        <x:v>Yüksek</x:v>
      </x:c>
      <x:c r="P691" s="19" t="n">
        <x:v>46245</x:v>
      </x:c>
      <x:c r="Q691" s="20" t="str">
        <x:v>https://fugacoffee.co/en</x:v>
      </x:c>
      <x:c r="R691" s="20" t="str"/>
    </x:row>
    <x:row r="692" ht="40" customHeight="1">
      <x:c r="A692" s="16" t="str">
        <x:v>Fuga Coffee</x:v>
      </x:c>
      <x:c r="B692" s="16" t="str">
        <x:v>İstanbul</x:v>
      </x:c>
      <x:c r="C692" s="16" t="str">
        <x:v>Doğrulandı</x:v>
      </x:c>
      <x:c r="D692" s="16" t="str">
        <x:v>Ürün kaydı</x:v>
      </x:c>
      <x:c r="E692" s="16" t="str">
        <x:v>İş Ortağımız Olun</x:v>
      </x:c>
      <x:c r="F692" s="16" t="str">
        <x:v>Menşe belirtilmemiş</x:v>
      </x:c>
      <x:c r="G692" s="17" t="str">
        <x:v>Erişilemedi</x:v>
      </x:c>
      <x:c r="H692" s="16" t="str">
        <x:v>Erişilemedi</x:v>
      </x:c>
      <x:c r="I692" s="18" t="n">
        <x:v>1000</x:v>
      </x:c>
      <x:c r="J692" s="18" t="str">
        <x:v>Erişildi</x:v>
      </x:c>
      <x:c r="K692" s="18" t="str">
        <x:f>IF(AND(ISNUMBER(G692),ISNUMBER(I692)),I692/G692*1000,"Erişilemedi")</x:f>
        <x:v>Erişilemedi</x:v>
      </x:c>
      <x:c r="L692" s="16" t="str">
        <x:v>Belirsiz</x:v>
      </x:c>
      <x:c r="M692" s="16" t="str">
        <x:v>Kahve ürünü</x:v>
      </x:c>
      <x:c r="N692" s="16" t="str">
        <x:v>Site haritası ürün sayfası</x:v>
      </x:c>
      <x:c r="O692" s="16" t="str">
        <x:v>Düşük</x:v>
      </x:c>
      <x:c r="P692" s="19" t="n">
        <x:v>46245</x:v>
      </x:c>
      <x:c r="Q692" s="20" t="str">
        <x:v>https://fugacoffee.co/tr/toptan-satis</x:v>
      </x:c>
      <x:c r="R692" s="20" t="str">
        <x:v>Ürün kimliği korundu; eksik alanlar erişilemedi olarak işaretlenecek.</x:v>
      </x:c>
    </x:row>
    <x:row r="693" ht="40" customHeight="1">
      <x:c r="A693" s="16" t="str">
        <x:v>Fuga Coffee</x:v>
      </x:c>
      <x:c r="B693" s="16" t="str">
        <x:v>İstanbul</x:v>
      </x:c>
      <x:c r="C693" s="16" t="str">
        <x:v>Doğrulandı</x:v>
      </x:c>
      <x:c r="D693" s="16" t="str">
        <x:v>Ürün kaydı</x:v>
      </x:c>
      <x:c r="E693" s="16" t="str">
        <x:v>Join the Fuga Family</x:v>
      </x:c>
      <x:c r="F693" s="16" t="str">
        <x:v>Menşe belirtilmemiş</x:v>
      </x:c>
      <x:c r="G693" s="17" t="str">
        <x:v>Erişilemedi</x:v>
      </x:c>
      <x:c r="H693" s="16" t="str">
        <x:v>Erişilemedi</x:v>
      </x:c>
      <x:c r="I693" s="18" t="n">
        <x:v>0</x:v>
      </x:c>
      <x:c r="J693" s="18" t="str">
        <x:v>Erişilemedi</x:v>
      </x:c>
      <x:c r="K693" s="18" t="str">
        <x:f>IF(AND(ISNUMBER(G693),ISNUMBER(I693)),I693/G693*1000,"Erişilemedi")</x:f>
        <x:v>Erişilemedi</x:v>
      </x:c>
      <x:c r="L693" s="16" t="str">
        <x:v>Belirsiz</x:v>
      </x:c>
      <x:c r="M693" s="16" t="str">
        <x:v>Kahve ürünü</x:v>
      </x:c>
      <x:c r="N693" s="16" t="str">
        <x:v>Site haritası ürün sayfası</x:v>
      </x:c>
      <x:c r="O693" s="16" t="str">
        <x:v>Düşük</x:v>
      </x:c>
      <x:c r="P693" s="19" t="n">
        <x:v>46245</x:v>
      </x:c>
      <x:c r="Q693" s="20" t="str">
        <x:v>https://fugacoffee.co/en/careers</x:v>
      </x:c>
      <x:c r="R693" s="20" t="str">
        <x:v>Ürün kimliği korundu; eksik alanlar erişilemedi olarak işaretlenecek.</x:v>
      </x:c>
    </x:row>
    <x:row r="694" ht="40" customHeight="1">
      <x:c r="A694" s="16" t="str">
        <x:v>Fuga Coffee</x:v>
      </x:c>
      <x:c r="B694" s="16" t="str">
        <x:v>İstanbul</x:v>
      </x:c>
      <x:c r="C694" s="16" t="str">
        <x:v>Doğrulandı</x:v>
      </x:c>
      <x:c r="D694" s="16" t="str">
        <x:v>Ürün kaydı</x:v>
      </x:c>
      <x:c r="E694" s="16" t="str">
        <x:v>Kaçışın kahvesi</x:v>
      </x:c>
      <x:c r="F694" s="16" t="str">
        <x:v>Menşe belirtilmemiş</x:v>
      </x:c>
      <x:c r="G694" s="17" t="str">
        <x:v>Erişilemedi</x:v>
      </x:c>
      <x:c r="H694" s="16" t="str">
        <x:v>Erişilemedi</x:v>
      </x:c>
      <x:c r="I694" s="18" t="n">
        <x:v>1000</x:v>
      </x:c>
      <x:c r="J694" s="18" t="str">
        <x:v>Erişildi</x:v>
      </x:c>
      <x:c r="K694" s="18" t="str">
        <x:f>IF(AND(ISNUMBER(G694),ISNUMBER(I694)),I694/G694*1000,"Erişilemedi")</x:f>
        <x:v>Erişilemedi</x:v>
      </x:c>
      <x:c r="L694" s="16" t="str">
        <x:v>Belirsiz</x:v>
      </x:c>
      <x:c r="M694" s="16" t="str">
        <x:v>Kahve ürünü</x:v>
      </x:c>
      <x:c r="N694" s="16" t="str">
        <x:v>Site haritası ürün sayfası</x:v>
      </x:c>
      <x:c r="O694" s="16" t="str">
        <x:v>Düşük</x:v>
      </x:c>
      <x:c r="P694" s="19" t="n">
        <x:v>46245</x:v>
      </x:c>
      <x:c r="Q694" s="20" t="str">
        <x:v>https://fugacoffee.co/tr/hakkimizda</x:v>
      </x:c>
      <x:c r="R694" s="20" t="str">
        <x:v>Ürün kimliği korundu; eksik alanlar erişilemedi olarak işaretlenecek.</x:v>
      </x:c>
    </x:row>
    <x:row r="695" ht="40" customHeight="1">
      <x:c r="A695" s="16" t="str">
        <x:v>Fuga Coffee</x:v>
      </x:c>
      <x:c r="B695" s="16" t="str">
        <x:v>İstanbul</x:v>
      </x:c>
      <x:c r="C695" s="16" t="str">
        <x:v>Doğrulandı</x:v>
      </x:c>
      <x:c r="D695" s="16" t="str">
        <x:v>Ürün kaydı</x:v>
      </x:c>
      <x:c r="E695" s="16" t="str">
        <x:v>Kahve Koleksiyonu</x:v>
      </x:c>
      <x:c r="F695" s="16" t="str">
        <x:v>Etiyopya | Kolombiya | Kenya</x:v>
      </x:c>
      <x:c r="G695" s="17" t="str">
        <x:v>Erişilemedi</x:v>
      </x:c>
      <x:c r="H695" s="16" t="str">
        <x:v>Erişilemedi</x:v>
      </x:c>
      <x:c r="I695" s="18" t="n">
        <x:v>1000</x:v>
      </x:c>
      <x:c r="J695" s="18" t="str">
        <x:v>Erişildi</x:v>
      </x:c>
      <x:c r="K695" s="18" t="str">
        <x:f>IF(AND(ISNUMBER(G695),ISNUMBER(I695)),I695/G695*1000,"Erişilemedi")</x:f>
        <x:v>Erişilemedi</x:v>
      </x:c>
      <x:c r="L695" s="16" t="str">
        <x:v>Belirsiz</x:v>
      </x:c>
      <x:c r="M695" s="16" t="str">
        <x:v>Kahve ürünü</x:v>
      </x:c>
      <x:c r="N695" s="16" t="str">
        <x:v>Site haritası ürün sayfası</x:v>
      </x:c>
      <x:c r="O695" s="16" t="str">
        <x:v>Düşük</x:v>
      </x:c>
      <x:c r="P695" s="19" t="n">
        <x:v>46245</x:v>
      </x:c>
      <x:c r="Q695" s="20" t="str">
        <x:v>https://fugacoffee.co/tr/urunler</x:v>
      </x:c>
      <x:c r="R695" s="20" t="str">
        <x:v>Ürün kimliği korundu; eksik alanlar erişilemedi olarak işaretlenecek.</x:v>
      </x:c>
    </x:row>
    <x:row r="696" ht="40" customHeight="1">
      <x:c r="A696" s="16" t="str">
        <x:v>Fuga Coffee</x:v>
      </x:c>
      <x:c r="B696" s="16" t="str">
        <x:v>İstanbul</x:v>
      </x:c>
      <x:c r="C696" s="16" t="str">
        <x:v>Doğrulandı</x:v>
      </x:c>
      <x:c r="D696" s="16" t="str">
        <x:v>Ürün kaydı</x:v>
      </x:c>
      <x:c r="E696" s="16" t="str">
        <x:v>Kahve Rehberi</x:v>
      </x:c>
      <x:c r="F696" s="16" t="str">
        <x:v>Menşe belirtilmemiş</x:v>
      </x:c>
      <x:c r="G696" s="17" t="str">
        <x:v>Erişilemedi</x:v>
      </x:c>
      <x:c r="H696" s="16" t="str">
        <x:v>Erişilemedi</x:v>
      </x:c>
      <x:c r="I696" s="18" t="n">
        <x:v>1000</x:v>
      </x:c>
      <x:c r="J696" s="18" t="str">
        <x:v>Erişildi</x:v>
      </x:c>
      <x:c r="K696" s="18" t="str">
        <x:f>IF(AND(ISNUMBER(G696),ISNUMBER(I696)),I696/G696*1000,"Erişilemedi")</x:f>
        <x:v>Erişilemedi</x:v>
      </x:c>
      <x:c r="L696" s="16" t="str">
        <x:v>Belirsiz</x:v>
      </x:c>
      <x:c r="M696" s="16" t="str">
        <x:v>Kahve ürünü</x:v>
      </x:c>
      <x:c r="N696" s="16" t="str">
        <x:v>Site haritası ürün sayfası</x:v>
      </x:c>
      <x:c r="O696" s="16" t="str">
        <x:v>Düşük</x:v>
      </x:c>
      <x:c r="P696" s="19" t="n">
        <x:v>46245</x:v>
      </x:c>
      <x:c r="Q696" s="20" t="str">
        <x:v>https://fugacoffee.co/tr/kahve-rehberi</x:v>
      </x:c>
      <x:c r="R696" s="20" t="str">
        <x:v>Ürün kimliği korundu; eksik alanlar erişilemedi olarak işaretlenecek.</x:v>
      </x:c>
    </x:row>
    <x:row r="697" ht="40" customHeight="1">
      <x:c r="A697" s="16" t="str">
        <x:v>Fuga Coffee</x:v>
      </x:c>
      <x:c r="B697" s="16" t="str">
        <x:v>İstanbul</x:v>
      </x:c>
      <x:c r="C697" s="16" t="str">
        <x:v>Doğrulandı</x:v>
      </x:c>
      <x:c r="D697" s="16" t="str">
        <x:v>Ürün kaydı</x:v>
      </x:c>
      <x:c r="E697" s="16" t="str">
        <x:v>Kahveni Bul</x:v>
      </x:c>
      <x:c r="F697" s="16" t="str">
        <x:v>Menşe belirtilmemiş</x:v>
      </x:c>
      <x:c r="G697" s="17" t="str">
        <x:v>Erişilemedi</x:v>
      </x:c>
      <x:c r="H697" s="16" t="str">
        <x:v>Erişilemedi</x:v>
      </x:c>
      <x:c r="I697" s="18" t="n">
        <x:v>1000</x:v>
      </x:c>
      <x:c r="J697" s="18" t="str">
        <x:v>Erişildi</x:v>
      </x:c>
      <x:c r="K697" s="18" t="str">
        <x:f>IF(AND(ISNUMBER(G697),ISNUMBER(I697)),I697/G697*1000,"Erişilemedi")</x:f>
        <x:v>Erişilemedi</x:v>
      </x:c>
      <x:c r="L697" s="16" t="str">
        <x:v>Belirsiz</x:v>
      </x:c>
      <x:c r="M697" s="16" t="str">
        <x:v>Kahve ürünü</x:v>
      </x:c>
      <x:c r="N697" s="16" t="str">
        <x:v>Site haritası ürün sayfası</x:v>
      </x:c>
      <x:c r="O697" s="16" t="str">
        <x:v>Düşük</x:v>
      </x:c>
      <x:c r="P697" s="19" t="n">
        <x:v>46245</x:v>
      </x:c>
      <x:c r="Q697" s="20" t="str">
        <x:v>https://fugacoffee.co/tr/kahveni-bul</x:v>
      </x:c>
      <x:c r="R697" s="20" t="str">
        <x:v>Ürün kimliği korundu; eksik alanlar erişilemedi olarak işaretlenecek.</x:v>
      </x:c>
    </x:row>
    <x:row r="698" ht="40" customHeight="1">
      <x:c r="A698" s="16" t="str">
        <x:v>Fuga Coffee</x:v>
      </x:c>
      <x:c r="B698" s="16" t="str">
        <x:v>İstanbul</x:v>
      </x:c>
      <x:c r="C698" s="16" t="str">
        <x:v>Doğrulandı</x:v>
      </x:c>
      <x:c r="D698" s="16" t="str">
        <x:v>Ürün kaydı</x:v>
      </x:c>
      <x:c r="E698" s="16" t="str">
        <x:v>Kenya Karumandi</x:v>
      </x:c>
      <x:c r="F698" s="16" t="str">
        <x:v>Kenya</x:v>
      </x:c>
      <x:c r="G698" s="17" t="str">
        <x:v>Erişilemedi</x:v>
      </x:c>
      <x:c r="H698" s="16" t="str">
        <x:v>Erişilemedi</x:v>
      </x:c>
      <x:c r="I698" s="18" t="n">
        <x:v>1000</x:v>
      </x:c>
      <x:c r="J698" s="18" t="str">
        <x:v>Erişildi</x:v>
      </x:c>
      <x:c r="K698" s="18" t="str">
        <x:f>IF(AND(ISNUMBER(G698),ISNUMBER(I698)),I698/G698*1000,"Erişilemedi")</x:f>
        <x:v>Erişilemedi</x:v>
      </x:c>
      <x:c r="L698" s="16" t="str">
        <x:v>Belirsiz</x:v>
      </x:c>
      <x:c r="M698" s="16" t="str">
        <x:v>Kahve ürünü</x:v>
      </x:c>
      <x:c r="N698" s="16" t="str">
        <x:v>Site haritası ürün sayfası</x:v>
      </x:c>
      <x:c r="O698" s="16" t="str">
        <x:v>Düşük</x:v>
      </x:c>
      <x:c r="P698" s="19" t="n">
        <x:v>46245</x:v>
      </x:c>
      <x:c r="Q698" s="20" t="str">
        <x:v>https://fugacoffee.co/tr/urun/kenya-karumandi</x:v>
      </x:c>
      <x:c r="R698" s="20" t="str">
        <x:v>Ürün kimliği korundu; eksik alanlar erişilemedi olarak işaretlenecek.</x:v>
      </x:c>
    </x:row>
    <x:row r="699" ht="40" customHeight="1">
      <x:c r="A699" s="16" t="str">
        <x:v>Fuga Coffee</x:v>
      </x:c>
      <x:c r="B699" s="16" t="str">
        <x:v>İstanbul</x:v>
      </x:c>
      <x:c r="C699" s="16" t="str">
        <x:v>Doğrulandı</x:v>
      </x:c>
      <x:c r="D699" s="16" t="str">
        <x:v>Ürün kaydı</x:v>
      </x:c>
      <x:c r="E699" s="16" t="str">
        <x:v>Kenya Karumandi</x:v>
      </x:c>
      <x:c r="F699" s="16" t="str">
        <x:v>Kenya</x:v>
      </x:c>
      <x:c r="G699" s="17" t="str">
        <x:v>Erişilemedi</x:v>
      </x:c>
      <x:c r="H699" s="16" t="str">
        <x:v>Erişilemedi</x:v>
      </x:c>
      <x:c r="I699" s="18" t="n">
        <x:v>0</x:v>
      </x:c>
      <x:c r="J699" s="18" t="str">
        <x:v>Erişilemedi</x:v>
      </x:c>
      <x:c r="K699" s="18" t="str">
        <x:f>IF(AND(ISNUMBER(G699),ISNUMBER(I699)),I699/G699*1000,"Erişilemedi")</x:f>
        <x:v>Erişilemedi</x:v>
      </x:c>
      <x:c r="L699" s="16" t="str">
        <x:v>Belirsiz</x:v>
      </x:c>
      <x:c r="M699" s="16" t="str">
        <x:v>Kahve ürünü</x:v>
      </x:c>
      <x:c r="N699" s="16" t="str">
        <x:v>Site haritası ürün sayfası</x:v>
      </x:c>
      <x:c r="O699" s="16" t="str">
        <x:v>Düşük</x:v>
      </x:c>
      <x:c r="P699" s="19" t="n">
        <x:v>46245</x:v>
      </x:c>
      <x:c r="Q699" s="20" t="str">
        <x:v>https://fugacoffee.co/en/product/kenya-karumandi</x:v>
      </x:c>
      <x:c r="R699" s="20" t="str">
        <x:v>Ürün kimliği korundu; eksik alanlar erişilemedi olarak işaretlenecek.</x:v>
      </x:c>
    </x:row>
    <x:row r="700" ht="40" customHeight="1">
      <x:c r="A700" s="16" t="str">
        <x:v>Fuga Coffee</x:v>
      </x:c>
      <x:c r="B700" s="16" t="str"/>
      <x:c r="C700" s="16" t="str">
        <x:v>Pilot doğrulaması</x:v>
      </x:c>
      <x:c r="D700" s="16" t="str">
        <x:v>Ürün kaydı</x:v>
      </x:c>
      <x:c r="E700" s="16" t="str">
        <x:v>Kenya Karumandi</x:v>
      </x:c>
      <x:c r="F700" s="16" t="str">
        <x:v>Kenya</x:v>
      </x:c>
      <x:c r="G700" s="17" t="n">
        <x:v>250</x:v>
      </x:c>
      <x:c r="H700" s="16" t="str">
        <x:v>Erişildi</x:v>
      </x:c>
      <x:c r="I700" s="18" t="n">
        <x:v>890</x:v>
      </x:c>
      <x:c r="J700" s="18" t="str">
        <x:v>Erişildi</x:v>
      </x:c>
      <x:c r="K700" s="18" t="n">
        <x:f>IF(AND(ISNUMBER(G700),ISNUMBER(I700)),I700/G700*1000,"Erişilemedi")</x:f>
        <x:v>3560</x:v>
      </x:c>
      <x:c r="L700" s="16" t="str">
        <x:v>Stokta</x:v>
      </x:c>
      <x:c r="M700" s="16" t="str">
        <x:v>Tek köken</x:v>
      </x:c>
      <x:c r="N700" s="16" t="str">
        <x:v>Pilot manuel/API doğrulaması</x:v>
      </x:c>
      <x:c r="O700" s="16" t="str">
        <x:v>Yüksek</x:v>
      </x:c>
      <x:c r="P700" s="19" t="n">
        <x:v>46245</x:v>
      </x:c>
      <x:c r="Q700" s="20" t="str">
        <x:v>https://fugacoffee.co/en</x:v>
      </x:c>
      <x:c r="R700" s="20" t="str"/>
    </x:row>
    <x:row r="701" ht="40" customHeight="1">
      <x:c r="A701" s="16" t="str">
        <x:v>Fuga Coffee</x:v>
      </x:c>
      <x:c r="B701" s="16" t="str">
        <x:v>İstanbul</x:v>
      </x:c>
      <x:c r="C701" s="16" t="str">
        <x:v>Doğrulandı</x:v>
      </x:c>
      <x:c r="D701" s="16" t="str">
        <x:v>Ürün kaydı</x:v>
      </x:c>
      <x:c r="E701" s="16" t="str">
        <x:v>Kolombiya Cundinamarca</x:v>
      </x:c>
      <x:c r="F701" s="16" t="str">
        <x:v>Kolombiya</x:v>
      </x:c>
      <x:c r="G701" s="17" t="str">
        <x:v>Erişilemedi</x:v>
      </x:c>
      <x:c r="H701" s="16" t="str">
        <x:v>Erişilemedi</x:v>
      </x:c>
      <x:c r="I701" s="18" t="n">
        <x:v>1000</x:v>
      </x:c>
      <x:c r="J701" s="18" t="str">
        <x:v>Erişildi</x:v>
      </x:c>
      <x:c r="K701" s="18" t="str">
        <x:f>IF(AND(ISNUMBER(G701),ISNUMBER(I701)),I701/G701*1000,"Erişilemedi")</x:f>
        <x:v>Erişilemedi</x:v>
      </x:c>
      <x:c r="L701" s="16" t="str">
        <x:v>Belirsiz</x:v>
      </x:c>
      <x:c r="M701" s="16" t="str">
        <x:v>Kahve ürünü</x:v>
      </x:c>
      <x:c r="N701" s="16" t="str">
        <x:v>Site haritası ürün sayfası</x:v>
      </x:c>
      <x:c r="O701" s="16" t="str">
        <x:v>Düşük</x:v>
      </x:c>
      <x:c r="P701" s="19" t="n">
        <x:v>46245</x:v>
      </x:c>
      <x:c r="Q701" s="20" t="str">
        <x:v>https://fugacoffee.co/tr/urun/colombia-cundinamarca</x:v>
      </x:c>
      <x:c r="R701" s="20" t="str">
        <x:v>Ürün kimliği korundu; eksik alanlar erişilemedi olarak işaretlenecek.</x:v>
      </x:c>
    </x:row>
    <x:row r="702" ht="40" customHeight="1">
      <x:c r="A702" s="16" t="str">
        <x:v>Fuga Coffee</x:v>
      </x:c>
      <x:c r="B702" s="16" t="str">
        <x:v>İstanbul</x:v>
      </x:c>
      <x:c r="C702" s="16" t="str">
        <x:v>Doğrulandı</x:v>
      </x:c>
      <x:c r="D702" s="16" t="str">
        <x:v>Ürün kaydı</x:v>
      </x:c>
      <x:c r="E702" s="16" t="str">
        <x:v>Our Locations</x:v>
      </x:c>
      <x:c r="F702" s="16" t="str">
        <x:v>Menşe belirtilmemiş</x:v>
      </x:c>
      <x:c r="G702" s="17" t="str">
        <x:v>Erişilemedi</x:v>
      </x:c>
      <x:c r="H702" s="16" t="str">
        <x:v>Erişilemedi</x:v>
      </x:c>
      <x:c r="I702" s="18" t="n">
        <x:v>0</x:v>
      </x:c>
      <x:c r="J702" s="18" t="str">
        <x:v>Erişilemedi</x:v>
      </x:c>
      <x:c r="K702" s="18" t="str">
        <x:f>IF(AND(ISNUMBER(G702),ISNUMBER(I702)),I702/G702*1000,"Erişilemedi")</x:f>
        <x:v>Erişilemedi</x:v>
      </x:c>
      <x:c r="L702" s="16" t="str">
        <x:v>Belirsiz</x:v>
      </x:c>
      <x:c r="M702" s="16" t="str">
        <x:v>Kahve ürünü</x:v>
      </x:c>
      <x:c r="N702" s="16" t="str">
        <x:v>Site haritası ürün sayfası</x:v>
      </x:c>
      <x:c r="O702" s="16" t="str">
        <x:v>Düşük</x:v>
      </x:c>
      <x:c r="P702" s="19" t="n">
        <x:v>46245</x:v>
      </x:c>
      <x:c r="Q702" s="20" t="str">
        <x:v>https://fugacoffee.co/en/locations</x:v>
      </x:c>
      <x:c r="R702" s="20" t="str">
        <x:v>Ürün kimliği korundu; eksik alanlar erişilemedi olarak işaretlenecek.</x:v>
      </x:c>
    </x:row>
    <x:row r="703" ht="40" customHeight="1">
      <x:c r="A703" s="16" t="str">
        <x:v>Fuga Coffee</x:v>
      </x:c>
      <x:c r="B703" s="16" t="str">
        <x:v>İstanbul</x:v>
      </x:c>
      <x:c r="C703" s="16" t="str">
        <x:v>Doğrulandı</x:v>
      </x:c>
      <x:c r="D703" s="16" t="str">
        <x:v>Ürün kaydı</x:v>
      </x:c>
      <x:c r="E703" s="16" t="str">
        <x:v>Peru Aprocassi</x:v>
      </x:c>
      <x:c r="F703" s="16" t="str">
        <x:v>Peru</x:v>
      </x:c>
      <x:c r="G703" s="17" t="str">
        <x:v>Erişilemedi</x:v>
      </x:c>
      <x:c r="H703" s="16" t="str">
        <x:v>Erişilemedi</x:v>
      </x:c>
      <x:c r="I703" s="18" t="n">
        <x:v>1000</x:v>
      </x:c>
      <x:c r="J703" s="18" t="str">
        <x:v>Erişildi</x:v>
      </x:c>
      <x:c r="K703" s="18" t="str">
        <x:f>IF(AND(ISNUMBER(G703),ISNUMBER(I703)),I703/G703*1000,"Erişilemedi")</x:f>
        <x:v>Erişilemedi</x:v>
      </x:c>
      <x:c r="L703" s="16" t="str">
        <x:v>Belirsiz</x:v>
      </x:c>
      <x:c r="M703" s="16" t="str">
        <x:v>Kahve ürünü</x:v>
      </x:c>
      <x:c r="N703" s="16" t="str">
        <x:v>Site haritası ürün sayfası</x:v>
      </x:c>
      <x:c r="O703" s="16" t="str">
        <x:v>Düşük</x:v>
      </x:c>
      <x:c r="P703" s="19" t="n">
        <x:v>46245</x:v>
      </x:c>
      <x:c r="Q703" s="20" t="str">
        <x:v>https://fugacoffee.co/tr/urun/peru-aprocassi</x:v>
      </x:c>
      <x:c r="R703" s="20" t="str">
        <x:v>Ürün kimliği korundu; eksik alanlar erişilemedi olarak işaretlenecek.</x:v>
      </x:c>
    </x:row>
    <x:row r="704" ht="40" customHeight="1">
      <x:c r="A704" s="16" t="str">
        <x:v>Fuga Coffee</x:v>
      </x:c>
      <x:c r="B704" s="16" t="str">
        <x:v>İstanbul</x:v>
      </x:c>
      <x:c r="C704" s="16" t="str">
        <x:v>Doğrulandı</x:v>
      </x:c>
      <x:c r="D704" s="16" t="str">
        <x:v>Ürün kaydı</x:v>
      </x:c>
      <x:c r="E704" s="16" t="str">
        <x:v>Peru Aprocassi</x:v>
      </x:c>
      <x:c r="F704" s="16" t="str">
        <x:v>Peru</x:v>
      </x:c>
      <x:c r="G704" s="17" t="str">
        <x:v>Erişilemedi</x:v>
      </x:c>
      <x:c r="H704" s="16" t="str">
        <x:v>Erişilemedi</x:v>
      </x:c>
      <x:c r="I704" s="18" t="n">
        <x:v>0</x:v>
      </x:c>
      <x:c r="J704" s="18" t="str">
        <x:v>Erişilemedi</x:v>
      </x:c>
      <x:c r="K704" s="18" t="str">
        <x:f>IF(AND(ISNUMBER(G704),ISNUMBER(I704)),I704/G704*1000,"Erişilemedi")</x:f>
        <x:v>Erişilemedi</x:v>
      </x:c>
      <x:c r="L704" s="16" t="str">
        <x:v>Belirsiz</x:v>
      </x:c>
      <x:c r="M704" s="16" t="str">
        <x:v>Kahve ürünü</x:v>
      </x:c>
      <x:c r="N704" s="16" t="str">
        <x:v>Site haritası ürün sayfası</x:v>
      </x:c>
      <x:c r="O704" s="16" t="str">
        <x:v>Düşük</x:v>
      </x:c>
      <x:c r="P704" s="19" t="n">
        <x:v>46245</x:v>
      </x:c>
      <x:c r="Q704" s="20" t="str">
        <x:v>https://fugacoffee.co/en/product/peru-aprocassi</x:v>
      </x:c>
      <x:c r="R704" s="20" t="str">
        <x:v>Ürün kimliği korundu; eksik alanlar erişilemedi olarak işaretlenecek.</x:v>
      </x:c>
    </x:row>
    <x:row r="705" ht="40" customHeight="1">
      <x:c r="A705" s="16" t="str">
        <x:v>Fuga Coffee</x:v>
      </x:c>
      <x:c r="B705" s="16" t="str"/>
      <x:c r="C705" s="16" t="str">
        <x:v>Pilot doğrulaması</x:v>
      </x:c>
      <x:c r="D705" s="16" t="str">
        <x:v>Ürün kaydı</x:v>
      </x:c>
      <x:c r="E705" s="16" t="str">
        <x:v>Peru Aprocassi</x:v>
      </x:c>
      <x:c r="F705" s="16" t="str">
        <x:v>Peru</x:v>
      </x:c>
      <x:c r="G705" s="17" t="n">
        <x:v>250</x:v>
      </x:c>
      <x:c r="H705" s="16" t="str">
        <x:v>Erişildi</x:v>
      </x:c>
      <x:c r="I705" s="18" t="n">
        <x:v>605</x:v>
      </x:c>
      <x:c r="J705" s="18" t="str">
        <x:v>Erişildi</x:v>
      </x:c>
      <x:c r="K705" s="18" t="n">
        <x:f>IF(AND(ISNUMBER(G705),ISNUMBER(I705)),I705/G705*1000,"Erişilemedi")</x:f>
        <x:v>2420</x:v>
      </x:c>
      <x:c r="L705" s="16" t="str">
        <x:v>Stokta</x:v>
      </x:c>
      <x:c r="M705" s="16" t="str">
        <x:v>Tek köken</x:v>
      </x:c>
      <x:c r="N705" s="16" t="str">
        <x:v>Pilot manuel/API doğrulaması</x:v>
      </x:c>
      <x:c r="O705" s="16" t="str">
        <x:v>Yüksek</x:v>
      </x:c>
      <x:c r="P705" s="19" t="n">
        <x:v>46245</x:v>
      </x:c>
      <x:c r="Q705" s="20" t="str">
        <x:v>https://fugacoffee.co/en</x:v>
      </x:c>
      <x:c r="R705" s="20" t="str"/>
    </x:row>
    <x:row r="706" ht="40" customHeight="1">
      <x:c r="A706" s="16" t="str">
        <x:v>Fuga Coffee</x:v>
      </x:c>
      <x:c r="B706" s="16" t="str"/>
      <x:c r="C706" s="16" t="str">
        <x:v>Pilot doğrulaması</x:v>
      </x:c>
      <x:c r="D706" s="16" t="str">
        <x:v>Ürün kaydı</x:v>
      </x:c>
      <x:c r="E706" s="16" t="str">
        <x:v>Rwanda Muhondo</x:v>
      </x:c>
      <x:c r="F706" s="16" t="str">
        <x:v>Ruanda</x:v>
      </x:c>
      <x:c r="G706" s="17" t="n">
        <x:v>250</x:v>
      </x:c>
      <x:c r="H706" s="16" t="str">
        <x:v>Erişildi</x:v>
      </x:c>
      <x:c r="I706" s="18" t="n">
        <x:v>855</x:v>
      </x:c>
      <x:c r="J706" s="18" t="str">
        <x:v>Erişildi</x:v>
      </x:c>
      <x:c r="K706" s="18" t="n">
        <x:f>IF(AND(ISNUMBER(G706),ISNUMBER(I706)),I706/G706*1000,"Erişilemedi")</x:f>
        <x:v>3420</x:v>
      </x:c>
      <x:c r="L706" s="16" t="str">
        <x:v>Stokta</x:v>
      </x:c>
      <x:c r="M706" s="16" t="str">
        <x:v>Tek köken</x:v>
      </x:c>
      <x:c r="N706" s="16" t="str">
        <x:v>Pilot manuel/API doğrulaması</x:v>
      </x:c>
      <x:c r="O706" s="16" t="str">
        <x:v>Yüksek</x:v>
      </x:c>
      <x:c r="P706" s="19" t="n">
        <x:v>46245</x:v>
      </x:c>
      <x:c r="Q706" s="20" t="str">
        <x:v>https://fugacoffee.co/en</x:v>
      </x:c>
      <x:c r="R706" s="20" t="str"/>
    </x:row>
    <x:row r="707" ht="40" customHeight="1">
      <x:c r="A707" s="16" t="str">
        <x:v>Fuga Coffee</x:v>
      </x:c>
      <x:c r="B707" s="16" t="str">
        <x:v>İstanbul</x:v>
      </x:c>
      <x:c r="C707" s="16" t="str">
        <x:v>Doğrulandı</x:v>
      </x:c>
      <x:c r="D707" s="16" t="str">
        <x:v>Ürün kaydı</x:v>
      </x:c>
      <x:c r="E707" s="16" t="str">
        <x:v>Şubelerimiz</x:v>
      </x:c>
      <x:c r="F707" s="16" t="str">
        <x:v>Menşe belirtilmemiş</x:v>
      </x:c>
      <x:c r="G707" s="17" t="str">
        <x:v>Erişilemedi</x:v>
      </x:c>
      <x:c r="H707" s="16" t="str">
        <x:v>Erişilemedi</x:v>
      </x:c>
      <x:c r="I707" s="18" t="n">
        <x:v>1000</x:v>
      </x:c>
      <x:c r="J707" s="18" t="str">
        <x:v>Erişildi</x:v>
      </x:c>
      <x:c r="K707" s="18" t="str">
        <x:f>IF(AND(ISNUMBER(G707),ISNUMBER(I707)),I707/G707*1000,"Erişilemedi")</x:f>
        <x:v>Erişilemedi</x:v>
      </x:c>
      <x:c r="L707" s="16" t="str">
        <x:v>Belirsiz</x:v>
      </x:c>
      <x:c r="M707" s="16" t="str">
        <x:v>Kahve ürünü</x:v>
      </x:c>
      <x:c r="N707" s="16" t="str">
        <x:v>Site haritası ürün sayfası</x:v>
      </x:c>
      <x:c r="O707" s="16" t="str">
        <x:v>Düşük</x:v>
      </x:c>
      <x:c r="P707" s="19" t="n">
        <x:v>46245</x:v>
      </x:c>
      <x:c r="Q707" s="20" t="str">
        <x:v>https://fugacoffee.co/tr/subelerimiz</x:v>
      </x:c>
      <x:c r="R707" s="20" t="str">
        <x:v>Ürün kimliği korundu; eksik alanlar erişilemedi olarak işaretlenecek.</x:v>
      </x:c>
    </x:row>
    <x:row r="708" ht="40" customHeight="1">
      <x:c r="A708" s="16" t="str">
        <x:v>Fuga Coffee</x:v>
      </x:c>
      <x:c r="B708" s="16" t="str">
        <x:v>İstanbul</x:v>
      </x:c>
      <x:c r="C708" s="16" t="str">
        <x:v>Doğrulandı</x:v>
      </x:c>
      <x:c r="D708" s="16" t="str">
        <x:v>Ürün kaydı</x:v>
      </x:c>
      <x:c r="E708" s="16" t="str">
        <x:v>The coffee of escape</x:v>
      </x:c>
      <x:c r="F708" s="16" t="str">
        <x:v>Menşe belirtilmemiş</x:v>
      </x:c>
      <x:c r="G708" s="17" t="str">
        <x:v>Erişilemedi</x:v>
      </x:c>
      <x:c r="H708" s="16" t="str">
        <x:v>Erişilemedi</x:v>
      </x:c>
      <x:c r="I708" s="18" t="n">
        <x:v>0</x:v>
      </x:c>
      <x:c r="J708" s="18" t="str">
        <x:v>Erişilemedi</x:v>
      </x:c>
      <x:c r="K708" s="18" t="str">
        <x:f>IF(AND(ISNUMBER(G708),ISNUMBER(I708)),I708/G708*1000,"Erişilemedi")</x:f>
        <x:v>Erişilemedi</x:v>
      </x:c>
      <x:c r="L708" s="16" t="str">
        <x:v>Belirsiz</x:v>
      </x:c>
      <x:c r="M708" s="16" t="str">
        <x:v>Kahve ürünü</x:v>
      </x:c>
      <x:c r="N708" s="16" t="str">
        <x:v>Site haritası ürün sayfası</x:v>
      </x:c>
      <x:c r="O708" s="16" t="str">
        <x:v>Düşük</x:v>
      </x:c>
      <x:c r="P708" s="19" t="n">
        <x:v>46245</x:v>
      </x:c>
      <x:c r="Q708" s="20" t="str">
        <x:v>https://fugacoffee.co/en/about</x:v>
      </x:c>
      <x:c r="R708" s="20" t="str">
        <x:v>Ürün kimliği korundu; eksik alanlar erişilemedi olarak işaretlenecek.</x:v>
      </x:c>
    </x:row>
    <x:row r="709" ht="40" customHeight="1">
      <x:c r="A709" s="16" t="str">
        <x:v>Fuga Coffee</x:v>
      </x:c>
      <x:c r="B709" s="16" t="str">
        <x:v>İstanbul</x:v>
      </x:c>
      <x:c r="C709" s="16" t="str">
        <x:v>Doğrulandı</x:v>
      </x:c>
      <x:c r="D709" s="16" t="str">
        <x:v>Ürün kaydı</x:v>
      </x:c>
      <x:c r="E709" s="16" t="str">
        <x:v>Turkish Coffee</x:v>
      </x:c>
      <x:c r="F709" s="16" t="str">
        <x:v>Brezilya</x:v>
      </x:c>
      <x:c r="G709" s="17" t="str">
        <x:v>Erişilemedi</x:v>
      </x:c>
      <x:c r="H709" s="16" t="str">
        <x:v>Erişilemedi</x:v>
      </x:c>
      <x:c r="I709" s="18" t="n">
        <x:v>0</x:v>
      </x:c>
      <x:c r="J709" s="18" t="str">
        <x:v>Erişilemedi</x:v>
      </x:c>
      <x:c r="K709" s="18" t="str">
        <x:f>IF(AND(ISNUMBER(G709),ISNUMBER(I709)),I709/G709*1000,"Erişilemedi")</x:f>
        <x:v>Erişilemedi</x:v>
      </x:c>
      <x:c r="L709" s="16" t="str">
        <x:v>Belirsiz</x:v>
      </x:c>
      <x:c r="M709" s="16" t="str">
        <x:v>Harman</x:v>
      </x:c>
      <x:c r="N709" s="16" t="str">
        <x:v>Site haritası ürün sayfası</x:v>
      </x:c>
      <x:c r="O709" s="16" t="str">
        <x:v>Düşük</x:v>
      </x:c>
      <x:c r="P709" s="19" t="n">
        <x:v>46245</x:v>
      </x:c>
      <x:c r="Q709" s="20" t="str">
        <x:v>https://fugacoffee.co/en/product/turkish-coffee</x:v>
      </x:c>
      <x:c r="R709" s="20" t="str">
        <x:v>Ürün kimliği korundu; eksik alanlar erişilemedi olarak işaretlenecek.</x:v>
      </x:c>
    </x:row>
    <x:row r="710" ht="40" customHeight="1">
      <x:c r="A710" s="16" t="str">
        <x:v>Fuga Coffee</x:v>
      </x:c>
      <x:c r="B710" s="16" t="str"/>
      <x:c r="C710" s="16" t="str">
        <x:v>Pilot doğrulaması</x:v>
      </x:c>
      <x:c r="D710" s="16" t="str">
        <x:v>Ürün kaydı</x:v>
      </x:c>
      <x:c r="E710" s="16" t="str">
        <x:v>Turkish Coffee</x:v>
      </x:c>
      <x:c r="F710" s="16" t="str">
        <x:v>Brezilya</x:v>
      </x:c>
      <x:c r="G710" s="17" t="n">
        <x:v>250</x:v>
      </x:c>
      <x:c r="H710" s="16" t="str">
        <x:v>Erişildi</x:v>
      </x:c>
      <x:c r="I710" s="18" t="n">
        <x:v>475</x:v>
      </x:c>
      <x:c r="J710" s="18" t="str">
        <x:v>Erişildi</x:v>
      </x:c>
      <x:c r="K710" s="18" t="n">
        <x:f>IF(AND(ISNUMBER(G710),ISNUMBER(I710)),I710/G710*1000,"Erişilemedi")</x:f>
        <x:v>1900</x:v>
      </x:c>
      <x:c r="L710" s="16" t="str">
        <x:v>Stokta</x:v>
      </x:c>
      <x:c r="M710" s="16" t="str">
        <x:v>Türk kahvesi</x:v>
      </x:c>
      <x:c r="N710" s="16" t="str">
        <x:v>Pilot manuel/API doğrulaması</x:v>
      </x:c>
      <x:c r="O710" s="16" t="str">
        <x:v>Yüksek</x:v>
      </x:c>
      <x:c r="P710" s="19" t="n">
        <x:v>46245</x:v>
      </x:c>
      <x:c r="Q710" s="20" t="str">
        <x:v>https://fugacoffee.co/en</x:v>
      </x:c>
      <x:c r="R710" s="20" t="str"/>
    </x:row>
    <x:row r="711" ht="40" customHeight="1">
      <x:c r="A711" s="16" t="str">
        <x:v>Fuga Coffee</x:v>
      </x:c>
      <x:c r="B711" s="16" t="str">
        <x:v>İstanbul</x:v>
      </x:c>
      <x:c r="C711" s="16" t="str">
        <x:v>Doğrulandı</x:v>
      </x:c>
      <x:c r="D711" s="16" t="str">
        <x:v>Ürün kaydı</x:v>
      </x:c>
      <x:c r="E711" s="16" t="str">
        <x:v>Türk Kahvesi</x:v>
      </x:c>
      <x:c r="F711" s="16" t="str">
        <x:v>Brezilya</x:v>
      </x:c>
      <x:c r="G711" s="17" t="str">
        <x:v>Erişilemedi</x:v>
      </x:c>
      <x:c r="H711" s="16" t="str">
        <x:v>Erişilemedi</x:v>
      </x:c>
      <x:c r="I711" s="18" t="n">
        <x:v>1000</x:v>
      </x:c>
      <x:c r="J711" s="18" t="str">
        <x:v>Erişildi</x:v>
      </x:c>
      <x:c r="K711" s="18" t="str">
        <x:f>IF(AND(ISNUMBER(G711),ISNUMBER(I711)),I711/G711*1000,"Erişilemedi")</x:f>
        <x:v>Erişilemedi</x:v>
      </x:c>
      <x:c r="L711" s="16" t="str">
        <x:v>Belirsiz</x:v>
      </x:c>
      <x:c r="M711" s="16" t="str">
        <x:v>Harman</x:v>
      </x:c>
      <x:c r="N711" s="16" t="str">
        <x:v>Site haritası ürün sayfası</x:v>
      </x:c>
      <x:c r="O711" s="16" t="str">
        <x:v>Düşük</x:v>
      </x:c>
      <x:c r="P711" s="19" t="n">
        <x:v>46245</x:v>
      </x:c>
      <x:c r="Q711" s="20" t="str">
        <x:v>https://fugacoffee.co/tr/urun/turk-kahvesi</x:v>
      </x:c>
      <x:c r="R711" s="20" t="str">
        <x:v>Ürün kimliği korundu; eksik alanlar erişilemedi olarak işaretlenecek.</x:v>
      </x:c>
    </x:row>
    <x:row r="712" ht="40" customHeight="1">
      <x:c r="A712" s="16" t="str">
        <x:v>Fuga Coffee</x:v>
      </x:c>
      <x:c r="B712" s="16" t="str">
        <x:v>İstanbul</x:v>
      </x:c>
      <x:c r="C712" s="16" t="str">
        <x:v>Doğrulandı</x:v>
      </x:c>
      <x:c r="D712" s="16" t="str">
        <x:v>Ürün kaydı</x:v>
      </x:c>
      <x:c r="E712" s="16" t="str">
        <x:v>Whole Bean Coffee 1 KG</x:v>
      </x:c>
      <x:c r="F712" s="16" t="str">
        <x:v>Menşe belirtilmemiş</x:v>
      </x:c>
      <x:c r="G712" s="17" t="n">
        <x:v>1000</x:v>
      </x:c>
      <x:c r="H712" s="16" t="str">
        <x:v>Erişildi</x:v>
      </x:c>
      <x:c r="I712" s="18" t="n">
        <x:v>0</x:v>
      </x:c>
      <x:c r="J712" s="18" t="str">
        <x:v>Erişilemedi</x:v>
      </x:c>
      <x:c r="K712" s="18" t="n">
        <x:f>IF(AND(ISNUMBER(G712),ISNUMBER(I712)),I712/G712*1000,"Erişilemedi")</x:f>
        <x:v>0</x:v>
      </x:c>
      <x:c r="L712" s="16" t="str">
        <x:v>Belirsiz</x:v>
      </x:c>
      <x:c r="M712" s="16" t="str">
        <x:v>Kahve ürünü</x:v>
      </x:c>
      <x:c r="N712" s="16" t="str">
        <x:v>Site haritası ürün sayfası</x:v>
      </x:c>
      <x:c r="O712" s="16" t="str">
        <x:v>Düşük</x:v>
      </x:c>
      <x:c r="P712" s="19" t="n">
        <x:v>46245</x:v>
      </x:c>
      <x:c r="Q712" s="20" t="str">
        <x:v>https://fugacoffee.co/en/cekirdek-kahve-1-kg</x:v>
      </x:c>
      <x:c r="R712" s="20" t="str">
        <x:v>Ürün kimliği korundu; eksik alanlar erişilemedi olarak işaretlenecek.</x:v>
      </x:c>
    </x:row>
    <x:row r="713" ht="40" customHeight="1">
      <x:c r="A713" s="16" t="str">
        <x:v>Fuga Coffee</x:v>
      </x:c>
      <x:c r="B713" s="16" t="str">
        <x:v>İstanbul</x:v>
      </x:c>
      <x:c r="C713" s="16" t="str">
        <x:v>Doğrulandı</x:v>
      </x:c>
      <x:c r="D713" s="16" t="str">
        <x:v>Ürün kaydı</x:v>
      </x:c>
      <x:c r="E713" s="16" t="str">
        <x:v>Whole Bean Coffee 250 GR</x:v>
      </x:c>
      <x:c r="F713" s="16" t="str">
        <x:v>Menşe belirtilmemiş</x:v>
      </x:c>
      <x:c r="G713" s="17" t="n">
        <x:v>250</x:v>
      </x:c>
      <x:c r="H713" s="16" t="str">
        <x:v>Erişildi</x:v>
      </x:c>
      <x:c r="I713" s="18" t="n">
        <x:v>0</x:v>
      </x:c>
      <x:c r="J713" s="18" t="str">
        <x:v>Erişilemedi</x:v>
      </x:c>
      <x:c r="K713" s="18" t="n">
        <x:f>IF(AND(ISNUMBER(G713),ISNUMBER(I713)),I713/G713*1000,"Erişilemedi")</x:f>
        <x:v>0</x:v>
      </x:c>
      <x:c r="L713" s="16" t="str">
        <x:v>Belirsiz</x:v>
      </x:c>
      <x:c r="M713" s="16" t="str">
        <x:v>Kahve ürünü</x:v>
      </x:c>
      <x:c r="N713" s="16" t="str">
        <x:v>Site haritası ürün sayfası</x:v>
      </x:c>
      <x:c r="O713" s="16" t="str">
        <x:v>Düşük</x:v>
      </x:c>
      <x:c r="P713" s="19" t="n">
        <x:v>46245</x:v>
      </x:c>
      <x:c r="Q713" s="20" t="str">
        <x:v>https://fugacoffee.co/en/cekirdek-kahve-250-gr</x:v>
      </x:c>
      <x:c r="R713" s="20" t="str">
        <x:v>Ürün kimliği korundu; eksik alanlar erişilemedi olarak işaretlenecek.</x:v>
      </x:c>
    </x:row>
    <x:row r="714" ht="40" customHeight="1">
      <x:c r="A714" s="16" t="str">
        <x:v>Good Coffee</x:v>
      </x:c>
      <x:c r="B714" s="16" t="str">
        <x:v>İstanbul</x:v>
      </x:c>
      <x:c r="C714" s="16" t="str">
        <x:v>Doğrulandı</x:v>
      </x:c>
      <x:c r="D714" s="16" t="str">
        <x:v>Ürün kaydı</x:v>
      </x:c>
      <x:c r="E714" s="16" t="str">
        <x:v>BRASIL KARMA FRUTA</x:v>
      </x:c>
      <x:c r="F714" s="16" t="str">
        <x:v>Brezilya</x:v>
      </x:c>
      <x:c r="G714" s="17" t="n">
        <x:v>250</x:v>
      </x:c>
      <x:c r="H714" s="16" t="str">
        <x:v>Erişildi</x:v>
      </x:c>
      <x:c r="I714" s="18" t="n">
        <x:v>600</x:v>
      </x:c>
      <x:c r="J714" s="18" t="str">
        <x:v>Erişildi</x:v>
      </x:c>
      <x:c r="K714" s="18" t="n">
        <x:f>IF(AND(ISNUMBER(G714),ISNUMBER(I714)),I714/G714*1000,"Erişilemedi")</x:f>
        <x:v>2400</x:v>
      </x:c>
      <x:c r="L714" s="16" t="str">
        <x:v>Stokta</x:v>
      </x:c>
      <x:c r="M714" s="16" t="str">
        <x:v>Tek köken/ürün</x:v>
      </x:c>
      <x:c r="N714" s="16" t="str">
        <x:v>Shopify ürün akışı</x:v>
      </x:c>
      <x:c r="O714" s="16" t="str">
        <x:v>Yüksek</x:v>
      </x:c>
      <x:c r="P714" s="19" t="n">
        <x:v>46245</x:v>
      </x:c>
      <x:c r="Q714" s="20" t="str">
        <x:v>https://www.goodcoffee.com.tr/products/brasil-karma-fruta</x:v>
      </x:c>
      <x:c r="R714" s="20" t="str">
        <x:v>Öğütüm seçenekleri aynı gramaj ve fiyatta tekilleştirildi.</x:v>
      </x:c>
    </x:row>
    <x:row r="715" ht="40" customHeight="1">
      <x:c r="A715" s="16" t="str">
        <x:v>Good Coffee</x:v>
      </x:c>
      <x:c r="B715" s="16" t="str">
        <x:v>İstanbul</x:v>
      </x:c>
      <x:c r="C715" s="16" t="str">
        <x:v>Doğrulandı</x:v>
      </x:c>
      <x:c r="D715" s="16" t="str">
        <x:v>Ürün kaydı</x:v>
      </x:c>
      <x:c r="E715" s="16" t="str">
        <x:v>BRASIL KARMA FRUTA</x:v>
      </x:c>
      <x:c r="F715" s="16" t="str">
        <x:v>Brezilya</x:v>
      </x:c>
      <x:c r="G715" s="17" t="n">
        <x:v>1000</x:v>
      </x:c>
      <x:c r="H715" s="16" t="str">
        <x:v>Erişildi</x:v>
      </x:c>
      <x:c r="I715" s="18" t="n">
        <x:v>2160</x:v>
      </x:c>
      <x:c r="J715" s="18" t="str">
        <x:v>Erişildi</x:v>
      </x:c>
      <x:c r="K715" s="18" t="n">
        <x:f>IF(AND(ISNUMBER(G715),ISNUMBER(I715)),I715/G715*1000,"Erişilemedi")</x:f>
        <x:v>2160</x:v>
      </x:c>
      <x:c r="L715" s="16" t="str">
        <x:v>Stokta</x:v>
      </x:c>
      <x:c r="M715" s="16" t="str">
        <x:v>Tek köken/ürün</x:v>
      </x:c>
      <x:c r="N715" s="16" t="str">
        <x:v>Shopify ürün akışı</x:v>
      </x:c>
      <x:c r="O715" s="16" t="str">
        <x:v>Yüksek</x:v>
      </x:c>
      <x:c r="P715" s="19" t="n">
        <x:v>46245</x:v>
      </x:c>
      <x:c r="Q715" s="20" t="str">
        <x:v>https://www.goodcoffee.com.tr/products/brasil-karma-fruta</x:v>
      </x:c>
      <x:c r="R715" s="20" t="str">
        <x:v>Öğütüm seçenekleri aynı gramaj ve fiyatta tekilleştirildi.</x:v>
      </x:c>
    </x:row>
    <x:row r="716" ht="40" customHeight="1">
      <x:c r="A716" s="16" t="str">
        <x:v>Good Coffee</x:v>
      </x:c>
      <x:c r="B716" s="16" t="str">
        <x:v>İstanbul</x:v>
      </x:c>
      <x:c r="C716" s="16" t="str">
        <x:v>Doğrulandı</x:v>
      </x:c>
      <x:c r="D716" s="16" t="str">
        <x:v>Ürün kaydı</x:v>
      </x:c>
      <x:c r="E716" s="16" t="str">
        <x:v>Brasil Jaguara Anaerobic Natural</x:v>
      </x:c>
      <x:c r="F716" s="16" t="str">
        <x:v>Brezilya</x:v>
      </x:c>
      <x:c r="G716" s="17" t="n">
        <x:v>250</x:v>
      </x:c>
      <x:c r="H716" s="16" t="str">
        <x:v>Erişildi</x:v>
      </x:c>
      <x:c r="I716" s="18" t="n">
        <x:v>715</x:v>
      </x:c>
      <x:c r="J716" s="18" t="str">
        <x:v>Erişildi</x:v>
      </x:c>
      <x:c r="K716" s="18" t="n">
        <x:f>IF(AND(ISNUMBER(G716),ISNUMBER(I716)),I716/G716*1000,"Erişilemedi")</x:f>
        <x:v>2860</x:v>
      </x:c>
      <x:c r="L716" s="16" t="str">
        <x:v>Stokta</x:v>
      </x:c>
      <x:c r="M716" s="16" t="str">
        <x:v>Tek köken/ürün</x:v>
      </x:c>
      <x:c r="N716" s="16" t="str">
        <x:v>Shopify ürün akışı</x:v>
      </x:c>
      <x:c r="O716" s="16" t="str">
        <x:v>Yüksek</x:v>
      </x:c>
      <x:c r="P716" s="19" t="n">
        <x:v>46245</x:v>
      </x:c>
      <x:c r="Q716" s="20" t="str">
        <x:v>https://www.goodcoffee.com.tr/products/brasil-jaguara-anaerobic-natural</x:v>
      </x:c>
      <x:c r="R716" s="20" t="str">
        <x:v>Öğütüm seçenekleri aynı gramaj ve fiyatta tekilleştirildi.</x:v>
      </x:c>
    </x:row>
    <x:row r="717" ht="40" customHeight="1">
      <x:c r="A717" s="16" t="str">
        <x:v>Good Coffee</x:v>
      </x:c>
      <x:c r="B717" s="16" t="str">
        <x:v>İstanbul</x:v>
      </x:c>
      <x:c r="C717" s="16" t="str">
        <x:v>Doğrulandı</x:v>
      </x:c>
      <x:c r="D717" s="16" t="str">
        <x:v>Ürün kaydı</x:v>
      </x:c>
      <x:c r="E717" s="16" t="str">
        <x:v>Brasil Jaguara Anaerobic Natural</x:v>
      </x:c>
      <x:c r="F717" s="16" t="str">
        <x:v>Brezilya</x:v>
      </x:c>
      <x:c r="G717" s="17" t="n">
        <x:v>1000</x:v>
      </x:c>
      <x:c r="H717" s="16" t="str">
        <x:v>Erişildi</x:v>
      </x:c>
      <x:c r="I717" s="18" t="n">
        <x:v>2574</x:v>
      </x:c>
      <x:c r="J717" s="18" t="str">
        <x:v>Erişildi</x:v>
      </x:c>
      <x:c r="K717" s="18" t="n">
        <x:f>IF(AND(ISNUMBER(G717),ISNUMBER(I717)),I717/G717*1000,"Erişilemedi")</x:f>
        <x:v>2574</x:v>
      </x:c>
      <x:c r="L717" s="16" t="str">
        <x:v>Stokta</x:v>
      </x:c>
      <x:c r="M717" s="16" t="str">
        <x:v>Tek köken/ürün</x:v>
      </x:c>
      <x:c r="N717" s="16" t="str">
        <x:v>Shopify ürün akışı</x:v>
      </x:c>
      <x:c r="O717" s="16" t="str">
        <x:v>Yüksek</x:v>
      </x:c>
      <x:c r="P717" s="19" t="n">
        <x:v>46245</x:v>
      </x:c>
      <x:c r="Q717" s="20" t="str">
        <x:v>https://www.goodcoffee.com.tr/products/brasil-jaguara-anaerobic-natural</x:v>
      </x:c>
      <x:c r="R717" s="20" t="str">
        <x:v>Öğütüm seçenekleri aynı gramaj ve fiyatta tekilleştirildi.</x:v>
      </x:c>
    </x:row>
    <x:row r="718" ht="40" customHeight="1">
      <x:c r="A718" s="16" t="str">
        <x:v>Good Coffee</x:v>
      </x:c>
      <x:c r="B718" s="16" t="str"/>
      <x:c r="C718" s="16" t="str">
        <x:v>Pilot doğrulaması</x:v>
      </x:c>
      <x:c r="D718" s="16" t="str">
        <x:v>Ürün kaydı</x:v>
      </x:c>
      <x:c r="E718" s="16" t="str">
        <x:v>Brasil Karma Fruta</x:v>
      </x:c>
      <x:c r="F718" s="16" t="str">
        <x:v>Brezilya</x:v>
      </x:c>
      <x:c r="G718" s="17" t="n">
        <x:v>250</x:v>
      </x:c>
      <x:c r="H718" s="16" t="str">
        <x:v>Erişildi</x:v>
      </x:c>
      <x:c r="I718" s="18" t="n">
        <x:v>600</x:v>
      </x:c>
      <x:c r="J718" s="18" t="str">
        <x:v>Erişildi</x:v>
      </x:c>
      <x:c r="K718" s="18" t="n">
        <x:f>IF(AND(ISNUMBER(G718),ISNUMBER(I718)),I718/G718*1000,"Erişilemedi")</x:f>
        <x:v>2400</x:v>
      </x:c>
      <x:c r="L718" s="16" t="str">
        <x:v>Stokta</x:v>
      </x:c>
      <x:c r="M718" s="16" t="str">
        <x:v>Tek köken</x:v>
      </x:c>
      <x:c r="N718" s="16" t="str">
        <x:v>Pilot manuel/API doğrulaması</x:v>
      </x:c>
      <x:c r="O718" s="16" t="str">
        <x:v>Yüksek</x:v>
      </x:c>
      <x:c r="P718" s="19" t="n">
        <x:v>46245</x:v>
      </x:c>
      <x:c r="Q718" s="20" t="str">
        <x:v>https://www.goodcoffee.com.tr/products.json?limit=250</x:v>
      </x:c>
      <x:c r="R718" s="20" t="str"/>
    </x:row>
    <x:row r="719" ht="40" customHeight="1">
      <x:c r="A719" s="16" t="str">
        <x:v>Good Coffee</x:v>
      </x:c>
      <x:c r="B719" s="16" t="str"/>
      <x:c r="C719" s="16" t="str">
        <x:v>Pilot doğrulaması</x:v>
      </x:c>
      <x:c r="D719" s="16" t="str">
        <x:v>Ürün kaydı</x:v>
      </x:c>
      <x:c r="E719" s="16" t="str">
        <x:v>Brasil Karma Fruta</x:v>
      </x:c>
      <x:c r="F719" s="16" t="str">
        <x:v>Brezilya</x:v>
      </x:c>
      <x:c r="G719" s="17" t="n">
        <x:v>1000</x:v>
      </x:c>
      <x:c r="H719" s="16" t="str">
        <x:v>Erişildi</x:v>
      </x:c>
      <x:c r="I719" s="18" t="n">
        <x:v>2160</x:v>
      </x:c>
      <x:c r="J719" s="18" t="str">
        <x:v>Erişildi</x:v>
      </x:c>
      <x:c r="K719" s="18" t="n">
        <x:f>IF(AND(ISNUMBER(G719),ISNUMBER(I719)),I719/G719*1000,"Erişilemedi")</x:f>
        <x:v>2160</x:v>
      </x:c>
      <x:c r="L719" s="16" t="str">
        <x:v>Stokta</x:v>
      </x:c>
      <x:c r="M719" s="16" t="str">
        <x:v>Tek köken</x:v>
      </x:c>
      <x:c r="N719" s="16" t="str">
        <x:v>Pilot manuel/API doğrulaması</x:v>
      </x:c>
      <x:c r="O719" s="16" t="str">
        <x:v>Yüksek</x:v>
      </x:c>
      <x:c r="P719" s="19" t="n">
        <x:v>46245</x:v>
      </x:c>
      <x:c r="Q719" s="20" t="str">
        <x:v>https://www.goodcoffee.com.tr/products.json?limit=250</x:v>
      </x:c>
      <x:c r="R719" s="20" t="str"/>
    </x:row>
    <x:row r="720" ht="40" customHeight="1">
      <x:c r="A720" s="16" t="str">
        <x:v>Good Coffee</x:v>
      </x:c>
      <x:c r="B720" s="16" t="str">
        <x:v>İstanbul</x:v>
      </x:c>
      <x:c r="C720" s="16" t="str">
        <x:v>Doğrulandı</x:v>
      </x:c>
      <x:c r="D720" s="16" t="str">
        <x:v>Ürün kaydı</x:v>
      </x:c>
      <x:c r="E720" s="16" t="str">
        <x:v>Colombia Diego Horta Natural</x:v>
      </x:c>
      <x:c r="F720" s="16" t="str">
        <x:v>Kolombiya</x:v>
      </x:c>
      <x:c r="G720" s="17" t="n">
        <x:v>250</x:v>
      </x:c>
      <x:c r="H720" s="16" t="str">
        <x:v>Erişildi</x:v>
      </x:c>
      <x:c r="I720" s="18" t="n">
        <x:v>880</x:v>
      </x:c>
      <x:c r="J720" s="18" t="str">
        <x:v>Erişildi</x:v>
      </x:c>
      <x:c r="K720" s="18" t="n">
        <x:f>IF(AND(ISNUMBER(G720),ISNUMBER(I720)),I720/G720*1000,"Erişilemedi")</x:f>
        <x:v>3520</x:v>
      </x:c>
      <x:c r="L720" s="16" t="str">
        <x:v>Stokta</x:v>
      </x:c>
      <x:c r="M720" s="16" t="str">
        <x:v>Tek köken/ürün</x:v>
      </x:c>
      <x:c r="N720" s="16" t="str">
        <x:v>Shopify ürün akışı</x:v>
      </x:c>
      <x:c r="O720" s="16" t="str">
        <x:v>Yüksek</x:v>
      </x:c>
      <x:c r="P720" s="19" t="n">
        <x:v>46245</x:v>
      </x:c>
      <x:c r="Q720" s="20" t="str">
        <x:v>https://www.goodcoffee.com.tr/products/colombia-diego-horta-natural</x:v>
      </x:c>
      <x:c r="R720" s="20" t="str">
        <x:v>Öğütüm seçenekleri aynı gramaj ve fiyatta tekilleştirildi.</x:v>
      </x:c>
    </x:row>
    <x:row r="721" ht="40" customHeight="1">
      <x:c r="A721" s="16" t="str">
        <x:v>Good Coffee</x:v>
      </x:c>
      <x:c r="B721" s="16" t="str">
        <x:v>İstanbul</x:v>
      </x:c>
      <x:c r="C721" s="16" t="str">
        <x:v>Doğrulandı</x:v>
      </x:c>
      <x:c r="D721" s="16" t="str">
        <x:v>Ürün kaydı</x:v>
      </x:c>
      <x:c r="E721" s="16" t="str">
        <x:v>Colombia Diego Horta Natural</x:v>
      </x:c>
      <x:c r="F721" s="16" t="str">
        <x:v>Kolombiya</x:v>
      </x:c>
      <x:c r="G721" s="17" t="n">
        <x:v>1000</x:v>
      </x:c>
      <x:c r="H721" s="16" t="str">
        <x:v>Erişildi</x:v>
      </x:c>
      <x:c r="I721" s="18" t="n">
        <x:v>3168</x:v>
      </x:c>
      <x:c r="J721" s="18" t="str">
        <x:v>Erişildi</x:v>
      </x:c>
      <x:c r="K721" s="18" t="n">
        <x:f>IF(AND(ISNUMBER(G721),ISNUMBER(I721)),I721/G721*1000,"Erişilemedi")</x:f>
        <x:v>3168</x:v>
      </x:c>
      <x:c r="L721" s="16" t="str">
        <x:v>Stokta</x:v>
      </x:c>
      <x:c r="M721" s="16" t="str">
        <x:v>Tek köken/ürün</x:v>
      </x:c>
      <x:c r="N721" s="16" t="str">
        <x:v>Shopify ürün akışı</x:v>
      </x:c>
      <x:c r="O721" s="16" t="str">
        <x:v>Yüksek</x:v>
      </x:c>
      <x:c r="P721" s="19" t="n">
        <x:v>46245</x:v>
      </x:c>
      <x:c r="Q721" s="20" t="str">
        <x:v>https://www.goodcoffee.com.tr/products/colombia-diego-horta-natural</x:v>
      </x:c>
      <x:c r="R721" s="20" t="str">
        <x:v>Öğütüm seçenekleri aynı gramaj ve fiyatta tekilleştirildi.</x:v>
      </x:c>
    </x:row>
    <x:row r="722" ht="40" customHeight="1">
      <x:c r="A722" s="16" t="str">
        <x:v>Good Coffee</x:v>
      </x:c>
      <x:c r="B722" s="16" t="str"/>
      <x:c r="C722" s="16" t="str">
        <x:v>Pilot doğrulaması</x:v>
      </x:c>
      <x:c r="D722" s="16" t="str">
        <x:v>Ürün kaydı</x:v>
      </x:c>
      <x:c r="E722" s="16" t="str">
        <x:v>Colombia Santa Maria Geisha</x:v>
      </x:c>
      <x:c r="F722" s="16" t="str">
        <x:v>Kolombiya</x:v>
      </x:c>
      <x:c r="G722" s="17" t="n">
        <x:v>250</x:v>
      </x:c>
      <x:c r="H722" s="16" t="str">
        <x:v>Erişildi</x:v>
      </x:c>
      <x:c r="I722" s="18" t="n">
        <x:v>1320</x:v>
      </x:c>
      <x:c r="J722" s="18" t="str">
        <x:v>Erişildi</x:v>
      </x:c>
      <x:c r="K722" s="18" t="n">
        <x:f>IF(AND(ISNUMBER(G722),ISNUMBER(I722)),I722/G722*1000,"Erişilemedi")</x:f>
        <x:v>5280</x:v>
      </x:c>
      <x:c r="L722" s="16" t="str">
        <x:v>Stokta</x:v>
      </x:c>
      <x:c r="M722" s="16" t="str">
        <x:v>Tek köken</x:v>
      </x:c>
      <x:c r="N722" s="16" t="str">
        <x:v>Pilot manuel/API doğrulaması</x:v>
      </x:c>
      <x:c r="O722" s="16" t="str">
        <x:v>Yüksek</x:v>
      </x:c>
      <x:c r="P722" s="19" t="n">
        <x:v>46245</x:v>
      </x:c>
      <x:c r="Q722" s="20" t="str">
        <x:v>https://www.goodcoffee.com.tr/products.json?limit=250</x:v>
      </x:c>
      <x:c r="R722" s="20" t="str"/>
    </x:row>
    <x:row r="723" ht="40" customHeight="1">
      <x:c r="A723" s="16" t="str">
        <x:v>Good Coffee</x:v>
      </x:c>
      <x:c r="B723" s="16" t="str"/>
      <x:c r="C723" s="16" t="str">
        <x:v>Pilot doğrulaması</x:v>
      </x:c>
      <x:c r="D723" s="16" t="str">
        <x:v>Ürün kaydı</x:v>
      </x:c>
      <x:c r="E723" s="16" t="str">
        <x:v>Colombia Santa Maria Geisha</x:v>
      </x:c>
      <x:c r="F723" s="16" t="str">
        <x:v>Kolombiya</x:v>
      </x:c>
      <x:c r="G723" s="17" t="n">
        <x:v>1000</x:v>
      </x:c>
      <x:c r="H723" s="16" t="str">
        <x:v>Erişildi</x:v>
      </x:c>
      <x:c r="I723" s="18" t="n">
        <x:v>4752</x:v>
      </x:c>
      <x:c r="J723" s="18" t="str">
        <x:v>Erişildi</x:v>
      </x:c>
      <x:c r="K723" s="18" t="n">
        <x:f>IF(AND(ISNUMBER(G723),ISNUMBER(I723)),I723/G723*1000,"Erişilemedi")</x:f>
        <x:v>4752</x:v>
      </x:c>
      <x:c r="L723" s="16" t="str">
        <x:v>Stokta</x:v>
      </x:c>
      <x:c r="M723" s="16" t="str">
        <x:v>Tek köken</x:v>
      </x:c>
      <x:c r="N723" s="16" t="str">
        <x:v>Pilot manuel/API doğrulaması</x:v>
      </x:c>
      <x:c r="O723" s="16" t="str">
        <x:v>Yüksek</x:v>
      </x:c>
      <x:c r="P723" s="19" t="n">
        <x:v>46245</x:v>
      </x:c>
      <x:c r="Q723" s="20" t="str">
        <x:v>https://www.goodcoffee.com.tr/products.json?limit=250</x:v>
      </x:c>
      <x:c r="R723" s="20" t="str"/>
    </x:row>
    <x:row r="724" ht="40" customHeight="1">
      <x:c r="A724" s="16" t="str">
        <x:v>Good Coffee</x:v>
      </x:c>
      <x:c r="B724" s="16" t="str">
        <x:v>İstanbul</x:v>
      </x:c>
      <x:c r="C724" s="16" t="str">
        <x:v>Doğrulandı</x:v>
      </x:c>
      <x:c r="D724" s="16" t="str">
        <x:v>Ürün kaydı</x:v>
      </x:c>
      <x:c r="E724" s="16" t="str">
        <x:v>Colombia Santa Maria Geisha Washed</x:v>
      </x:c>
      <x:c r="F724" s="16" t="str">
        <x:v>Kolombiya</x:v>
      </x:c>
      <x:c r="G724" s="17" t="n">
        <x:v>250</x:v>
      </x:c>
      <x:c r="H724" s="16" t="str">
        <x:v>Erişildi</x:v>
      </x:c>
      <x:c r="I724" s="18" t="n">
        <x:v>1320</x:v>
      </x:c>
      <x:c r="J724" s="18" t="str">
        <x:v>Erişildi</x:v>
      </x:c>
      <x:c r="K724" s="18" t="n">
        <x:f>IF(AND(ISNUMBER(G724),ISNUMBER(I724)),I724/G724*1000,"Erişilemedi")</x:f>
        <x:v>5280</x:v>
      </x:c>
      <x:c r="L724" s="16" t="str">
        <x:v>Stokta</x:v>
      </x:c>
      <x:c r="M724" s="16" t="str">
        <x:v>Tek köken/ürün</x:v>
      </x:c>
      <x:c r="N724" s="16" t="str">
        <x:v>Shopify ürün akışı</x:v>
      </x:c>
      <x:c r="O724" s="16" t="str">
        <x:v>Yüksek</x:v>
      </x:c>
      <x:c r="P724" s="19" t="n">
        <x:v>46245</x:v>
      </x:c>
      <x:c r="Q724" s="20" t="str">
        <x:v>https://www.goodcoffee.com.tr/products/colombia-santa-maria-geisha-washed</x:v>
      </x:c>
      <x:c r="R724" s="20" t="str">
        <x:v>Öğütüm seçenekleri aynı gramaj ve fiyatta tekilleştirildi.</x:v>
      </x:c>
    </x:row>
    <x:row r="725" ht="40" customHeight="1">
      <x:c r="A725" s="16" t="str">
        <x:v>Good Coffee</x:v>
      </x:c>
      <x:c r="B725" s="16" t="str">
        <x:v>İstanbul</x:v>
      </x:c>
      <x:c r="C725" s="16" t="str">
        <x:v>Doğrulandı</x:v>
      </x:c>
      <x:c r="D725" s="16" t="str">
        <x:v>Ürün kaydı</x:v>
      </x:c>
      <x:c r="E725" s="16" t="str">
        <x:v>Colombia Santa Maria Geisha Washed</x:v>
      </x:c>
      <x:c r="F725" s="16" t="str">
        <x:v>Kolombiya</x:v>
      </x:c>
      <x:c r="G725" s="17" t="n">
        <x:v>1000</x:v>
      </x:c>
      <x:c r="H725" s="16" t="str">
        <x:v>Erişildi</x:v>
      </x:c>
      <x:c r="I725" s="18" t="n">
        <x:v>4752</x:v>
      </x:c>
      <x:c r="J725" s="18" t="str">
        <x:v>Erişildi</x:v>
      </x:c>
      <x:c r="K725" s="18" t="n">
        <x:f>IF(AND(ISNUMBER(G725),ISNUMBER(I725)),I725/G725*1000,"Erişilemedi")</x:f>
        <x:v>4752</x:v>
      </x:c>
      <x:c r="L725" s="16" t="str">
        <x:v>Stokta</x:v>
      </x:c>
      <x:c r="M725" s="16" t="str">
        <x:v>Tek köken/ürün</x:v>
      </x:c>
      <x:c r="N725" s="16" t="str">
        <x:v>Shopify ürün akışı</x:v>
      </x:c>
      <x:c r="O725" s="16" t="str">
        <x:v>Yüksek</x:v>
      </x:c>
      <x:c r="P725" s="19" t="n">
        <x:v>46245</x:v>
      </x:c>
      <x:c r="Q725" s="20" t="str">
        <x:v>https://www.goodcoffee.com.tr/products/colombia-santa-maria-geisha-washed</x:v>
      </x:c>
      <x:c r="R725" s="20" t="str">
        <x:v>Öğütüm seçenekleri aynı gramaj ve fiyatta tekilleştirildi.</x:v>
      </x:c>
    </x:row>
    <x:row r="726" ht="40" customHeight="1">
      <x:c r="A726" s="16" t="str">
        <x:v>Good Coffee</x:v>
      </x:c>
      <x:c r="B726" s="16" t="str"/>
      <x:c r="C726" s="16" t="str">
        <x:v>Pilot doğrulaması</x:v>
      </x:c>
      <x:c r="D726" s="16" t="str">
        <x:v>Ürün kaydı</x:v>
      </x:c>
      <x:c r="E726" s="16" t="str">
        <x:v>Costa Rica Finca La Chumeca</x:v>
      </x:c>
      <x:c r="F726" s="16" t="str">
        <x:v>Kosta Rika</x:v>
      </x:c>
      <x:c r="G726" s="17" t="n">
        <x:v>250</x:v>
      </x:c>
      <x:c r="H726" s="16" t="str">
        <x:v>Erişildi</x:v>
      </x:c>
      <x:c r="I726" s="18" t="n">
        <x:v>1320</x:v>
      </x:c>
      <x:c r="J726" s="18" t="str">
        <x:v>Erişildi</x:v>
      </x:c>
      <x:c r="K726" s="18" t="n">
        <x:f>IF(AND(ISNUMBER(G726),ISNUMBER(I726)),I726/G726*1000,"Erişilemedi")</x:f>
        <x:v>5280</x:v>
      </x:c>
      <x:c r="L726" s="16" t="str">
        <x:v>Stokta</x:v>
      </x:c>
      <x:c r="M726" s="16" t="str">
        <x:v>Tek köken</x:v>
      </x:c>
      <x:c r="N726" s="16" t="str">
        <x:v>Pilot manuel/API doğrulaması</x:v>
      </x:c>
      <x:c r="O726" s="16" t="str">
        <x:v>Yüksek</x:v>
      </x:c>
      <x:c r="P726" s="19" t="n">
        <x:v>46245</x:v>
      </x:c>
      <x:c r="Q726" s="20" t="str">
        <x:v>https://www.goodcoffee.com.tr/products.json?limit=250</x:v>
      </x:c>
      <x:c r="R726" s="20" t="str"/>
    </x:row>
    <x:row r="727" ht="40" customHeight="1">
      <x:c r="A727" s="16" t="str">
        <x:v>Good Coffee</x:v>
      </x:c>
      <x:c r="B727" s="16" t="str"/>
      <x:c r="C727" s="16" t="str">
        <x:v>Pilot doğrulaması</x:v>
      </x:c>
      <x:c r="D727" s="16" t="str">
        <x:v>Ürün kaydı</x:v>
      </x:c>
      <x:c r="E727" s="16" t="str">
        <x:v>Costa Rica Finca La Chumeca</x:v>
      </x:c>
      <x:c r="F727" s="16" t="str">
        <x:v>Kosta Rika</x:v>
      </x:c>
      <x:c r="G727" s="17" t="n">
        <x:v>1000</x:v>
      </x:c>
      <x:c r="H727" s="16" t="str">
        <x:v>Erişildi</x:v>
      </x:c>
      <x:c r="I727" s="18" t="n">
        <x:v>4752</x:v>
      </x:c>
      <x:c r="J727" s="18" t="str">
        <x:v>Erişildi</x:v>
      </x:c>
      <x:c r="K727" s="18" t="n">
        <x:f>IF(AND(ISNUMBER(G727),ISNUMBER(I727)),I727/G727*1000,"Erişilemedi")</x:f>
        <x:v>4752</x:v>
      </x:c>
      <x:c r="L727" s="16" t="str">
        <x:v>Stokta</x:v>
      </x:c>
      <x:c r="M727" s="16" t="str">
        <x:v>Tek köken</x:v>
      </x:c>
      <x:c r="N727" s="16" t="str">
        <x:v>Pilot manuel/API doğrulaması</x:v>
      </x:c>
      <x:c r="O727" s="16" t="str">
        <x:v>Yüksek</x:v>
      </x:c>
      <x:c r="P727" s="19" t="n">
        <x:v>46245</x:v>
      </x:c>
      <x:c r="Q727" s="20" t="str">
        <x:v>https://www.goodcoffee.com.tr/products.json?limit=250</x:v>
      </x:c>
      <x:c r="R727" s="20" t="str"/>
    </x:row>
    <x:row r="728" ht="40" customHeight="1">
      <x:c r="A728" s="16" t="str">
        <x:v>Good Coffee</x:v>
      </x:c>
      <x:c r="B728" s="16" t="str">
        <x:v>İstanbul</x:v>
      </x:c>
      <x:c r="C728" s="16" t="str">
        <x:v>Doğrulandı</x:v>
      </x:c>
      <x:c r="D728" s="16" t="str">
        <x:v>Ürün kaydı</x:v>
      </x:c>
      <x:c r="E728" s="16" t="str">
        <x:v>Costa Rica Finca La Chumeca Anaerobic Natural</x:v>
      </x:c>
      <x:c r="F728" s="16" t="str">
        <x:v>Kosta Rika</x:v>
      </x:c>
      <x:c r="G728" s="17" t="n">
        <x:v>250</x:v>
      </x:c>
      <x:c r="H728" s="16" t="str">
        <x:v>Erişildi</x:v>
      </x:c>
      <x:c r="I728" s="18" t="n">
        <x:v>1320</x:v>
      </x:c>
      <x:c r="J728" s="18" t="str">
        <x:v>Erişildi</x:v>
      </x:c>
      <x:c r="K728" s="18" t="n">
        <x:f>IF(AND(ISNUMBER(G728),ISNUMBER(I728)),I728/G728*1000,"Erişilemedi")</x:f>
        <x:v>5280</x:v>
      </x:c>
      <x:c r="L728" s="16" t="str">
        <x:v>Stokta</x:v>
      </x:c>
      <x:c r="M728" s="16" t="str">
        <x:v>Tek köken/ürün</x:v>
      </x:c>
      <x:c r="N728" s="16" t="str">
        <x:v>Shopify ürün akışı</x:v>
      </x:c>
      <x:c r="O728" s="16" t="str">
        <x:v>Yüksek</x:v>
      </x:c>
      <x:c r="P728" s="19" t="n">
        <x:v>46245</x:v>
      </x:c>
      <x:c r="Q728" s="20" t="str">
        <x:v>https://www.goodcoffee.com.tr/products/costa-rica-finca-la-chumeca-anaerobic-natural</x:v>
      </x:c>
      <x:c r="R728" s="20" t="str">
        <x:v>Öğütüm seçenekleri aynı gramaj ve fiyatta tekilleştirildi.</x:v>
      </x:c>
    </x:row>
    <x:row r="729" ht="40" customHeight="1">
      <x:c r="A729" s="16" t="str">
        <x:v>Good Coffee</x:v>
      </x:c>
      <x:c r="B729" s="16" t="str">
        <x:v>İstanbul</x:v>
      </x:c>
      <x:c r="C729" s="16" t="str">
        <x:v>Doğrulandı</x:v>
      </x:c>
      <x:c r="D729" s="16" t="str">
        <x:v>Ürün kaydı</x:v>
      </x:c>
      <x:c r="E729" s="16" t="str">
        <x:v>Costa Rica Finca La Chumeca Anaerobic Natural</x:v>
      </x:c>
      <x:c r="F729" s="16" t="str">
        <x:v>Kosta Rika</x:v>
      </x:c>
      <x:c r="G729" s="17" t="n">
        <x:v>1000</x:v>
      </x:c>
      <x:c r="H729" s="16" t="str">
        <x:v>Erişildi</x:v>
      </x:c>
      <x:c r="I729" s="18" t="n">
        <x:v>4752</x:v>
      </x:c>
      <x:c r="J729" s="18" t="str">
        <x:v>Erişildi</x:v>
      </x:c>
      <x:c r="K729" s="18" t="n">
        <x:f>IF(AND(ISNUMBER(G729),ISNUMBER(I729)),I729/G729*1000,"Erişilemedi")</x:f>
        <x:v>4752</x:v>
      </x:c>
      <x:c r="L729" s="16" t="str">
        <x:v>Stokta</x:v>
      </x:c>
      <x:c r="M729" s="16" t="str">
        <x:v>Tek köken/ürün</x:v>
      </x:c>
      <x:c r="N729" s="16" t="str">
        <x:v>Shopify ürün akışı</x:v>
      </x:c>
      <x:c r="O729" s="16" t="str">
        <x:v>Yüksek</x:v>
      </x:c>
      <x:c r="P729" s="19" t="n">
        <x:v>46245</x:v>
      </x:c>
      <x:c r="Q729" s="20" t="str">
        <x:v>https://www.goodcoffee.com.tr/products/costa-rica-finca-la-chumeca-anaerobic-natural</x:v>
      </x:c>
      <x:c r="R729" s="20" t="str">
        <x:v>Öğütüm seçenekleri aynı gramaj ve fiyatta tekilleştirildi.</x:v>
      </x:c>
    </x:row>
    <x:row r="730" ht="40" customHeight="1">
      <x:c r="A730" s="16" t="str">
        <x:v>Good Coffee</x:v>
      </x:c>
      <x:c r="B730" s="16" t="str">
        <x:v>İstanbul</x:v>
      </x:c>
      <x:c r="C730" s="16" t="str">
        <x:v>Doğrulandı</x:v>
      </x:c>
      <x:c r="D730" s="16" t="str">
        <x:v>Ürün kaydı</x:v>
      </x:c>
      <x:c r="E730" s="16" t="str">
        <x:v>Ethiopia Bochesa Anaerobic Natural</x:v>
      </x:c>
      <x:c r="F730" s="16" t="str">
        <x:v>Etiyopya</x:v>
      </x:c>
      <x:c r="G730" s="17" t="n">
        <x:v>250</x:v>
      </x:c>
      <x:c r="H730" s="16" t="str">
        <x:v>Erişildi</x:v>
      </x:c>
      <x:c r="I730" s="18" t="n">
        <x:v>990</x:v>
      </x:c>
      <x:c r="J730" s="18" t="str">
        <x:v>Erişildi</x:v>
      </x:c>
      <x:c r="K730" s="18" t="n">
        <x:f>IF(AND(ISNUMBER(G730),ISNUMBER(I730)),I730/G730*1000,"Erişilemedi")</x:f>
        <x:v>3960</x:v>
      </x:c>
      <x:c r="L730" s="16" t="str">
        <x:v>Stokta</x:v>
      </x:c>
      <x:c r="M730" s="16" t="str">
        <x:v>Tek köken/ürün</x:v>
      </x:c>
      <x:c r="N730" s="16" t="str">
        <x:v>Shopify ürün akışı</x:v>
      </x:c>
      <x:c r="O730" s="16" t="str">
        <x:v>Yüksek</x:v>
      </x:c>
      <x:c r="P730" s="19" t="n">
        <x:v>46245</x:v>
      </x:c>
      <x:c r="Q730" s="20" t="str">
        <x:v>https://www.goodcoffee.com.tr/products/ethiopia-bochesa-anaerobic-natural</x:v>
      </x:c>
      <x:c r="R730" s="20" t="str">
        <x:v>Öğütüm seçenekleri aynı gramaj ve fiyatta tekilleştirildi.</x:v>
      </x:c>
    </x:row>
    <x:row r="731" ht="40" customHeight="1">
      <x:c r="A731" s="16" t="str">
        <x:v>Good Coffee</x:v>
      </x:c>
      <x:c r="B731" s="16" t="str">
        <x:v>İstanbul</x:v>
      </x:c>
      <x:c r="C731" s="16" t="str">
        <x:v>Doğrulandı</x:v>
      </x:c>
      <x:c r="D731" s="16" t="str">
        <x:v>Ürün kaydı</x:v>
      </x:c>
      <x:c r="E731" s="16" t="str">
        <x:v>Ethiopia Bochesa Anaerobic Natural</x:v>
      </x:c>
      <x:c r="F731" s="16" t="str">
        <x:v>Etiyopya</x:v>
      </x:c>
      <x:c r="G731" s="17" t="n">
        <x:v>1000</x:v>
      </x:c>
      <x:c r="H731" s="16" t="str">
        <x:v>Erişildi</x:v>
      </x:c>
      <x:c r="I731" s="18" t="n">
        <x:v>3564</x:v>
      </x:c>
      <x:c r="J731" s="18" t="str">
        <x:v>Erişildi</x:v>
      </x:c>
      <x:c r="K731" s="18" t="n">
        <x:f>IF(AND(ISNUMBER(G731),ISNUMBER(I731)),I731/G731*1000,"Erişilemedi")</x:f>
        <x:v>3564</x:v>
      </x:c>
      <x:c r="L731" s="16" t="str">
        <x:v>Stokta</x:v>
      </x:c>
      <x:c r="M731" s="16" t="str">
        <x:v>Tek köken/ürün</x:v>
      </x:c>
      <x:c r="N731" s="16" t="str">
        <x:v>Shopify ürün akışı</x:v>
      </x:c>
      <x:c r="O731" s="16" t="str">
        <x:v>Yüksek</x:v>
      </x:c>
      <x:c r="P731" s="19" t="n">
        <x:v>46245</x:v>
      </x:c>
      <x:c r="Q731" s="20" t="str">
        <x:v>https://www.goodcoffee.com.tr/products/ethiopia-bochesa-anaerobic-natural</x:v>
      </x:c>
      <x:c r="R731" s="20" t="str">
        <x:v>Öğütüm seçenekleri aynı gramaj ve fiyatta tekilleştirildi.</x:v>
      </x:c>
    </x:row>
    <x:row r="732" ht="40" customHeight="1">
      <x:c r="A732" s="16" t="str">
        <x:v>Good Coffee</x:v>
      </x:c>
      <x:c r="B732" s="16" t="str">
        <x:v>İstanbul</x:v>
      </x:c>
      <x:c r="C732" s="16" t="str">
        <x:v>Doğrulandı</x:v>
      </x:c>
      <x:c r="D732" s="16" t="str">
        <x:v>Ürün kaydı</x:v>
      </x:c>
      <x:c r="E732" s="16" t="str">
        <x:v>Ethiopia Damo Anaerobic Natural</x:v>
      </x:c>
      <x:c r="F732" s="16" t="str">
        <x:v>Etiyopya</x:v>
      </x:c>
      <x:c r="G732" s="17" t="n">
        <x:v>100</x:v>
      </x:c>
      <x:c r="H732" s="16" t="str">
        <x:v>Erişildi</x:v>
      </x:c>
      <x:c r="I732" s="18" t="n">
        <x:v>600</x:v>
      </x:c>
      <x:c r="J732" s="18" t="str">
        <x:v>Erişildi</x:v>
      </x:c>
      <x:c r="K732" s="18" t="n">
        <x:f>IF(AND(ISNUMBER(G732),ISNUMBER(I732)),I732/G732*1000,"Erişilemedi")</x:f>
        <x:v>6000</x:v>
      </x:c>
      <x:c r="L732" s="16" t="str">
        <x:v>Stokta</x:v>
      </x:c>
      <x:c r="M732" s="16" t="str">
        <x:v>Tek köken/ürün</x:v>
      </x:c>
      <x:c r="N732" s="16" t="str">
        <x:v>Shopify ürün akışı</x:v>
      </x:c>
      <x:c r="O732" s="16" t="str">
        <x:v>Yüksek</x:v>
      </x:c>
      <x:c r="P732" s="19" t="n">
        <x:v>46245</x:v>
      </x:c>
      <x:c r="Q732" s="20" t="str">
        <x:v>https://www.goodcoffee.com.tr/products/ethiopia-damo-anaerobic-natural</x:v>
      </x:c>
      <x:c r="R732" s="20" t="str">
        <x:v>Öğütüm seçenekleri aynı gramaj ve fiyatta tekilleştirildi.</x:v>
      </x:c>
    </x:row>
    <x:row r="733" ht="40" customHeight="1">
      <x:c r="A733" s="16" t="str">
        <x:v>Good Coffee</x:v>
      </x:c>
      <x:c r="B733" s="16" t="str">
        <x:v>İstanbul</x:v>
      </x:c>
      <x:c r="C733" s="16" t="str">
        <x:v>Doğrulandı</x:v>
      </x:c>
      <x:c r="D733" s="16" t="str">
        <x:v>Ürün kaydı</x:v>
      </x:c>
      <x:c r="E733" s="16" t="str">
        <x:v>Ethiopia Damo Anaerobic Natural</x:v>
      </x:c>
      <x:c r="F733" s="16" t="str">
        <x:v>Etiyopya</x:v>
      </x:c>
      <x:c r="G733" s="17" t="n">
        <x:v>300</x:v>
      </x:c>
      <x:c r="H733" s="16" t="str">
        <x:v>Erişildi</x:v>
      </x:c>
      <x:c r="I733" s="18" t="n">
        <x:v>1500</x:v>
      </x:c>
      <x:c r="J733" s="18" t="str">
        <x:v>Erişildi</x:v>
      </x:c>
      <x:c r="K733" s="18" t="n">
        <x:f>IF(AND(ISNUMBER(G733),ISNUMBER(I733)),I733/G733*1000,"Erişilemedi")</x:f>
        <x:v>5000</x:v>
      </x:c>
      <x:c r="L733" s="16" t="str">
        <x:v>Stokta</x:v>
      </x:c>
      <x:c r="M733" s="16" t="str">
        <x:v>Tek köken/ürün</x:v>
      </x:c>
      <x:c r="N733" s="16" t="str">
        <x:v>Shopify ürün akışı</x:v>
      </x:c>
      <x:c r="O733" s="16" t="str">
        <x:v>Yüksek</x:v>
      </x:c>
      <x:c r="P733" s="19" t="n">
        <x:v>46245</x:v>
      </x:c>
      <x:c r="Q733" s="20" t="str">
        <x:v>https://www.goodcoffee.com.tr/products/ethiopia-damo-anaerobic-natural</x:v>
      </x:c>
      <x:c r="R733" s="20" t="str">
        <x:v>Öğütüm seçenekleri aynı gramaj ve fiyatta tekilleştirildi.</x:v>
      </x:c>
    </x:row>
    <x:row r="734" ht="40" customHeight="1">
      <x:c r="A734" s="16" t="str">
        <x:v>Good Coffee</x:v>
      </x:c>
      <x:c r="B734" s="16" t="str">
        <x:v>İstanbul</x:v>
      </x:c>
      <x:c r="C734" s="16" t="str">
        <x:v>Doğrulandı</x:v>
      </x:c>
      <x:c r="D734" s="16" t="str">
        <x:v>Ürün kaydı</x:v>
      </x:c>
      <x:c r="E734" s="16" t="str">
        <x:v>Ethiopia Damo Anaerobic Natural</x:v>
      </x:c>
      <x:c r="F734" s="16" t="str">
        <x:v>Etiyopya</x:v>
      </x:c>
      <x:c r="G734" s="17" t="n">
        <x:v>1000</x:v>
      </x:c>
      <x:c r="H734" s="16" t="str">
        <x:v>Erişildi</x:v>
      </x:c>
      <x:c r="I734" s="18" t="n">
        <x:v>5000</x:v>
      </x:c>
      <x:c r="J734" s="18" t="str">
        <x:v>Erişildi</x:v>
      </x:c>
      <x:c r="K734" s="18" t="n">
        <x:f>IF(AND(ISNUMBER(G734),ISNUMBER(I734)),I734/G734*1000,"Erişilemedi")</x:f>
        <x:v>5000</x:v>
      </x:c>
      <x:c r="L734" s="16" t="str">
        <x:v>Stokta</x:v>
      </x:c>
      <x:c r="M734" s="16" t="str">
        <x:v>Tek köken/ürün</x:v>
      </x:c>
      <x:c r="N734" s="16" t="str">
        <x:v>Shopify ürün akışı</x:v>
      </x:c>
      <x:c r="O734" s="16" t="str">
        <x:v>Yüksek</x:v>
      </x:c>
      <x:c r="P734" s="19" t="n">
        <x:v>46245</x:v>
      </x:c>
      <x:c r="Q734" s="20" t="str">
        <x:v>https://www.goodcoffee.com.tr/products/ethiopia-damo-anaerobic-natural</x:v>
      </x:c>
      <x:c r="R734" s="20" t="str">
        <x:v>Öğütüm seçenekleri aynı gramaj ve fiyatta tekilleştirildi.</x:v>
      </x:c>
    </x:row>
    <x:row r="735" ht="40" customHeight="1">
      <x:c r="A735" s="16" t="str">
        <x:v>Good Coffee</x:v>
      </x:c>
      <x:c r="B735" s="16" t="str"/>
      <x:c r="C735" s="16" t="str">
        <x:v>Pilot doğrulaması</x:v>
      </x:c>
      <x:c r="D735" s="16" t="str">
        <x:v>Ürün kaydı</x:v>
      </x:c>
      <x:c r="E735" s="16" t="str">
        <x:v>Ethiopia Heleanna Biloya Red</x:v>
      </x:c>
      <x:c r="F735" s="16" t="str">
        <x:v>Etiyopya</x:v>
      </x:c>
      <x:c r="G735" s="17" t="n">
        <x:v>250</x:v>
      </x:c>
      <x:c r="H735" s="16" t="str">
        <x:v>Erişildi</x:v>
      </x:c>
      <x:c r="I735" s="18" t="n">
        <x:v>880</x:v>
      </x:c>
      <x:c r="J735" s="18" t="str">
        <x:v>Erişildi</x:v>
      </x:c>
      <x:c r="K735" s="18" t="n">
        <x:f>IF(AND(ISNUMBER(G735),ISNUMBER(I735)),I735/G735*1000,"Erişilemedi")</x:f>
        <x:v>3520</x:v>
      </x:c>
      <x:c r="L735" s="16" t="str">
        <x:v>Stokta</x:v>
      </x:c>
      <x:c r="M735" s="16" t="str">
        <x:v>Tek köken</x:v>
      </x:c>
      <x:c r="N735" s="16" t="str">
        <x:v>Pilot manuel/API doğrulaması</x:v>
      </x:c>
      <x:c r="O735" s="16" t="str">
        <x:v>Yüksek</x:v>
      </x:c>
      <x:c r="P735" s="19" t="n">
        <x:v>46245</x:v>
      </x:c>
      <x:c r="Q735" s="20" t="str">
        <x:v>https://www.goodcoffee.com.tr/products.json?limit=250</x:v>
      </x:c>
      <x:c r="R735" s="20" t="str"/>
    </x:row>
    <x:row r="736" ht="40" customHeight="1">
      <x:c r="A736" s="16" t="str">
        <x:v>Good Coffee</x:v>
      </x:c>
      <x:c r="B736" s="16" t="str"/>
      <x:c r="C736" s="16" t="str">
        <x:v>Pilot doğrulaması</x:v>
      </x:c>
      <x:c r="D736" s="16" t="str">
        <x:v>Ürün kaydı</x:v>
      </x:c>
      <x:c r="E736" s="16" t="str">
        <x:v>Ethiopia Heleanna Biloya Red</x:v>
      </x:c>
      <x:c r="F736" s="16" t="str">
        <x:v>Etiyopya</x:v>
      </x:c>
      <x:c r="G736" s="17" t="n">
        <x:v>1000</x:v>
      </x:c>
      <x:c r="H736" s="16" t="str">
        <x:v>Erişildi</x:v>
      </x:c>
      <x:c r="I736" s="18" t="n">
        <x:v>3168</x:v>
      </x:c>
      <x:c r="J736" s="18" t="str">
        <x:v>Erişildi</x:v>
      </x:c>
      <x:c r="K736" s="18" t="n">
        <x:f>IF(AND(ISNUMBER(G736),ISNUMBER(I736)),I736/G736*1000,"Erişilemedi")</x:f>
        <x:v>3168</x:v>
      </x:c>
      <x:c r="L736" s="16" t="str">
        <x:v>Stokta</x:v>
      </x:c>
      <x:c r="M736" s="16" t="str">
        <x:v>Tek köken</x:v>
      </x:c>
      <x:c r="N736" s="16" t="str">
        <x:v>Pilot manuel/API doğrulaması</x:v>
      </x:c>
      <x:c r="O736" s="16" t="str">
        <x:v>Yüksek</x:v>
      </x:c>
      <x:c r="P736" s="19" t="n">
        <x:v>46245</x:v>
      </x:c>
      <x:c r="Q736" s="20" t="str">
        <x:v>https://www.goodcoffee.com.tr/products.json?limit=250</x:v>
      </x:c>
      <x:c r="R736" s="20" t="str"/>
    </x:row>
    <x:row r="737" ht="40" customHeight="1">
      <x:c r="A737" s="16" t="str">
        <x:v>Good Coffee</x:v>
      </x:c>
      <x:c r="B737" s="16" t="str">
        <x:v>İstanbul</x:v>
      </x:c>
      <x:c r="C737" s="16" t="str">
        <x:v>Doğrulandı</x:v>
      </x:c>
      <x:c r="D737" s="16" t="str">
        <x:v>Ürün kaydı</x:v>
      </x:c>
      <x:c r="E737" s="16" t="str">
        <x:v>Ethiopia Heleanna Georgalis Biloya Red</x:v>
      </x:c>
      <x:c r="F737" s="16" t="str">
        <x:v>Etiyopya</x:v>
      </x:c>
      <x:c r="G737" s="17" t="n">
        <x:v>250</x:v>
      </x:c>
      <x:c r="H737" s="16" t="str">
        <x:v>Erişildi</x:v>
      </x:c>
      <x:c r="I737" s="18" t="n">
        <x:v>880</x:v>
      </x:c>
      <x:c r="J737" s="18" t="str">
        <x:v>Erişildi</x:v>
      </x:c>
      <x:c r="K737" s="18" t="n">
        <x:f>IF(AND(ISNUMBER(G737),ISNUMBER(I737)),I737/G737*1000,"Erişilemedi")</x:f>
        <x:v>3520</x:v>
      </x:c>
      <x:c r="L737" s="16" t="str">
        <x:v>Stokta</x:v>
      </x:c>
      <x:c r="M737" s="16" t="str">
        <x:v>Tek köken/ürün</x:v>
      </x:c>
      <x:c r="N737" s="16" t="str">
        <x:v>Shopify ürün akışı</x:v>
      </x:c>
      <x:c r="O737" s="16" t="str">
        <x:v>Yüksek</x:v>
      </x:c>
      <x:c r="P737" s="19" t="n">
        <x:v>46245</x:v>
      </x:c>
      <x:c r="Q737" s="20" t="str">
        <x:v>https://www.goodcoffee.com.tr/products/ethiopia-heleanna-georgalis-biloya-red</x:v>
      </x:c>
      <x:c r="R737" s="20" t="str">
        <x:v>Öğütüm seçenekleri aynı gramaj ve fiyatta tekilleştirildi.</x:v>
      </x:c>
    </x:row>
    <x:row r="738" ht="40" customHeight="1">
      <x:c r="A738" s="16" t="str">
        <x:v>Good Coffee</x:v>
      </x:c>
      <x:c r="B738" s="16" t="str">
        <x:v>İstanbul</x:v>
      </x:c>
      <x:c r="C738" s="16" t="str">
        <x:v>Doğrulandı</x:v>
      </x:c>
      <x:c r="D738" s="16" t="str">
        <x:v>Ürün kaydı</x:v>
      </x:c>
      <x:c r="E738" s="16" t="str">
        <x:v>Ethiopia Heleanna Georgalis Biloya Red</x:v>
      </x:c>
      <x:c r="F738" s="16" t="str">
        <x:v>Etiyopya</x:v>
      </x:c>
      <x:c r="G738" s="17" t="n">
        <x:v>1000</x:v>
      </x:c>
      <x:c r="H738" s="16" t="str">
        <x:v>Erişildi</x:v>
      </x:c>
      <x:c r="I738" s="18" t="n">
        <x:v>3168</x:v>
      </x:c>
      <x:c r="J738" s="18" t="str">
        <x:v>Erişildi</x:v>
      </x:c>
      <x:c r="K738" s="18" t="n">
        <x:f>IF(AND(ISNUMBER(G738),ISNUMBER(I738)),I738/G738*1000,"Erişilemedi")</x:f>
        <x:v>3168</x:v>
      </x:c>
      <x:c r="L738" s="16" t="str">
        <x:v>Stokta</x:v>
      </x:c>
      <x:c r="M738" s="16" t="str">
        <x:v>Tek köken/ürün</x:v>
      </x:c>
      <x:c r="N738" s="16" t="str">
        <x:v>Shopify ürün akışı</x:v>
      </x:c>
      <x:c r="O738" s="16" t="str">
        <x:v>Yüksek</x:v>
      </x:c>
      <x:c r="P738" s="19" t="n">
        <x:v>46245</x:v>
      </x:c>
      <x:c r="Q738" s="20" t="str">
        <x:v>https://www.goodcoffee.com.tr/products/ethiopia-heleanna-georgalis-biloya-red</x:v>
      </x:c>
      <x:c r="R738" s="20" t="str">
        <x:v>Öğütüm seçenekleri aynı gramaj ve fiyatta tekilleştirildi.</x:v>
      </x:c>
    </x:row>
    <x:row r="739" ht="40" customHeight="1">
      <x:c r="A739" s="16" t="str">
        <x:v>Good Coffee</x:v>
      </x:c>
      <x:c r="B739" s="16" t="str">
        <x:v>İstanbul</x:v>
      </x:c>
      <x:c r="C739" s="16" t="str">
        <x:v>Doğrulandı</x:v>
      </x:c>
      <x:c r="D739" s="16" t="str">
        <x:v>Ürün kaydı</x:v>
      </x:c>
      <x:c r="E739" s="16" t="str">
        <x:v>Ethiopia Malawo Boreta Woyo</x:v>
      </x:c>
      <x:c r="F739" s="16" t="str">
        <x:v>Etiyopya</x:v>
      </x:c>
      <x:c r="G739" s="17" t="n">
        <x:v>250</x:v>
      </x:c>
      <x:c r="H739" s="16" t="str">
        <x:v>Erişildi</x:v>
      </x:c>
      <x:c r="I739" s="18" t="n">
        <x:v>880</x:v>
      </x:c>
      <x:c r="J739" s="18" t="str">
        <x:v>Erişildi</x:v>
      </x:c>
      <x:c r="K739" s="18" t="n">
        <x:f>IF(AND(ISNUMBER(G739),ISNUMBER(I739)),I739/G739*1000,"Erişilemedi")</x:f>
        <x:v>3520</x:v>
      </x:c>
      <x:c r="L739" s="16" t="str">
        <x:v>Stokta</x:v>
      </x:c>
      <x:c r="M739" s="16" t="str">
        <x:v>Tek köken/ürün</x:v>
      </x:c>
      <x:c r="N739" s="16" t="str">
        <x:v>Shopify ürün akışı</x:v>
      </x:c>
      <x:c r="O739" s="16" t="str">
        <x:v>Yüksek</x:v>
      </x:c>
      <x:c r="P739" s="19" t="n">
        <x:v>46245</x:v>
      </x:c>
      <x:c r="Q739" s="20" t="str">
        <x:v>https://www.goodcoffee.com.tr/products/ethiopia-malawo-boreta-woyo</x:v>
      </x:c>
      <x:c r="R739" s="20" t="str">
        <x:v>Öğütüm seçenekleri aynı gramaj ve fiyatta tekilleştirildi.</x:v>
      </x:c>
    </x:row>
    <x:row r="740" ht="40" customHeight="1">
      <x:c r="A740" s="16" t="str">
        <x:v>Good Coffee</x:v>
      </x:c>
      <x:c r="B740" s="16" t="str">
        <x:v>İstanbul</x:v>
      </x:c>
      <x:c r="C740" s="16" t="str">
        <x:v>Doğrulandı</x:v>
      </x:c>
      <x:c r="D740" s="16" t="str">
        <x:v>Ürün kaydı</x:v>
      </x:c>
      <x:c r="E740" s="16" t="str">
        <x:v>Ethiopia Malawo Boreta Woyo</x:v>
      </x:c>
      <x:c r="F740" s="16" t="str">
        <x:v>Etiyopya</x:v>
      </x:c>
      <x:c r="G740" s="17" t="n">
        <x:v>1000</x:v>
      </x:c>
      <x:c r="H740" s="16" t="str">
        <x:v>Erişildi</x:v>
      </x:c>
      <x:c r="I740" s="18" t="n">
        <x:v>3168</x:v>
      </x:c>
      <x:c r="J740" s="18" t="str">
        <x:v>Erişildi</x:v>
      </x:c>
      <x:c r="K740" s="18" t="n">
        <x:f>IF(AND(ISNUMBER(G740),ISNUMBER(I740)),I740/G740*1000,"Erişilemedi")</x:f>
        <x:v>3168</x:v>
      </x:c>
      <x:c r="L740" s="16" t="str">
        <x:v>Stokta</x:v>
      </x:c>
      <x:c r="M740" s="16" t="str">
        <x:v>Tek köken/ürün</x:v>
      </x:c>
      <x:c r="N740" s="16" t="str">
        <x:v>Shopify ürün akışı</x:v>
      </x:c>
      <x:c r="O740" s="16" t="str">
        <x:v>Yüksek</x:v>
      </x:c>
      <x:c r="P740" s="19" t="n">
        <x:v>46245</x:v>
      </x:c>
      <x:c r="Q740" s="20" t="str">
        <x:v>https://www.goodcoffee.com.tr/products/ethiopia-malawo-boreta-woyo</x:v>
      </x:c>
      <x:c r="R740" s="20" t="str">
        <x:v>Öğütüm seçenekleri aynı gramaj ve fiyatta tekilleştirildi.</x:v>
      </x:c>
    </x:row>
    <x:row r="741" ht="40" customHeight="1">
      <x:c r="A741" s="16" t="str">
        <x:v>Good Coffee</x:v>
      </x:c>
      <x:c r="B741" s="16" t="str">
        <x:v>İstanbul</x:v>
      </x:c>
      <x:c r="C741" s="16" t="str">
        <x:v>Doğrulandı</x:v>
      </x:c>
      <x:c r="D741" s="16" t="str">
        <x:v>Ürün kaydı</x:v>
      </x:c>
      <x:c r="E741" s="16" t="str">
        <x:v>Rwanda Akagera Anaerobic Natural</x:v>
      </x:c>
      <x:c r="F741" s="16" t="str">
        <x:v>Ruanda</x:v>
      </x:c>
      <x:c r="G741" s="17" t="n">
        <x:v>250</x:v>
      </x:c>
      <x:c r="H741" s="16" t="str">
        <x:v>Erişildi</x:v>
      </x:c>
      <x:c r="I741" s="18" t="n">
        <x:v>990</x:v>
      </x:c>
      <x:c r="J741" s="18" t="str">
        <x:v>Erişildi</x:v>
      </x:c>
      <x:c r="K741" s="18" t="n">
        <x:f>IF(AND(ISNUMBER(G741),ISNUMBER(I741)),I741/G741*1000,"Erişilemedi")</x:f>
        <x:v>3960</x:v>
      </x:c>
      <x:c r="L741" s="16" t="str">
        <x:v>Stokta</x:v>
      </x:c>
      <x:c r="M741" s="16" t="str">
        <x:v>Tek köken/ürün</x:v>
      </x:c>
      <x:c r="N741" s="16" t="str">
        <x:v>Shopify ürün akışı</x:v>
      </x:c>
      <x:c r="O741" s="16" t="str">
        <x:v>Yüksek</x:v>
      </x:c>
      <x:c r="P741" s="19" t="n">
        <x:v>46245</x:v>
      </x:c>
      <x:c r="Q741" s="20" t="str">
        <x:v>https://www.goodcoffee.com.tr/products/rwanda-akagera-anaerobic-natural</x:v>
      </x:c>
      <x:c r="R741" s="20" t="str">
        <x:v>Öğütüm seçenekleri aynı gramaj ve fiyatta tekilleştirildi.</x:v>
      </x:c>
    </x:row>
    <x:row r="742" ht="40" customHeight="1">
      <x:c r="A742" s="16" t="str">
        <x:v>Good Coffee</x:v>
      </x:c>
      <x:c r="B742" s="16" t="str">
        <x:v>İstanbul</x:v>
      </x:c>
      <x:c r="C742" s="16" t="str">
        <x:v>Doğrulandı</x:v>
      </x:c>
      <x:c r="D742" s="16" t="str">
        <x:v>Ürün kaydı</x:v>
      </x:c>
      <x:c r="E742" s="16" t="str">
        <x:v>Rwanda Akagera Anaerobic Natural</x:v>
      </x:c>
      <x:c r="F742" s="16" t="str">
        <x:v>Ruanda</x:v>
      </x:c>
      <x:c r="G742" s="17" t="n">
        <x:v>1000</x:v>
      </x:c>
      <x:c r="H742" s="16" t="str">
        <x:v>Erişildi</x:v>
      </x:c>
      <x:c r="I742" s="18" t="n">
        <x:v>3564</x:v>
      </x:c>
      <x:c r="J742" s="18" t="str">
        <x:v>Erişildi</x:v>
      </x:c>
      <x:c r="K742" s="18" t="n">
        <x:f>IF(AND(ISNUMBER(G742),ISNUMBER(I742)),I742/G742*1000,"Erişilemedi")</x:f>
        <x:v>3564</x:v>
      </x:c>
      <x:c r="L742" s="16" t="str">
        <x:v>Stokta</x:v>
      </x:c>
      <x:c r="M742" s="16" t="str">
        <x:v>Tek köken/ürün</x:v>
      </x:c>
      <x:c r="N742" s="16" t="str">
        <x:v>Shopify ürün akışı</x:v>
      </x:c>
      <x:c r="O742" s="16" t="str">
        <x:v>Yüksek</x:v>
      </x:c>
      <x:c r="P742" s="19" t="n">
        <x:v>46245</x:v>
      </x:c>
      <x:c r="Q742" s="20" t="str">
        <x:v>https://www.goodcoffee.com.tr/products/rwanda-akagera-anaerobic-natural</x:v>
      </x:c>
      <x:c r="R742" s="20" t="str">
        <x:v>Öğütüm seçenekleri aynı gramaj ve fiyatta tekilleştirildi.</x:v>
      </x:c>
    </x:row>
    <x:row r="743" ht="40" customHeight="1">
      <x:c r="A743" s="16" t="str">
        <x:v>Good Coffee</x:v>
      </x:c>
      <x:c r="B743" s="16" t="str">
        <x:v>İstanbul</x:v>
      </x:c>
      <x:c r="C743" s="16" t="str">
        <x:v>Doğrulandı</x:v>
      </x:c>
      <x:c r="D743" s="16" t="str">
        <x:v>Ürün kaydı</x:v>
      </x:c>
      <x:c r="E743" s="16" t="str">
        <x:v>UYAN</x:v>
      </x:c>
      <x:c r="F743" s="16" t="str">
        <x:v>Menşe belirtilmemiş</x:v>
      </x:c>
      <x:c r="G743" s="17" t="n">
        <x:v>250</x:v>
      </x:c>
      <x:c r="H743" s="16" t="str">
        <x:v>Erişildi</x:v>
      </x:c>
      <x:c r="I743" s="18" t="n">
        <x:v>550</x:v>
      </x:c>
      <x:c r="J743" s="18" t="str">
        <x:v>Erişildi</x:v>
      </x:c>
      <x:c r="K743" s="18" t="n">
        <x:f>IF(AND(ISNUMBER(G743),ISNUMBER(I743)),I743/G743*1000,"Erişilemedi")</x:f>
        <x:v>2200</x:v>
      </x:c>
      <x:c r="L743" s="16" t="str">
        <x:v>Stokta</x:v>
      </x:c>
      <x:c r="M743" s="16" t="str">
        <x:v>Tek köken/ürün</x:v>
      </x:c>
      <x:c r="N743" s="16" t="str">
        <x:v>Shopify ürün akışı</x:v>
      </x:c>
      <x:c r="O743" s="16" t="str">
        <x:v>Yüksek</x:v>
      </x:c>
      <x:c r="P743" s="19" t="n">
        <x:v>46245</x:v>
      </x:c>
      <x:c r="Q743" s="20" t="str">
        <x:v>https://www.goodcoffee.com.tr/products/uyan-1</x:v>
      </x:c>
      <x:c r="R743" s="20" t="str">
        <x:v>Öğütüm seçenekleri aynı gramaj ve fiyatta tekilleştirildi.</x:v>
      </x:c>
    </x:row>
    <x:row r="744" ht="40" customHeight="1">
      <x:c r="A744" s="16" t="str">
        <x:v>Good Coffee</x:v>
      </x:c>
      <x:c r="B744" s="16" t="str">
        <x:v>İstanbul</x:v>
      </x:c>
      <x:c r="C744" s="16" t="str">
        <x:v>Doğrulandı</x:v>
      </x:c>
      <x:c r="D744" s="16" t="str">
        <x:v>Ürün kaydı</x:v>
      </x:c>
      <x:c r="E744" s="16" t="str">
        <x:v>UYAN</x:v>
      </x:c>
      <x:c r="F744" s="16" t="str">
        <x:v>Menşe belirtilmemiş</x:v>
      </x:c>
      <x:c r="G744" s="17" t="n">
        <x:v>1000</x:v>
      </x:c>
      <x:c r="H744" s="16" t="str">
        <x:v>Erişildi</x:v>
      </x:c>
      <x:c r="I744" s="18" t="n">
        <x:v>1980</x:v>
      </x:c>
      <x:c r="J744" s="18" t="str">
        <x:v>Erişildi</x:v>
      </x:c>
      <x:c r="K744" s="18" t="n">
        <x:f>IF(AND(ISNUMBER(G744),ISNUMBER(I744)),I744/G744*1000,"Erişilemedi")</x:f>
        <x:v>1980</x:v>
      </x:c>
      <x:c r="L744" s="16" t="str">
        <x:v>Stokta</x:v>
      </x:c>
      <x:c r="M744" s="16" t="str">
        <x:v>Tek köken/ürün</x:v>
      </x:c>
      <x:c r="N744" s="16" t="str">
        <x:v>Shopify ürün akışı</x:v>
      </x:c>
      <x:c r="O744" s="16" t="str">
        <x:v>Yüksek</x:v>
      </x:c>
      <x:c r="P744" s="19" t="n">
        <x:v>46245</x:v>
      </x:c>
      <x:c r="Q744" s="20" t="str">
        <x:v>https://www.goodcoffee.com.tr/products/uyan-1</x:v>
      </x:c>
      <x:c r="R744" s="20" t="str">
        <x:v>Öğütüm seçenekleri aynı gramaj ve fiyatta tekilleştirildi.</x:v>
      </x:c>
    </x:row>
    <x:row r="745" ht="40" customHeight="1">
      <x:c r="A745" s="16" t="str">
        <x:v>Gourme Coffee</x:v>
      </x:c>
      <x:c r="B745" s="16" t="str">
        <x:v>İstanbul</x:v>
      </x:c>
      <x:c r="C745" s="16" t="str">
        <x:v>Kısmi doğrulama</x:v>
      </x:c>
      <x:c r="D745" s="16" t="str">
        <x:v>Katalog takip kaydı</x:v>
      </x:c>
      <x:c r="E745" s="16" t="str">
        <x:v>Ürün kataloğu — ayrıntılı ürün verisine erişilemedi</x:v>
      </x:c>
      <x:c r="F745" s="16" t="str">
        <x:v>Erişilemedi</x:v>
      </x:c>
      <x:c r="G745" s="17" t="str">
        <x:v>Erişilemedi</x:v>
      </x:c>
      <x:c r="H745" s="16" t="str">
        <x:v>Erişilemedi</x:v>
      </x:c>
      <x:c r="I745" s="18" t="str">
        <x:v>Erişilemedi</x:v>
      </x:c>
      <x:c r="J745" s="18" t="str">
        <x:v>Erişilemedi</x:v>
      </x:c>
      <x:c r="K745" s="18" t="str">
        <x:f>IF(AND(ISNUMBER(G745),ISNUMBER(I745)),I745/G745*1000,"Erişilemedi")</x:f>
        <x:v>Erişilemedi</x:v>
      </x:c>
      <x:c r="L745" s="16" t="str">
        <x:v>Erişilemedi</x:v>
      </x:c>
      <x:c r="M745" s="16" t="str">
        <x:v>Katalog/takip kaydı</x:v>
      </x:c>
      <x:c r="N745" s="16" t="str">
        <x:v>Instagram veya mevcut kaynak</x:v>
      </x:c>
      <x:c r="O745" s="16" t="str">
        <x:v>Takip gerekli</x:v>
      </x:c>
      <x:c r="P745" s="19" t="n">
        <x:v>46245</x:v>
      </x:c>
      <x:c r="Q745" s="20" t="str">
        <x:v>Erişilemedi</x:v>
      </x:c>
      <x:c r="R745" s="20" t="str">
        <x:v>Ürün adı, gramaj ve fiyat birlikte çıkarılamadı. Bağlantı manuel inceleme için korundu.</x:v>
      </x:c>
    </x:row>
    <x:row r="746" ht="40" customHeight="1">
      <x:c r="A746" s="16" t="str">
        <x:v>Gönül Kahvesi</x:v>
      </x:c>
      <x:c r="B746" s="16" t="str">
        <x:v>İzmir</x:v>
      </x:c>
      <x:c r="C746" s="16" t="str">
        <x:v>Doğrulandı</x:v>
      </x:c>
      <x:c r="D746" s="16" t="str">
        <x:v>Katalog takip kaydı</x:v>
      </x:c>
      <x:c r="E746" s="16" t="str">
        <x:v>Ürün kataloğu — ayrıntılı ürün verisine erişilemedi</x:v>
      </x:c>
      <x:c r="F746" s="16" t="str">
        <x:v>Erişilemedi</x:v>
      </x:c>
      <x:c r="G746" s="17" t="str">
        <x:v>Erişilemedi</x:v>
      </x:c>
      <x:c r="H746" s="16" t="str">
        <x:v>Erişilemedi</x:v>
      </x:c>
      <x:c r="I746" s="18" t="str">
        <x:v>Erişilemedi</x:v>
      </x:c>
      <x:c r="J746" s="18" t="str">
        <x:v>Erişilemedi</x:v>
      </x:c>
      <x:c r="K746" s="18" t="str">
        <x:f>IF(AND(ISNUMBER(G746),ISNUMBER(I746)),I746/G746*1000,"Erişilemedi")</x:f>
        <x:v>Erişilemedi</x:v>
      </x:c>
      <x:c r="L746" s="16" t="str">
        <x:v>Erişilemedi</x:v>
      </x:c>
      <x:c r="M746" s="16" t="str">
        <x:v>Katalog/takip kaydı</x:v>
      </x:c>
      <x:c r="N746" s="16" t="str">
        <x:v>Mağaza/katalog bağlantısı</x:v>
      </x:c>
      <x:c r="O746" s="16" t="str">
        <x:v>Takip gerekli</x:v>
      </x:c>
      <x:c r="P746" s="19" t="n">
        <x:v>46245</x:v>
      </x:c>
      <x:c r="Q746" s="20" t="str">
        <x:v>https://www.gonulkahve.com/</x:v>
      </x:c>
      <x:c r="R746" s="20" t="str">
        <x:v>Ürün adı, gramaj ve fiyat birlikte çıkarılamadı. Bağlantı manuel inceleme için korundu.</x:v>
      </x:c>
    </x:row>
    <x:row r="747" ht="40" customHeight="1">
      <x:c r="A747" s="16" t="str">
        <x:v>Gramaj Coffee Roastery</x:v>
      </x:c>
      <x:c r="B747" s="16" t="str">
        <x:v>İstanbul</x:v>
      </x:c>
      <x:c r="C747" s="16" t="str">
        <x:v>Doğrulandı</x:v>
      </x:c>
      <x:c r="D747" s="16" t="str">
        <x:v>Ürün kaydı</x:v>
      </x:c>
      <x:c r="E747" s="16" t="str">
        <x:v>COLOMBIA FINCA LA DIVISA</x:v>
      </x:c>
      <x:c r="F747" s="16" t="str">
        <x:v>Kolombiya</x:v>
      </x:c>
      <x:c r="G747" s="17" t="str">
        <x:v>Erişilemedi</x:v>
      </x:c>
      <x:c r="H747" s="16" t="str">
        <x:v>Erişilemedi</x:v>
      </x:c>
      <x:c r="I747" s="18" t="n">
        <x:v>900</x:v>
      </x:c>
      <x:c r="J747" s="18" t="str">
        <x:v>Erişildi</x:v>
      </x:c>
      <x:c r="K747" s="18" t="str">
        <x:f>IF(AND(ISNUMBER(G747),ISNUMBER(I747)),I747/G747*1000,"Erişilemedi")</x:f>
        <x:v>Erişilemedi</x:v>
      </x:c>
      <x:c r="L747" s="16" t="str">
        <x:v>Belirsiz</x:v>
      </x:c>
      <x:c r="M747" s="16" t="str">
        <x:v>Kahve ürünü</x:v>
      </x:c>
      <x:c r="N747" s="16" t="str">
        <x:v>Site haritası ürün sayfası</x:v>
      </x:c>
      <x:c r="O747" s="16" t="str">
        <x:v>Düşük</x:v>
      </x:c>
      <x:c r="P747" s="19" t="n">
        <x:v>46245</x:v>
      </x:c>
      <x:c r="Q747" s="20" t="str">
        <x:v>https://gramajcoffee.com/colombia-finca-la-divisa</x:v>
      </x:c>
      <x:c r="R747" s="20" t="str">
        <x:v>Ürün kimliği korundu; eksik alanlar erişilemedi olarak işaretlenecek.</x:v>
      </x:c>
    </x:row>
    <x:row r="748" ht="40" customHeight="1">
      <x:c r="A748" s="16" t="str">
        <x:v>Gramaj Coffee Roastery</x:v>
      </x:c>
      <x:c r="B748" s="16" t="str">
        <x:v>İstanbul</x:v>
      </x:c>
      <x:c r="C748" s="16" t="str">
        <x:v>Doğrulandı</x:v>
      </x:c>
      <x:c r="D748" s="16" t="str">
        <x:v>Ürün kaydı</x:v>
      </x:c>
      <x:c r="E748" s="16" t="str">
        <x:v>ETHIOPIA ARICHA KEBELE ADORSI</x:v>
      </x:c>
      <x:c r="F748" s="16" t="str">
        <x:v>Etiyopya</x:v>
      </x:c>
      <x:c r="G748" s="17" t="str">
        <x:v>Erişilemedi</x:v>
      </x:c>
      <x:c r="H748" s="16" t="str">
        <x:v>Erişilemedi</x:v>
      </x:c>
      <x:c r="I748" s="18" t="n">
        <x:v>900</x:v>
      </x:c>
      <x:c r="J748" s="18" t="str">
        <x:v>Erişildi</x:v>
      </x:c>
      <x:c r="K748" s="18" t="str">
        <x:f>IF(AND(ISNUMBER(G748),ISNUMBER(I748)),I748/G748*1000,"Erişilemedi")</x:f>
        <x:v>Erişilemedi</x:v>
      </x:c>
      <x:c r="L748" s="16" t="str">
        <x:v>Belirsiz</x:v>
      </x:c>
      <x:c r="M748" s="16" t="str">
        <x:v>Kahve ürünü</x:v>
      </x:c>
      <x:c r="N748" s="16" t="str">
        <x:v>Site haritası ürün sayfası</x:v>
      </x:c>
      <x:c r="O748" s="16" t="str">
        <x:v>Düşük</x:v>
      </x:c>
      <x:c r="P748" s="19" t="n">
        <x:v>46245</x:v>
      </x:c>
      <x:c r="Q748" s="20" t="str">
        <x:v>https://gramajcoffee.com/ethiopia-aricha-kebele-adorsi</x:v>
      </x:c>
      <x:c r="R748" s="20" t="str">
        <x:v>Ürün kimliği korundu; eksik alanlar erişilemedi olarak işaretlenecek.</x:v>
      </x:c>
    </x:row>
    <x:row r="749" ht="40" customHeight="1">
      <x:c r="A749" s="16" t="str">
        <x:v>Gramaj Coffee Roastery</x:v>
      </x:c>
      <x:c r="B749" s="16" t="str">
        <x:v>İstanbul</x:v>
      </x:c>
      <x:c r="C749" s="16" t="str">
        <x:v>Doğrulandı</x:v>
      </x:c>
      <x:c r="D749" s="16" t="str">
        <x:v>Ürün kaydı</x:v>
      </x:c>
      <x:c r="E749" s="16" t="str">
        <x:v>ETHIOPIA HAMBELLA BEDESSA KEBELE</x:v>
      </x:c>
      <x:c r="F749" s="16" t="str">
        <x:v>Etiyopya | Brezilya</x:v>
      </x:c>
      <x:c r="G749" s="17" t="str">
        <x:v>Erişilemedi</x:v>
      </x:c>
      <x:c r="H749" s="16" t="str">
        <x:v>Erişilemedi</x:v>
      </x:c>
      <x:c r="I749" s="18" t="n">
        <x:v>900</x:v>
      </x:c>
      <x:c r="J749" s="18" t="str">
        <x:v>Erişildi</x:v>
      </x:c>
      <x:c r="K749" s="18" t="str">
        <x:f>IF(AND(ISNUMBER(G749),ISNUMBER(I749)),I749/G749*1000,"Erişilemedi")</x:f>
        <x:v>Erişilemedi</x:v>
      </x:c>
      <x:c r="L749" s="16" t="str">
        <x:v>Belirsiz</x:v>
      </x:c>
      <x:c r="M749" s="16" t="str">
        <x:v>Kahve ürünü</x:v>
      </x:c>
      <x:c r="N749" s="16" t="str">
        <x:v>Site haritası ürün sayfası</x:v>
      </x:c>
      <x:c r="O749" s="16" t="str">
        <x:v>Düşük</x:v>
      </x:c>
      <x:c r="P749" s="19" t="n">
        <x:v>46245</x:v>
      </x:c>
      <x:c r="Q749" s="20" t="str">
        <x:v>https://gramajcoffee.com/ethiopia-hambella-bedessa-kebele</x:v>
      </x:c>
      <x:c r="R749" s="20" t="str">
        <x:v>Ürün kimliği korundu; eksik alanlar erişilemedi olarak işaretlenecek.</x:v>
      </x:c>
    </x:row>
    <x:row r="750" ht="40" customHeight="1">
      <x:c r="A750" s="16" t="str">
        <x:v>Gramaj Coffee Roastery</x:v>
      </x:c>
      <x:c r="B750" s="16" t="str">
        <x:v>İstanbul</x:v>
      </x:c>
      <x:c r="C750" s="16" t="str">
        <x:v>Doğrulandı</x:v>
      </x:c>
      <x:c r="D750" s="16" t="str">
        <x:v>Ürün kaydı</x:v>
      </x:c>
      <x:c r="E750" s="16" t="str">
        <x:v>KENYA KIBUGU</x:v>
      </x:c>
      <x:c r="F750" s="16" t="str">
        <x:v>Kenya</x:v>
      </x:c>
      <x:c r="G750" s="17" t="str">
        <x:v>Erişilemedi</x:v>
      </x:c>
      <x:c r="H750" s="16" t="str">
        <x:v>Erişilemedi</x:v>
      </x:c>
      <x:c r="I750" s="18" t="n">
        <x:v>900</x:v>
      </x:c>
      <x:c r="J750" s="18" t="str">
        <x:v>Erişildi</x:v>
      </x:c>
      <x:c r="K750" s="18" t="str">
        <x:f>IF(AND(ISNUMBER(G750),ISNUMBER(I750)),I750/G750*1000,"Erişilemedi")</x:f>
        <x:v>Erişilemedi</x:v>
      </x:c>
      <x:c r="L750" s="16" t="str">
        <x:v>Belirsiz</x:v>
      </x:c>
      <x:c r="M750" s="16" t="str">
        <x:v>Kahve ürünü</x:v>
      </x:c>
      <x:c r="N750" s="16" t="str">
        <x:v>Site haritası ürün sayfası</x:v>
      </x:c>
      <x:c r="O750" s="16" t="str">
        <x:v>Düşük</x:v>
      </x:c>
      <x:c r="P750" s="19" t="n">
        <x:v>46245</x:v>
      </x:c>
      <x:c r="Q750" s="20" t="str">
        <x:v>https://gramajcoffee.com/kenya-kibugu</x:v>
      </x:c>
      <x:c r="R750" s="20" t="str">
        <x:v>Ürün kimliği korundu; eksik alanlar erişilemedi olarak işaretlenecek.</x:v>
      </x:c>
    </x:row>
    <x:row r="751" ht="40" customHeight="1">
      <x:c r="A751" s="16" t="str">
        <x:v>Gramaj Coffee Roastery</x:v>
      </x:c>
      <x:c r="B751" s="16" t="str">
        <x:v>İstanbul</x:v>
      </x:c>
      <x:c r="C751" s="16" t="str">
        <x:v>Doğrulandı</x:v>
      </x:c>
      <x:c r="D751" s="16" t="str">
        <x:v>Ürün kaydı</x:v>
      </x:c>
      <x:c r="E751" s="16" t="str">
        <x:v>MASK BLEND ESP/FILTER</x:v>
      </x:c>
      <x:c r="F751" s="16" t="str">
        <x:v>Etiyopya</x:v>
      </x:c>
      <x:c r="G751" s="17" t="str">
        <x:v>Erişilemedi</x:v>
      </x:c>
      <x:c r="H751" s="16" t="str">
        <x:v>Erişilemedi</x:v>
      </x:c>
      <x:c r="I751" s="18" t="n">
        <x:v>900</x:v>
      </x:c>
      <x:c r="J751" s="18" t="str">
        <x:v>Erişildi</x:v>
      </x:c>
      <x:c r="K751" s="18" t="str">
        <x:f>IF(AND(ISNUMBER(G751),ISNUMBER(I751)),I751/G751*1000,"Erişilemedi")</x:f>
        <x:v>Erişilemedi</x:v>
      </x:c>
      <x:c r="L751" s="16" t="str">
        <x:v>Belirsiz</x:v>
      </x:c>
      <x:c r="M751" s="16" t="str">
        <x:v>Harman</x:v>
      </x:c>
      <x:c r="N751" s="16" t="str">
        <x:v>Site haritası ürün sayfası</x:v>
      </x:c>
      <x:c r="O751" s="16" t="str">
        <x:v>Düşük</x:v>
      </x:c>
      <x:c r="P751" s="19" t="n">
        <x:v>46245</x:v>
      </x:c>
      <x:c r="Q751" s="20" t="str">
        <x:v>https://gramajcoffee.com/mask-blend-esp-filter-1-kg</x:v>
      </x:c>
      <x:c r="R751" s="20" t="str">
        <x:v>Ürün kimliği korundu; eksik alanlar erişilemedi olarak işaretlenecek.</x:v>
      </x:c>
    </x:row>
    <x:row r="752" ht="40" customHeight="1">
      <x:c r="A752" s="16" t="str">
        <x:v>Grano Coffee</x:v>
      </x:c>
      <x:c r="B752" s="16" t="str">
        <x:v>Ankara</x:v>
      </x:c>
      <x:c r="C752" s="16" t="str">
        <x:v>Kısmi doğrulama</x:v>
      </x:c>
      <x:c r="D752" s="16" t="str">
        <x:v>Katalog takip kaydı</x:v>
      </x:c>
      <x:c r="E752" s="16" t="str">
        <x:v>Ürün kataloğu — ayrıntılı ürün verisine erişilemedi</x:v>
      </x:c>
      <x:c r="F752" s="16" t="str">
        <x:v>Erişilemedi</x:v>
      </x:c>
      <x:c r="G752" s="17" t="str">
        <x:v>Erişilemedi</x:v>
      </x:c>
      <x:c r="H752" s="16" t="str">
        <x:v>Erişilemedi</x:v>
      </x:c>
      <x:c r="I752" s="18" t="str">
        <x:v>Erişilemedi</x:v>
      </x:c>
      <x:c r="J752" s="18" t="str">
        <x:v>Erişilemedi</x:v>
      </x:c>
      <x:c r="K752" s="18" t="str">
        <x:f>IF(AND(ISNUMBER(G752),ISNUMBER(I752)),I752/G752*1000,"Erişilemedi")</x:f>
        <x:v>Erişilemedi</x:v>
      </x:c>
      <x:c r="L752" s="16" t="str">
        <x:v>Erişilemedi</x:v>
      </x:c>
      <x:c r="M752" s="16" t="str">
        <x:v>Katalog/takip kaydı</x:v>
      </x:c>
      <x:c r="N752" s="16" t="str">
        <x:v>Instagram veya mevcut kaynak</x:v>
      </x:c>
      <x:c r="O752" s="16" t="str">
        <x:v>Takip gerekli</x:v>
      </x:c>
      <x:c r="P752" s="19" t="n">
        <x:v>46245</x:v>
      </x:c>
      <x:c r="Q752" s="20" t="str">
        <x:v>Erişilemedi</x:v>
      </x:c>
      <x:c r="R752" s="20" t="str">
        <x:v>Ürün adı, gramaj ve fiyat birlikte çıkarılamadı. Bağlantı manuel inceleme için korundu.</x:v>
      </x:c>
    </x:row>
    <x:row r="753" ht="40" customHeight="1">
      <x:c r="A753" s="16" t="str">
        <x:v>Greenwich Coffee</x:v>
      </x:c>
      <x:c r="B753" s="16" t="str">
        <x:v>İstanbul</x:v>
      </x:c>
      <x:c r="C753" s="16" t="str">
        <x:v>Doğrulandı</x:v>
      </x:c>
      <x:c r="D753" s="16" t="str">
        <x:v>Ürün kaydı</x:v>
      </x:c>
      <x:c r="E753" s="16" t="str">
        <x:v>COLOMBIA PİNK BOURBON (S)</x:v>
      </x:c>
      <x:c r="F753" s="16" t="str">
        <x:v>Kolombiya</x:v>
      </x:c>
      <x:c r="G753" s="17" t="str">
        <x:v>Erişilemedi</x:v>
      </x:c>
      <x:c r="H753" s="16" t="str">
        <x:v>Erişilemedi</x:v>
      </x:c>
      <x:c r="I753" s="18" t="n">
        <x:v>300</x:v>
      </x:c>
      <x:c r="J753" s="18" t="str">
        <x:v>Erişildi</x:v>
      </x:c>
      <x:c r="K753" s="18" t="str">
        <x:f>IF(AND(ISNUMBER(G753),ISNUMBER(I753)),I753/G753*1000,"Erişilemedi")</x:f>
        <x:v>Erişilemedi</x:v>
      </x:c>
      <x:c r="L753" s="16" t="str">
        <x:v>Stokta</x:v>
      </x:c>
      <x:c r="M753" s="16" t="str">
        <x:v>Kahve ürünü</x:v>
      </x:c>
      <x:c r="N753" s="16" t="str">
        <x:v>WooCommerce Store API</x:v>
      </x:c>
      <x:c r="O753" s="16" t="str">
        <x:v>Orta</x:v>
      </x:c>
      <x:c r="P753" s="19" t="n">
        <x:v>46245</x:v>
      </x:c>
      <x:c r="Q753" s="20" t="str">
        <x:v>https://greenwichcoffee.com/g-roastery/menu/icecekler/alternatifler/colombia-pink-bourbon-s/</x:v>
      </x:c>
      <x:c r="R753" s="20" t="str">
        <x:v>Fiyat veya gramaj eksik olsa da ürün korundu.</x:v>
      </x:c>
    </x:row>
    <x:row r="754" ht="40" customHeight="1">
      <x:c r="A754" s="16" t="str">
        <x:v>Guten Morgen Roastery</x:v>
      </x:c>
      <x:c r="B754" s="16" t="str">
        <x:v>İstanbul</x:v>
      </x:c>
      <x:c r="C754" s="16" t="str">
        <x:v>Doğrulandı</x:v>
      </x:c>
      <x:c r="D754" s="16" t="str">
        <x:v>Ürün kaydı</x:v>
      </x:c>
      <x:c r="E754" s="16" t="str">
        <x:v>Brezilya– Cerrado Espresso Chocolate Edition</x:v>
      </x:c>
      <x:c r="F754" s="16" t="str">
        <x:v>Brezilya</x:v>
      </x:c>
      <x:c r="G754" s="17" t="str">
        <x:v>Erişilemedi</x:v>
      </x:c>
      <x:c r="H754" s="16" t="str">
        <x:v>Erişilemedi</x:v>
      </x:c>
      <x:c r="I754" s="18" t="n">
        <x:v>450</x:v>
      </x:c>
      <x:c r="J754" s="18" t="str">
        <x:v>Erişildi</x:v>
      </x:c>
      <x:c r="K754" s="18" t="str">
        <x:f>IF(AND(ISNUMBER(G754),ISNUMBER(I754)),I754/G754*1000,"Erişilemedi")</x:f>
        <x:v>Erişilemedi</x:v>
      </x:c>
      <x:c r="L754" s="16" t="str">
        <x:v>Stokta</x:v>
      </x:c>
      <x:c r="M754" s="16" t="str">
        <x:v>Kahve ürünü</x:v>
      </x:c>
      <x:c r="N754" s="16" t="str">
        <x:v>WooCommerce Store API</x:v>
      </x:c>
      <x:c r="O754" s="16" t="str">
        <x:v>Orta</x:v>
      </x:c>
      <x:c r="P754" s="19" t="n">
        <x:v>46245</x:v>
      </x:c>
      <x:c r="Q754" s="20" t="str">
        <x:v>https://gutenmorgenroastery.com/product/brezilya-cerrado/</x:v>
      </x:c>
      <x:c r="R754" s="20" t="str">
        <x:v>Fiyat veya gramaj eksik olsa da ürün korundu.</x:v>
      </x:c>
    </x:row>
    <x:row r="755" ht="40" customHeight="1">
      <x:c r="A755" s="16" t="str">
        <x:v>Guten Morgen Roastery</x:v>
      </x:c>
      <x:c r="B755" s="16" t="str">
        <x:v>İstanbul</x:v>
      </x:c>
      <x:c r="C755" s="16" t="str">
        <x:v>Doğrulandı</x:v>
      </x:c>
      <x:c r="D755" s="16" t="str">
        <x:v>Ürün kaydı</x:v>
      </x:c>
      <x:c r="E755" s="16" t="str">
        <x:v>ETİYOPYA – Boledu</x:v>
      </x:c>
      <x:c r="F755" s="16" t="str">
        <x:v>Etiyopya</x:v>
      </x:c>
      <x:c r="G755" s="17" t="str">
        <x:v>Erişilemedi</x:v>
      </x:c>
      <x:c r="H755" s="16" t="str">
        <x:v>Erişilemedi</x:v>
      </x:c>
      <x:c r="I755" s="18" t="n">
        <x:v>875</x:v>
      </x:c>
      <x:c r="J755" s="18" t="str">
        <x:v>Erişildi</x:v>
      </x:c>
      <x:c r="K755" s="18" t="str">
        <x:f>IF(AND(ISNUMBER(G755),ISNUMBER(I755)),I755/G755*1000,"Erişilemedi")</x:f>
        <x:v>Erişilemedi</x:v>
      </x:c>
      <x:c r="L755" s="16" t="str">
        <x:v>Stokta</x:v>
      </x:c>
      <x:c r="M755" s="16" t="str">
        <x:v>Kahve ürünü</x:v>
      </x:c>
      <x:c r="N755" s="16" t="str">
        <x:v>WooCommerce Store API</x:v>
      </x:c>
      <x:c r="O755" s="16" t="str">
        <x:v>Orta</x:v>
      </x:c>
      <x:c r="P755" s="19" t="n">
        <x:v>46245</x:v>
      </x:c>
      <x:c r="Q755" s="20" t="str">
        <x:v>https://gutenmorgenroastery.com/product/etiyopya-boledu/</x:v>
      </x:c>
      <x:c r="R755" s="20" t="str">
        <x:v>Fiyat veya gramaj eksik olsa da ürün korundu.</x:v>
      </x:c>
    </x:row>
    <x:row r="756" ht="40" customHeight="1">
      <x:c r="A756" s="16" t="str">
        <x:v>Guten Morgen Roastery</x:v>
      </x:c>
      <x:c r="B756" s="16" t="str">
        <x:v>İstanbul</x:v>
      </x:c>
      <x:c r="C756" s="16" t="str">
        <x:v>Doğrulandı</x:v>
      </x:c>
      <x:c r="D756" s="16" t="str">
        <x:v>Ürün kaydı</x:v>
      </x:c>
      <x:c r="E756" s="16" t="str">
        <x:v>Guetemala Santa Rosa 2026 Espresso Edition</x:v>
      </x:c>
      <x:c r="F756" s="16" t="str">
        <x:v>Menşe belirtilmemiş</x:v>
      </x:c>
      <x:c r="G756" s="17" t="str">
        <x:v>Erişilemedi</x:v>
      </x:c>
      <x:c r="H756" s="16" t="str">
        <x:v>Erişilemedi</x:v>
      </x:c>
      <x:c r="I756" s="18" t="n">
        <x:v>650</x:v>
      </x:c>
      <x:c r="J756" s="18" t="str">
        <x:v>Erişildi</x:v>
      </x:c>
      <x:c r="K756" s="18" t="str">
        <x:f>IF(AND(ISNUMBER(G756),ISNUMBER(I756)),I756/G756*1000,"Erişilemedi")</x:f>
        <x:v>Erişilemedi</x:v>
      </x:c>
      <x:c r="L756" s="16" t="str">
        <x:v>Stokta</x:v>
      </x:c>
      <x:c r="M756" s="16" t="str">
        <x:v>Kahve ürünü</x:v>
      </x:c>
      <x:c r="N756" s="16" t="str">
        <x:v>WooCommerce Store API</x:v>
      </x:c>
      <x:c r="O756" s="16" t="str">
        <x:v>Orta</x:v>
      </x:c>
      <x:c r="P756" s="19" t="n">
        <x:v>46245</x:v>
      </x:c>
      <x:c r="Q756" s="20" t="str">
        <x:v>https://gutenmorgenroastery.com/product/guetemala-santa-rosa-2026-espresso-edition/</x:v>
      </x:c>
      <x:c r="R756" s="20" t="str">
        <x:v>Fiyat veya gramaj eksik olsa da ürün korundu.</x:v>
      </x:c>
    </x:row>
    <x:row r="757" ht="40" customHeight="1">
      <x:c r="A757" s="16" t="str">
        <x:v>Guten Morgen Roastery</x:v>
      </x:c>
      <x:c r="B757" s="16" t="str">
        <x:v>İstanbul</x:v>
      </x:c>
      <x:c r="C757" s="16" t="str">
        <x:v>Doğrulandı</x:v>
      </x:c>
      <x:c r="D757" s="16" t="str">
        <x:v>Ürün kaydı</x:v>
      </x:c>
      <x:c r="E757" s="16" t="str">
        <x:v>Honduras Las Delicias (omni)</x:v>
      </x:c>
      <x:c r="F757" s="16" t="str">
        <x:v>Honduras</x:v>
      </x:c>
      <x:c r="G757" s="17" t="str">
        <x:v>Erişilemedi</x:v>
      </x:c>
      <x:c r="H757" s="16" t="str">
        <x:v>Erişilemedi</x:v>
      </x:c>
      <x:c r="I757" s="18" t="n">
        <x:v>550</x:v>
      </x:c>
      <x:c r="J757" s="18" t="str">
        <x:v>Erişildi</x:v>
      </x:c>
      <x:c r="K757" s="18" t="str">
        <x:f>IF(AND(ISNUMBER(G757),ISNUMBER(I757)),I757/G757*1000,"Erişilemedi")</x:f>
        <x:v>Erişilemedi</x:v>
      </x:c>
      <x:c r="L757" s="16" t="str">
        <x:v>Stokta</x:v>
      </x:c>
      <x:c r="M757" s="16" t="str">
        <x:v>Kahve ürünü</x:v>
      </x:c>
      <x:c r="N757" s="16" t="str">
        <x:v>WooCommerce Store API</x:v>
      </x:c>
      <x:c r="O757" s="16" t="str">
        <x:v>Orta</x:v>
      </x:c>
      <x:c r="P757" s="19" t="n">
        <x:v>46245</x:v>
      </x:c>
      <x:c r="Q757" s="20" t="str">
        <x:v>https://gutenmorgenroastery.com/product/honduras-montecillos/</x:v>
      </x:c>
      <x:c r="R757" s="20" t="str">
        <x:v>Fiyat veya gramaj eksik olsa da ürün korundu.</x:v>
      </x:c>
    </x:row>
    <x:row r="758" ht="40" customHeight="1">
      <x:c r="A758" s="16" t="str">
        <x:v>Hana Coffee</x:v>
      </x:c>
      <x:c r="B758" s="16" t="str">
        <x:v>Ankara</x:v>
      </x:c>
      <x:c r="C758" s="16" t="str">
        <x:v>Kısmi doğrulama</x:v>
      </x:c>
      <x:c r="D758" s="16" t="str">
        <x:v>Katalog takip kaydı</x:v>
      </x:c>
      <x:c r="E758" s="16" t="str">
        <x:v>Ürün kataloğu — ayrıntılı ürün verisine erişilemedi</x:v>
      </x:c>
      <x:c r="F758" s="16" t="str">
        <x:v>Erişilemedi</x:v>
      </x:c>
      <x:c r="G758" s="17" t="str">
        <x:v>Erişilemedi</x:v>
      </x:c>
      <x:c r="H758" s="16" t="str">
        <x:v>Erişilemedi</x:v>
      </x:c>
      <x:c r="I758" s="18" t="str">
        <x:v>Erişilemedi</x:v>
      </x:c>
      <x:c r="J758" s="18" t="str">
        <x:v>Erişilemedi</x:v>
      </x:c>
      <x:c r="K758" s="18" t="str">
        <x:f>IF(AND(ISNUMBER(G758),ISNUMBER(I758)),I758/G758*1000,"Erişilemedi")</x:f>
        <x:v>Erişilemedi</x:v>
      </x:c>
      <x:c r="L758" s="16" t="str">
        <x:v>Erişilemedi</x:v>
      </x:c>
      <x:c r="M758" s="16" t="str">
        <x:v>Katalog/takip kaydı</x:v>
      </x:c>
      <x:c r="N758" s="16" t="str">
        <x:v>Instagram veya mevcut kaynak</x:v>
      </x:c>
      <x:c r="O758" s="16" t="str">
        <x:v>Takip gerekli</x:v>
      </x:c>
      <x:c r="P758" s="19" t="n">
        <x:v>46245</x:v>
      </x:c>
      <x:c r="Q758" s="20" t="str">
        <x:v>Erişilemedi</x:v>
      </x:c>
      <x:c r="R758" s="20" t="str">
        <x:v>Ürün adı, gramaj ve fiyat birlikte çıkarılamadı. Bağlantı manuel inceleme için korundu.</x:v>
      </x:c>
    </x:row>
    <x:row r="759" ht="40" customHeight="1">
      <x:c r="A759" s="16" t="str">
        <x:v>Harput Dibek</x:v>
      </x:c>
      <x:c r="B759" s="16" t="str">
        <x:v>Elazığ</x:v>
      </x:c>
      <x:c r="C759" s="16" t="str">
        <x:v>Doğrulandı</x:v>
      </x:c>
      <x:c r="D759" s="16" t="str">
        <x:v>Ürün kaydı</x:v>
      </x:c>
      <x:c r="E759" s="16" t="str">
        <x:v>3 Adet Dibek 1000gr (200gr Menengiç Hediyeli)</x:v>
      </x:c>
      <x:c r="F759" s="16" t="str">
        <x:v>Harman – menşe belirtilmemiş</x:v>
      </x:c>
      <x:c r="G759" s="17" t="n">
        <x:v>1000</x:v>
      </x:c>
      <x:c r="H759" s="16" t="str">
        <x:v>Erişildi</x:v>
      </x:c>
      <x:c r="I759" s="18" t="n">
        <x:v>2800</x:v>
      </x:c>
      <x:c r="J759" s="18" t="str">
        <x:v>Erişildi</x:v>
      </x:c>
      <x:c r="K759" s="18" t="n">
        <x:f>IF(AND(ISNUMBER(G759),ISNUMBER(I759)),I759/G759*1000,"Erişilemedi")</x:f>
        <x:v>2800</x:v>
      </x:c>
      <x:c r="L759" s="16" t="str">
        <x:v>Stokta</x:v>
      </x:c>
      <x:c r="M759" s="16" t="str">
        <x:v>Türk kahvesi</x:v>
      </x:c>
      <x:c r="N759" s="16" t="str">
        <x:v>WooCommerce Store API</x:v>
      </x:c>
      <x:c r="O759" s="16" t="str">
        <x:v>Yüksek</x:v>
      </x:c>
      <x:c r="P759" s="19" t="n">
        <x:v>46245</x:v>
      </x:c>
      <x:c r="Q759" s="20" t="str">
        <x:v>https://www.harputdibek.com/urun/3-adet-harput-dibek-1000gr-200gr-menengic-hediyeli/</x:v>
      </x:c>
      <x:c r="R759" s="20" t="str">
        <x:v>Başlık/açıklamada açık gramaj bulunan aktif ürün.</x:v>
      </x:c>
    </x:row>
    <x:row r="760" ht="40" customHeight="1">
      <x:c r="A760" s="16" t="str">
        <x:v>Harput Dibek</x:v>
      </x:c>
      <x:c r="B760" s="16" t="str">
        <x:v>Elazığ</x:v>
      </x:c>
      <x:c r="C760" s="16" t="str">
        <x:v>Doğrulandı</x:v>
      </x:c>
      <x:c r="D760" s="16" t="str">
        <x:v>Ürün kaydı</x:v>
      </x:c>
      <x:c r="E760" s="16" t="str">
        <x:v>3 Adet Menengiç 1000gr (200gr Dibek Hediyeli)</x:v>
      </x:c>
      <x:c r="F760" s="16" t="str">
        <x:v>Menşe belirtilmemiş</x:v>
      </x:c>
      <x:c r="G760" s="17" t="n">
        <x:v>1000</x:v>
      </x:c>
      <x:c r="H760" s="16" t="str">
        <x:v>Erişildi</x:v>
      </x:c>
      <x:c r="I760" s="18" t="n">
        <x:v>1399</x:v>
      </x:c>
      <x:c r="J760" s="18" t="str">
        <x:v>Erişildi</x:v>
      </x:c>
      <x:c r="K760" s="18" t="n">
        <x:f>IF(AND(ISNUMBER(G760),ISNUMBER(I760)),I760/G760*1000,"Erişilemedi")</x:f>
        <x:v>1399</x:v>
      </x:c>
      <x:c r="L760" s="16" t="str">
        <x:v>Stokta</x:v>
      </x:c>
      <x:c r="M760" s="16" t="str">
        <x:v>Tek köken/ürün</x:v>
      </x:c>
      <x:c r="N760" s="16" t="str">
        <x:v>WooCommerce Store API</x:v>
      </x:c>
      <x:c r="O760" s="16" t="str">
        <x:v>Yüksek</x:v>
      </x:c>
      <x:c r="P760" s="19" t="n">
        <x:v>46245</x:v>
      </x:c>
      <x:c r="Q760" s="20" t="str">
        <x:v>https://www.harputdibek.com/urun/3-adet-menengic-1000gr-200gr-dibek-hediyeli/</x:v>
      </x:c>
      <x:c r="R760" s="20" t="str">
        <x:v>Başlık/açıklamada açık gramaj bulunan aktif ürün.</x:v>
      </x:c>
    </x:row>
    <x:row r="761" ht="40" customHeight="1">
      <x:c r="A761" s="16" t="str">
        <x:v>Harput Dibek</x:v>
      </x:c>
      <x:c r="B761" s="16" t="str">
        <x:v>Elazığ</x:v>
      </x:c>
      <x:c r="C761" s="16" t="str">
        <x:v>Doğrulandı</x:v>
      </x:c>
      <x:c r="D761" s="16" t="str">
        <x:v>Ürün kaydı</x:v>
      </x:c>
      <x:c r="E761" s="16" t="str">
        <x:v>Dibek Kahvesi 1000g (Silindir Karton Ambalaj)</x:v>
      </x:c>
      <x:c r="F761" s="16" t="str">
        <x:v>Harman – menşe belirtilmemiş</x:v>
      </x:c>
      <x:c r="G761" s="17" t="n">
        <x:v>1000</x:v>
      </x:c>
      <x:c r="H761" s="16" t="str">
        <x:v>Erişildi</x:v>
      </x:c>
      <x:c r="I761" s="18" t="n">
        <x:v>900</x:v>
      </x:c>
      <x:c r="J761" s="18" t="str">
        <x:v>Erişildi</x:v>
      </x:c>
      <x:c r="K761" s="18" t="n">
        <x:f>IF(AND(ISNUMBER(G761),ISNUMBER(I761)),I761/G761*1000,"Erişilemedi")</x:f>
        <x:v>900</x:v>
      </x:c>
      <x:c r="L761" s="16" t="str">
        <x:v>Stokta</x:v>
      </x:c>
      <x:c r="M761" s="16" t="str">
        <x:v>Türk kahvesi</x:v>
      </x:c>
      <x:c r="N761" s="16" t="str">
        <x:v>WooCommerce Store API</x:v>
      </x:c>
      <x:c r="O761" s="16" t="str">
        <x:v>Yüksek</x:v>
      </x:c>
      <x:c r="P761" s="19" t="n">
        <x:v>46245</x:v>
      </x:c>
      <x:c r="Q761" s="20" t="str">
        <x:v>https://www.harputdibek.com/urun/dibek-kahvesi-1000g-silindir-karton-ambalaj/</x:v>
      </x:c>
      <x:c r="R761" s="20" t="str">
        <x:v>Başlık/açıklamada açık gramaj bulunan aktif ürün.</x:v>
      </x:c>
    </x:row>
    <x:row r="762" ht="40" customHeight="1">
      <x:c r="A762" s="16" t="str">
        <x:v>Harput Dibek</x:v>
      </x:c>
      <x:c r="B762" s="16" t="str">
        <x:v>Elazığ</x:v>
      </x:c>
      <x:c r="C762" s="16" t="str">
        <x:v>Doğrulandı</x:v>
      </x:c>
      <x:c r="D762" s="16" t="str">
        <x:v>Ürün kaydı</x:v>
      </x:c>
      <x:c r="E762" s="16" t="str">
        <x:v>Dibek Kahvesi 125g (Doypack Ambalaj)</x:v>
      </x:c>
      <x:c r="F762" s="16" t="str">
        <x:v>Harman – menşe belirtilmemiş</x:v>
      </x:c>
      <x:c r="G762" s="17" t="n">
        <x:v>125</x:v>
      </x:c>
      <x:c r="H762" s="16" t="str">
        <x:v>Erişildi</x:v>
      </x:c>
      <x:c r="I762" s="18" t="n">
        <x:v>180</x:v>
      </x:c>
      <x:c r="J762" s="18" t="str">
        <x:v>Erişildi</x:v>
      </x:c>
      <x:c r="K762" s="18" t="n">
        <x:f>IF(AND(ISNUMBER(G762),ISNUMBER(I762)),I762/G762*1000,"Erişilemedi")</x:f>
        <x:v>1440</x:v>
      </x:c>
      <x:c r="L762" s="16" t="str">
        <x:v>Stokta</x:v>
      </x:c>
      <x:c r="M762" s="16" t="str">
        <x:v>Türk kahvesi</x:v>
      </x:c>
      <x:c r="N762" s="16" t="str">
        <x:v>WooCommerce Store API</x:v>
      </x:c>
      <x:c r="O762" s="16" t="str">
        <x:v>Yüksek</x:v>
      </x:c>
      <x:c r="P762" s="19" t="n">
        <x:v>46245</x:v>
      </x:c>
      <x:c r="Q762" s="20" t="str">
        <x:v>https://www.harputdibek.com/urun/dibek-kahvesi-125g-doypack-ambalaj/</x:v>
      </x:c>
      <x:c r="R762" s="20" t="str">
        <x:v>Başlık/açıklamada açık gramaj bulunan aktif ürün.</x:v>
      </x:c>
    </x:row>
    <x:row r="763" ht="40" customHeight="1">
      <x:c r="A763" s="16" t="str">
        <x:v>Harput Dibek</x:v>
      </x:c>
      <x:c r="B763" s="16" t="str">
        <x:v>Elazığ</x:v>
      </x:c>
      <x:c r="C763" s="16" t="str">
        <x:v>Doğrulandı</x:v>
      </x:c>
      <x:c r="D763" s="16" t="str">
        <x:v>Ürün kaydı</x:v>
      </x:c>
      <x:c r="E763" s="16" t="str">
        <x:v>Dibek Kahvesi 200 gr X 3 Adet</x:v>
      </x:c>
      <x:c r="F763" s="16" t="str">
        <x:v>Menşe belirtilmemiş</x:v>
      </x:c>
      <x:c r="G763" s="17" t="n">
        <x:v>200</x:v>
      </x:c>
      <x:c r="H763" s="16" t="str">
        <x:v>Erişildi</x:v>
      </x:c>
      <x:c r="I763" s="18" t="n">
        <x:v>600</x:v>
      </x:c>
      <x:c r="J763" s="18" t="str">
        <x:v>Erişildi</x:v>
      </x:c>
      <x:c r="K763" s="18" t="n">
        <x:f>IF(AND(ISNUMBER(G763),ISNUMBER(I763)),I763/G763*1000,"Erişilemedi")</x:f>
        <x:v>3000</x:v>
      </x:c>
      <x:c r="L763" s="16" t="str">
        <x:v>Stokta</x:v>
      </x:c>
      <x:c r="M763" s="16" t="str">
        <x:v>Tek köken/ürün</x:v>
      </x:c>
      <x:c r="N763" s="16" t="str">
        <x:v>WooCommerce Store API</x:v>
      </x:c>
      <x:c r="O763" s="16" t="str">
        <x:v>Yüksek</x:v>
      </x:c>
      <x:c r="P763" s="19" t="n">
        <x:v>46245</x:v>
      </x:c>
      <x:c r="Q763" s="20" t="str">
        <x:v>https://www.harputdibek.com/urun/dibek-kahvesi-200g-karton-ambalaj/</x:v>
      </x:c>
      <x:c r="R763" s="20" t="str">
        <x:v>Başlık/açıklamada açık gramaj bulunan aktif ürün.</x:v>
      </x:c>
    </x:row>
    <x:row r="764" ht="40" customHeight="1">
      <x:c r="A764" s="16" t="str">
        <x:v>Harput Dibek</x:v>
      </x:c>
      <x:c r="B764" s="16" t="str">
        <x:v>Elazığ</x:v>
      </x:c>
      <x:c r="C764" s="16" t="str">
        <x:v>Doğrulandı</x:v>
      </x:c>
      <x:c r="D764" s="16" t="str">
        <x:v>Ürün kaydı</x:v>
      </x:c>
      <x:c r="E764" s="16" t="str">
        <x:v>Dibek Kahvesi 2000g (Kilitli Folyo Ambalaj)</x:v>
      </x:c>
      <x:c r="F764" s="16" t="str">
        <x:v>Harman – menşe belirtilmemiş</x:v>
      </x:c>
      <x:c r="G764" s="17" t="n">
        <x:v>2000</x:v>
      </x:c>
      <x:c r="H764" s="16" t="str">
        <x:v>Erişildi</x:v>
      </x:c>
      <x:c r="I764" s="18" t="n">
        <x:v>1440</x:v>
      </x:c>
      <x:c r="J764" s="18" t="str">
        <x:v>Erişildi</x:v>
      </x:c>
      <x:c r="K764" s="18" t="n">
        <x:f>IF(AND(ISNUMBER(G764),ISNUMBER(I764)),I764/G764*1000,"Erişilemedi")</x:f>
        <x:v>720</x:v>
      </x:c>
      <x:c r="L764" s="16" t="str">
        <x:v>Stokta</x:v>
      </x:c>
      <x:c r="M764" s="16" t="str">
        <x:v>Türk kahvesi</x:v>
      </x:c>
      <x:c r="N764" s="16" t="str">
        <x:v>WooCommerce Store API</x:v>
      </x:c>
      <x:c r="O764" s="16" t="str">
        <x:v>Yüksek</x:v>
      </x:c>
      <x:c r="P764" s="19" t="n">
        <x:v>46245</x:v>
      </x:c>
      <x:c r="Q764" s="20" t="str">
        <x:v>https://www.harputdibek.com/urun/dibek-kahvesi-2000g-kilitli-folyo-ambalaj/</x:v>
      </x:c>
      <x:c r="R764" s="20" t="str">
        <x:v>Başlık/açıklamada açık gramaj bulunan aktif ürün.</x:v>
      </x:c>
    </x:row>
    <x:row r="765" ht="40" customHeight="1">
      <x:c r="A765" s="16" t="str">
        <x:v>Harput Dibek</x:v>
      </x:c>
      <x:c r="B765" s="16" t="str">
        <x:v>Elazığ</x:v>
      </x:c>
      <x:c r="C765" s="16" t="str">
        <x:v>Doğrulandı</x:v>
      </x:c>
      <x:c r="D765" s="16" t="str">
        <x:v>Ürün kaydı</x:v>
      </x:c>
      <x:c r="E765" s="16" t="str">
        <x:v>Dibek Kahvesi 250g (Metal Ambalaj)</x:v>
      </x:c>
      <x:c r="F765" s="16" t="str">
        <x:v>Harman – menşe belirtilmemiş</x:v>
      </x:c>
      <x:c r="G765" s="17" t="n">
        <x:v>250</x:v>
      </x:c>
      <x:c r="H765" s="16" t="str">
        <x:v>Erişildi</x:v>
      </x:c>
      <x:c r="I765" s="18" t="n">
        <x:v>330</x:v>
      </x:c>
      <x:c r="J765" s="18" t="str">
        <x:v>Erişildi</x:v>
      </x:c>
      <x:c r="K765" s="18" t="n">
        <x:f>IF(AND(ISNUMBER(G765),ISNUMBER(I765)),I765/G765*1000,"Erişilemedi")</x:f>
        <x:v>1320</x:v>
      </x:c>
      <x:c r="L765" s="16" t="str">
        <x:v>Stokta</x:v>
      </x:c>
      <x:c r="M765" s="16" t="str">
        <x:v>Türk kahvesi</x:v>
      </x:c>
      <x:c r="N765" s="16" t="str">
        <x:v>WooCommerce Store API</x:v>
      </x:c>
      <x:c r="O765" s="16" t="str">
        <x:v>Yüksek</x:v>
      </x:c>
      <x:c r="P765" s="19" t="n">
        <x:v>46245</x:v>
      </x:c>
      <x:c r="Q765" s="20" t="str">
        <x:v>https://www.harputdibek.com/urun/dibek-kahvesi-250g-metal-ambalaj/</x:v>
      </x:c>
      <x:c r="R765" s="20" t="str">
        <x:v>Başlık/açıklamada açık gramaj bulunan aktif ürün.</x:v>
      </x:c>
    </x:row>
    <x:row r="766" ht="40" customHeight="1">
      <x:c r="A766" s="16" t="str">
        <x:v>Harput Dibek</x:v>
      </x:c>
      <x:c r="B766" s="16" t="str">
        <x:v>Elazığ</x:v>
      </x:c>
      <x:c r="C766" s="16" t="str">
        <x:v>Doğrulandı</x:v>
      </x:c>
      <x:c r="D766" s="16" t="str">
        <x:v>Ürün kaydı</x:v>
      </x:c>
      <x:c r="E766" s="16" t="str">
        <x:v>Dibek Kahvesi 500g (Metal Ambalaj)</x:v>
      </x:c>
      <x:c r="F766" s="16" t="str">
        <x:v>Harman – menşe belirtilmemiş</x:v>
      </x:c>
      <x:c r="G766" s="17" t="n">
        <x:v>500</x:v>
      </x:c>
      <x:c r="H766" s="16" t="str">
        <x:v>Erişildi</x:v>
      </x:c>
      <x:c r="I766" s="18" t="n">
        <x:v>450</x:v>
      </x:c>
      <x:c r="J766" s="18" t="str">
        <x:v>Erişildi</x:v>
      </x:c>
      <x:c r="K766" s="18" t="n">
        <x:f>IF(AND(ISNUMBER(G766),ISNUMBER(I766)),I766/G766*1000,"Erişilemedi")</x:f>
        <x:v>900</x:v>
      </x:c>
      <x:c r="L766" s="16" t="str">
        <x:v>Stokta</x:v>
      </x:c>
      <x:c r="M766" s="16" t="str">
        <x:v>Türk kahvesi</x:v>
      </x:c>
      <x:c r="N766" s="16" t="str">
        <x:v>WooCommerce Store API</x:v>
      </x:c>
      <x:c r="O766" s="16" t="str">
        <x:v>Yüksek</x:v>
      </x:c>
      <x:c r="P766" s="19" t="n">
        <x:v>46245</x:v>
      </x:c>
      <x:c r="Q766" s="20" t="str">
        <x:v>https://www.harputdibek.com/urun/dibek-kahvesi-500g-metal-ambalaj/</x:v>
      </x:c>
      <x:c r="R766" s="20" t="str">
        <x:v>Başlık/açıklamada açık gramaj bulunan aktif ürün.</x:v>
      </x:c>
    </x:row>
    <x:row r="767" ht="40" customHeight="1">
      <x:c r="A767" s="16" t="str">
        <x:v>Harput Dibek</x:v>
      </x:c>
      <x:c r="B767" s="16" t="str">
        <x:v>Elazığ</x:v>
      </x:c>
      <x:c r="C767" s="16" t="str">
        <x:v>Doğrulandı</x:v>
      </x:c>
      <x:c r="D767" s="16" t="str">
        <x:v>Ürün kaydı</x:v>
      </x:c>
      <x:c r="E767" s="16" t="str">
        <x:v>Dibek Kahvesi 700g (Silindir Karton Ambalaj)</x:v>
      </x:c>
      <x:c r="F767" s="16" t="str">
        <x:v>Harman – menşe belirtilmemiş</x:v>
      </x:c>
      <x:c r="G767" s="17" t="n">
        <x:v>700</x:v>
      </x:c>
      <x:c r="H767" s="16" t="str">
        <x:v>Erişildi</x:v>
      </x:c>
      <x:c r="I767" s="18" t="n">
        <x:v>699</x:v>
      </x:c>
      <x:c r="J767" s="18" t="str">
        <x:v>Erişildi</x:v>
      </x:c>
      <x:c r="K767" s="18" t="n">
        <x:f>IF(AND(ISNUMBER(G767),ISNUMBER(I767)),I767/G767*1000,"Erişilemedi")</x:f>
        <x:v>998.5714285714286</x:v>
      </x:c>
      <x:c r="L767" s="16" t="str">
        <x:v>Stokta</x:v>
      </x:c>
      <x:c r="M767" s="16" t="str">
        <x:v>Türk kahvesi</x:v>
      </x:c>
      <x:c r="N767" s="16" t="str">
        <x:v>WooCommerce Store API</x:v>
      </x:c>
      <x:c r="O767" s="16" t="str">
        <x:v>Yüksek</x:v>
      </x:c>
      <x:c r="P767" s="19" t="n">
        <x:v>46245</x:v>
      </x:c>
      <x:c r="Q767" s="20" t="str">
        <x:v>https://www.harputdibek.com/urun/dibek-kahvesi-700g-silindir-karton-ambalaj/</x:v>
      </x:c>
      <x:c r="R767" s="20" t="str">
        <x:v>Başlık/açıklamada açık gramaj bulunan aktif ürün.</x:v>
      </x:c>
    </x:row>
    <x:row r="768" ht="40" customHeight="1">
      <x:c r="A768" s="16" t="str">
        <x:v>Harput Dibek</x:v>
      </x:c>
      <x:c r="B768" s="16" t="str">
        <x:v>Elazığ</x:v>
      </x:c>
      <x:c r="C768" s="16" t="str">
        <x:v>Doğrulandı</x:v>
      </x:c>
      <x:c r="D768" s="16" t="str">
        <x:v>Ürün kaydı</x:v>
      </x:c>
      <x:c r="E768" s="16" t="str">
        <x:v>Filtre Kahve 200g (Kilitli Folyo Ambalaj)</x:v>
      </x:c>
      <x:c r="F768" s="16" t="str">
        <x:v>Brezilya | Kenya | Guatemala</x:v>
      </x:c>
      <x:c r="G768" s="17" t="n">
        <x:v>200</x:v>
      </x:c>
      <x:c r="H768" s="16" t="str">
        <x:v>Erişildi</x:v>
      </x:c>
      <x:c r="I768" s="18" t="n">
        <x:v>300</x:v>
      </x:c>
      <x:c r="J768" s="18" t="str">
        <x:v>Erişildi</x:v>
      </x:c>
      <x:c r="K768" s="18" t="n">
        <x:f>IF(AND(ISNUMBER(G768),ISNUMBER(I768)),I768/G768*1000,"Erişilemedi")</x:f>
        <x:v>1500</x:v>
      </x:c>
      <x:c r="L768" s="16" t="str">
        <x:v>Stokta</x:v>
      </x:c>
      <x:c r="M768" s="16" t="str">
        <x:v>Tek köken/ürün</x:v>
      </x:c>
      <x:c r="N768" s="16" t="str">
        <x:v>WooCommerce Store API</x:v>
      </x:c>
      <x:c r="O768" s="16" t="str">
        <x:v>Yüksek</x:v>
      </x:c>
      <x:c r="P768" s="19" t="n">
        <x:v>46245</x:v>
      </x:c>
      <x:c r="Q768" s="20" t="str">
        <x:v>https://www.harputdibek.com/urun/filtre-kahve-200g-kilitli-folyo-ambalaj/</x:v>
      </x:c>
      <x:c r="R768" s="20" t="str">
        <x:v>Başlık/açıklamada açık gramaj bulunan aktif ürün.</x:v>
      </x:c>
    </x:row>
    <x:row r="769" ht="40" customHeight="1">
      <x:c r="A769" s="16" t="str">
        <x:v>Harput Dibek</x:v>
      </x:c>
      <x:c r="B769" s="16" t="str">
        <x:v>Elazığ</x:v>
      </x:c>
      <x:c r="C769" s="16" t="str">
        <x:v>Doğrulandı</x:v>
      </x:c>
      <x:c r="D769" s="16" t="str">
        <x:v>Ürün kaydı</x:v>
      </x:c>
      <x:c r="E769" s="16" t="str">
        <x:v>HARPUT DİBEK ÖZEL ÜRETİM KOLONYA 250 ML HAFOO ( KARAMEL KAHVE )</x:v>
      </x:c>
      <x:c r="F769" s="16" t="str">
        <x:v>Menşe belirtilmemiş</x:v>
      </x:c>
      <x:c r="G769" s="17" t="str">
        <x:v>Erişilemedi</x:v>
      </x:c>
      <x:c r="H769" s="16" t="str">
        <x:v>Erişilemedi</x:v>
      </x:c>
      <x:c r="I769" s="18" t="n">
        <x:v>250</x:v>
      </x:c>
      <x:c r="J769" s="18" t="str">
        <x:v>Erişildi</x:v>
      </x:c>
      <x:c r="K769" s="18" t="str">
        <x:f>IF(AND(ISNUMBER(G769),ISNUMBER(I769)),I769/G769*1000,"Erişilemedi")</x:f>
        <x:v>Erişilemedi</x:v>
      </x:c>
      <x:c r="L769" s="16" t="str">
        <x:v>Stokta</x:v>
      </x:c>
      <x:c r="M769" s="16" t="str">
        <x:v>Kahve ürünü</x:v>
      </x:c>
      <x:c r="N769" s="16" t="str">
        <x:v>WooCommerce Store API</x:v>
      </x:c>
      <x:c r="O769" s="16" t="str">
        <x:v>Orta</x:v>
      </x:c>
      <x:c r="P769" s="19" t="n">
        <x:v>46245</x:v>
      </x:c>
      <x:c r="Q769" s="20" t="str">
        <x:v>https://www.harputdibek.com/urun/harput-dibek-ozel-uretim-kolonya-250-ml-hafoo-karamel-kahve/</x:v>
      </x:c>
      <x:c r="R769" s="20" t="str">
        <x:v>Fiyat veya gramaj eksik olsa da ürün korundu.</x:v>
      </x:c>
    </x:row>
    <x:row r="770" ht="40" customHeight="1">
      <x:c r="A770" s="16" t="str">
        <x:v>Harput Dibek</x:v>
      </x:c>
      <x:c r="B770" s="16" t="str">
        <x:v>Elazığ</x:v>
      </x:c>
      <x:c r="C770" s="16" t="str">
        <x:v>Doğrulandı</x:v>
      </x:c>
      <x:c r="D770" s="16" t="str">
        <x:v>Ürün kaydı</x:v>
      </x:c>
      <x:c r="E770" s="16" t="str">
        <x:v>HARPUT DİBEK ÖZEL ÜRETİM KOLONYA 250 ML HENNO ( ÇİKOLATA KAHVE )</x:v>
      </x:c>
      <x:c r="F770" s="16" t="str">
        <x:v>Menşe belirtilmemiş</x:v>
      </x:c>
      <x:c r="G770" s="17" t="str">
        <x:v>Erişilemedi</x:v>
      </x:c>
      <x:c r="H770" s="16" t="str">
        <x:v>Erişilemedi</x:v>
      </x:c>
      <x:c r="I770" s="18" t="n">
        <x:v>250</x:v>
      </x:c>
      <x:c r="J770" s="18" t="str">
        <x:v>Erişildi</x:v>
      </x:c>
      <x:c r="K770" s="18" t="str">
        <x:f>IF(AND(ISNUMBER(G770),ISNUMBER(I770)),I770/G770*1000,"Erişilemedi")</x:f>
        <x:v>Erişilemedi</x:v>
      </x:c>
      <x:c r="L770" s="16" t="str">
        <x:v>Stokta</x:v>
      </x:c>
      <x:c r="M770" s="16" t="str">
        <x:v>Kahve ürünü</x:v>
      </x:c>
      <x:c r="N770" s="16" t="str">
        <x:v>WooCommerce Store API</x:v>
      </x:c>
      <x:c r="O770" s="16" t="str">
        <x:v>Orta</x:v>
      </x:c>
      <x:c r="P770" s="19" t="n">
        <x:v>46245</x:v>
      </x:c>
      <x:c r="Q770" s="20" t="str">
        <x:v>https://www.harputdibek.com/urun/harput-dibek-ozel-uretim-kolonya-250-ml-henno-cikolata-kahve/</x:v>
      </x:c>
      <x:c r="R770" s="20" t="str">
        <x:v>Fiyat veya gramaj eksik olsa da ürün korundu.</x:v>
      </x:c>
    </x:row>
    <x:row r="771" ht="40" customHeight="1">
      <x:c r="A771" s="16" t="str">
        <x:v>Harput Dibek</x:v>
      </x:c>
      <x:c r="B771" s="16" t="str">
        <x:v>Elazığ</x:v>
      </x:c>
      <x:c r="C771" s="16" t="str">
        <x:v>Doğrulandı</x:v>
      </x:c>
      <x:c r="D771" s="16" t="str">
        <x:v>Ürün kaydı</x:v>
      </x:c>
      <x:c r="E771" s="16" t="str">
        <x:v>Kahvesi 1000 Gr Metal Ambalaj</x:v>
      </x:c>
      <x:c r="F771" s="16" t="str">
        <x:v>Harman – menşe belirtilmemiş</x:v>
      </x:c>
      <x:c r="G771" s="17" t="n">
        <x:v>1000</x:v>
      </x:c>
      <x:c r="H771" s="16" t="str">
        <x:v>Erişildi</x:v>
      </x:c>
      <x:c r="I771" s="18" t="n">
        <x:v>990</x:v>
      </x:c>
      <x:c r="J771" s="18" t="str">
        <x:v>Erişildi</x:v>
      </x:c>
      <x:c r="K771" s="18" t="n">
        <x:f>IF(AND(ISNUMBER(G771),ISNUMBER(I771)),I771/G771*1000,"Erişilemedi")</x:f>
        <x:v>990</x:v>
      </x:c>
      <x:c r="L771" s="16" t="str">
        <x:v>Stokta</x:v>
      </x:c>
      <x:c r="M771" s="16" t="str">
        <x:v>Türk kahvesi</x:v>
      </x:c>
      <x:c r="N771" s="16" t="str">
        <x:v>WooCommerce Store API</x:v>
      </x:c>
      <x:c r="O771" s="16" t="str">
        <x:v>Yüksek</x:v>
      </x:c>
      <x:c r="P771" s="19" t="n">
        <x:v>46245</x:v>
      </x:c>
      <x:c r="Q771" s="20" t="str">
        <x:v>https://www.harputdibek.com/urun/kahvesi-1000-gr-metal-ambalaj/</x:v>
      </x:c>
      <x:c r="R771" s="20" t="str">
        <x:v>Başlık/açıklamada açık gramaj bulunan aktif ürün.</x:v>
      </x:c>
    </x:row>
    <x:row r="772" ht="40" customHeight="1">
      <x:c r="A772" s="16" t="str">
        <x:v>Harput Dibek</x:v>
      </x:c>
      <x:c r="B772" s="16" t="str">
        <x:v>Elazığ</x:v>
      </x:c>
      <x:c r="C772" s="16" t="str">
        <x:v>Doğrulandı</x:v>
      </x:c>
      <x:c r="D772" s="16" t="str">
        <x:v>Ürün kaydı</x:v>
      </x:c>
      <x:c r="E772" s="16" t="str">
        <x:v>Türk Kahvesi 100g (Folyo Ambalaj)</x:v>
      </x:c>
      <x:c r="F772" s="16" t="str">
        <x:v>Harman – menşe belirtilmemiş</x:v>
      </x:c>
      <x:c r="G772" s="17" t="n">
        <x:v>100</x:v>
      </x:c>
      <x:c r="H772" s="16" t="str">
        <x:v>Erişildi</x:v>
      </x:c>
      <x:c r="I772" s="18" t="n">
        <x:v>250</x:v>
      </x:c>
      <x:c r="J772" s="18" t="str">
        <x:v>Erişildi</x:v>
      </x:c>
      <x:c r="K772" s="18" t="n">
        <x:f>IF(AND(ISNUMBER(G772),ISNUMBER(I772)),I772/G772*1000,"Erişilemedi")</x:f>
        <x:v>2500</x:v>
      </x:c>
      <x:c r="L772" s="16" t="str">
        <x:v>Stokta</x:v>
      </x:c>
      <x:c r="M772" s="16" t="str">
        <x:v>Türk kahvesi</x:v>
      </x:c>
      <x:c r="N772" s="16" t="str">
        <x:v>WooCommerce Store API</x:v>
      </x:c>
      <x:c r="O772" s="16" t="str">
        <x:v>Yüksek</x:v>
      </x:c>
      <x:c r="P772" s="19" t="n">
        <x:v>46245</x:v>
      </x:c>
      <x:c r="Q772" s="20" t="str">
        <x:v>https://www.harputdibek.com/urun/turk-kahvesi-100g-folyo-ambalaj/</x:v>
      </x:c>
      <x:c r="R772" s="20" t="str">
        <x:v>Başlık/açıklamada açık gramaj bulunan aktif ürün.</x:v>
      </x:c>
    </x:row>
    <x:row r="773" ht="40" customHeight="1">
      <x:c r="A773" s="16" t="str">
        <x:v>Harput Dibek</x:v>
      </x:c>
      <x:c r="B773" s="16" t="str">
        <x:v>Elazığ</x:v>
      </x:c>
      <x:c r="C773" s="16" t="str">
        <x:v>Doğrulandı</x:v>
      </x:c>
      <x:c r="D773" s="16" t="str">
        <x:v>Ürün kaydı</x:v>
      </x:c>
      <x:c r="E773" s="16" t="str">
        <x:v>Türk Kahvesi 250g (Folyo Ambalaj)</x:v>
      </x:c>
      <x:c r="F773" s="16" t="str">
        <x:v>Harman – menşe belirtilmemiş</x:v>
      </x:c>
      <x:c r="G773" s="17" t="n">
        <x:v>250</x:v>
      </x:c>
      <x:c r="H773" s="16" t="str">
        <x:v>Erişildi</x:v>
      </x:c>
      <x:c r="I773" s="18" t="n">
        <x:v>350</x:v>
      </x:c>
      <x:c r="J773" s="18" t="str">
        <x:v>Erişildi</x:v>
      </x:c>
      <x:c r="K773" s="18" t="n">
        <x:f>IF(AND(ISNUMBER(G773),ISNUMBER(I773)),I773/G773*1000,"Erişilemedi")</x:f>
        <x:v>1400</x:v>
      </x:c>
      <x:c r="L773" s="16" t="str">
        <x:v>Stokta</x:v>
      </x:c>
      <x:c r="M773" s="16" t="str">
        <x:v>Türk kahvesi</x:v>
      </x:c>
      <x:c r="N773" s="16" t="str">
        <x:v>WooCommerce Store API</x:v>
      </x:c>
      <x:c r="O773" s="16" t="str">
        <x:v>Yüksek</x:v>
      </x:c>
      <x:c r="P773" s="19" t="n">
        <x:v>46245</x:v>
      </x:c>
      <x:c r="Q773" s="20" t="str">
        <x:v>https://www.harputdibek.com/urun/turk-kahvesi-250g-folyo-ambalaj/</x:v>
      </x:c>
      <x:c r="R773" s="20" t="str">
        <x:v>Başlık/açıklamada açık gramaj bulunan aktif ürün.</x:v>
      </x:c>
    </x:row>
    <x:row r="774" ht="40" customHeight="1">
      <x:c r="A774" s="16" t="str">
        <x:v>Harput Dibek</x:v>
      </x:c>
      <x:c r="B774" s="16" t="str">
        <x:v>Elazığ</x:v>
      </x:c>
      <x:c r="C774" s="16" t="str">
        <x:v>Doğrulandı</x:v>
      </x:c>
      <x:c r="D774" s="16" t="str">
        <x:v>Ürün kaydı</x:v>
      </x:c>
      <x:c r="E774" s="16" t="str">
        <x:v>Türk Kahvesi Çekirdeği 4000g (Folyo Ambalaj)</x:v>
      </x:c>
      <x:c r="F774" s="16" t="str">
        <x:v>Harman – menşe belirtilmemiş</x:v>
      </x:c>
      <x:c r="G774" s="17" t="n">
        <x:v>4000</x:v>
      </x:c>
      <x:c r="H774" s="16" t="str">
        <x:v>Erişildi</x:v>
      </x:c>
      <x:c r="I774" s="18" t="n">
        <x:v>2999</x:v>
      </x:c>
      <x:c r="J774" s="18" t="str">
        <x:v>Erişildi</x:v>
      </x:c>
      <x:c r="K774" s="18" t="n">
        <x:f>IF(AND(ISNUMBER(G774),ISNUMBER(I774)),I774/G774*1000,"Erişilemedi")</x:f>
        <x:v>749.75</x:v>
      </x:c>
      <x:c r="L774" s="16" t="str">
        <x:v>Stokta</x:v>
      </x:c>
      <x:c r="M774" s="16" t="str">
        <x:v>Türk kahvesi</x:v>
      </x:c>
      <x:c r="N774" s="16" t="str">
        <x:v>WooCommerce Store API</x:v>
      </x:c>
      <x:c r="O774" s="16" t="str">
        <x:v>Yüksek</x:v>
      </x:c>
      <x:c r="P774" s="19" t="n">
        <x:v>46245</x:v>
      </x:c>
      <x:c r="Q774" s="20" t="str">
        <x:v>https://www.harputdibek.com/urun/turk-kahvesi-cekirdegi-4000g-folyo-ambalaj/</x:v>
      </x:c>
      <x:c r="R774" s="20" t="str">
        <x:v>Başlık/açıklamada açık gramaj bulunan aktif ürün.</x:v>
      </x:c>
    </x:row>
    <x:row r="775" ht="40" customHeight="1">
      <x:c r="A775" s="16" t="str">
        <x:v>Homestead Coffee</x:v>
      </x:c>
      <x:c r="B775" s="16" t="str">
        <x:v>Antalya</x:v>
      </x:c>
      <x:c r="C775" s="16" t="str">
        <x:v>Kısmi doğrulama</x:v>
      </x:c>
      <x:c r="D775" s="16" t="str">
        <x:v>Katalog takip kaydı</x:v>
      </x:c>
      <x:c r="E775" s="16" t="str">
        <x:v>Ürün kataloğu — ayrıntılı ürün verisine erişilemedi</x:v>
      </x:c>
      <x:c r="F775" s="16" t="str">
        <x:v>Erişilemedi</x:v>
      </x:c>
      <x:c r="G775" s="17" t="str">
        <x:v>Erişilemedi</x:v>
      </x:c>
      <x:c r="H775" s="16" t="str">
        <x:v>Erişilemedi</x:v>
      </x:c>
      <x:c r="I775" s="18" t="str">
        <x:v>Erişilemedi</x:v>
      </x:c>
      <x:c r="J775" s="18" t="str">
        <x:v>Erişilemedi</x:v>
      </x:c>
      <x:c r="K775" s="18" t="str">
        <x:f>IF(AND(ISNUMBER(G775),ISNUMBER(I775)),I775/G775*1000,"Erişilemedi")</x:f>
        <x:v>Erişilemedi</x:v>
      </x:c>
      <x:c r="L775" s="16" t="str">
        <x:v>Erişilemedi</x:v>
      </x:c>
      <x:c r="M775" s="16" t="str">
        <x:v>Katalog/takip kaydı</x:v>
      </x:c>
      <x:c r="N775" s="16" t="str">
        <x:v>Instagram veya mevcut kaynak</x:v>
      </x:c>
      <x:c r="O775" s="16" t="str">
        <x:v>Takip gerekli</x:v>
      </x:c>
      <x:c r="P775" s="19" t="n">
        <x:v>46245</x:v>
      </x:c>
      <x:c r="Q775" s="20" t="str">
        <x:v>Erişilemedi</x:v>
      </x:c>
      <x:c r="R775" s="20" t="str">
        <x:v>Ürün adı, gramaj ve fiyat birlikte çıkarılamadı. Bağlantı manuel inceleme için korundu.</x:v>
      </x:c>
    </x:row>
    <x:row r="776" ht="40" customHeight="1">
      <x:c r="A776" s="16" t="str">
        <x:v>Hound Coffee</x:v>
      </x:c>
      <x:c r="B776" s="16" t="str">
        <x:v>Ankara</x:v>
      </x:c>
      <x:c r="C776" s="16" t="str">
        <x:v>Kısmi doğrulama</x:v>
      </x:c>
      <x:c r="D776" s="16" t="str">
        <x:v>Katalog takip kaydı</x:v>
      </x:c>
      <x:c r="E776" s="16" t="str">
        <x:v>Ürün kataloğu — ayrıntılı ürün verisine erişilemedi</x:v>
      </x:c>
      <x:c r="F776" s="16" t="str">
        <x:v>Erişilemedi</x:v>
      </x:c>
      <x:c r="G776" s="17" t="str">
        <x:v>Erişilemedi</x:v>
      </x:c>
      <x:c r="H776" s="16" t="str">
        <x:v>Erişilemedi</x:v>
      </x:c>
      <x:c r="I776" s="18" t="str">
        <x:v>Erişilemedi</x:v>
      </x:c>
      <x:c r="J776" s="18" t="str">
        <x:v>Erişilemedi</x:v>
      </x:c>
      <x:c r="K776" s="18" t="str">
        <x:f>IF(AND(ISNUMBER(G776),ISNUMBER(I776)),I776/G776*1000,"Erişilemedi")</x:f>
        <x:v>Erişilemedi</x:v>
      </x:c>
      <x:c r="L776" s="16" t="str">
        <x:v>Erişilemedi</x:v>
      </x:c>
      <x:c r="M776" s="16" t="str">
        <x:v>Katalog/takip kaydı</x:v>
      </x:c>
      <x:c r="N776" s="16" t="str">
        <x:v>Instagram veya mevcut kaynak</x:v>
      </x:c>
      <x:c r="O776" s="16" t="str">
        <x:v>Takip gerekli</x:v>
      </x:c>
      <x:c r="P776" s="19" t="n">
        <x:v>46245</x:v>
      </x:c>
      <x:c r="Q776" s="20" t="str">
        <x:v>Erişilemedi</x:v>
      </x:c>
      <x:c r="R776" s="20" t="str">
        <x:v>Ürün adı, gramaj ve fiyat birlikte çıkarılamadı. Bağlantı manuel inceleme için korundu.</x:v>
      </x:c>
    </x:row>
    <x:row r="777" ht="40" customHeight="1">
      <x:c r="A777" s="16" t="str">
        <x:v>Hoya Coffee</x:v>
      </x:c>
      <x:c r="B777" s="16" t="str">
        <x:v>Ankara</x:v>
      </x:c>
      <x:c r="C777" s="16" t="str">
        <x:v>Kısmi doğrulama</x:v>
      </x:c>
      <x:c r="D777" s="16" t="str">
        <x:v>Katalog takip kaydı</x:v>
      </x:c>
      <x:c r="E777" s="16" t="str">
        <x:v>Ürün kataloğu — ayrıntılı ürün verisine erişilemedi</x:v>
      </x:c>
      <x:c r="F777" s="16" t="str">
        <x:v>Erişilemedi</x:v>
      </x:c>
      <x:c r="G777" s="17" t="str">
        <x:v>Erişilemedi</x:v>
      </x:c>
      <x:c r="H777" s="16" t="str">
        <x:v>Erişilemedi</x:v>
      </x:c>
      <x:c r="I777" s="18" t="str">
        <x:v>Erişilemedi</x:v>
      </x:c>
      <x:c r="J777" s="18" t="str">
        <x:v>Erişilemedi</x:v>
      </x:c>
      <x:c r="K777" s="18" t="str">
        <x:f>IF(AND(ISNUMBER(G777),ISNUMBER(I777)),I777/G777*1000,"Erişilemedi")</x:f>
        <x:v>Erişilemedi</x:v>
      </x:c>
      <x:c r="L777" s="16" t="str">
        <x:v>Erişilemedi</x:v>
      </x:c>
      <x:c r="M777" s="16" t="str">
        <x:v>Katalog/takip kaydı</x:v>
      </x:c>
      <x:c r="N777" s="16" t="str">
        <x:v>Instagram veya mevcut kaynak</x:v>
      </x:c>
      <x:c r="O777" s="16" t="str">
        <x:v>Takip gerekli</x:v>
      </x:c>
      <x:c r="P777" s="19" t="n">
        <x:v>46245</x:v>
      </x:c>
      <x:c r="Q777" s="20" t="str">
        <x:v>Erişilemedi</x:v>
      </x:c>
      <x:c r="R777" s="20" t="str">
        <x:v>Ürün adı, gramaj ve fiyat birlikte çıkarılamadı. Bağlantı manuel inceleme için korundu.</x:v>
      </x:c>
    </x:row>
    <x:row r="778" ht="40" customHeight="1">
      <x:c r="A778" s="16" t="str">
        <x:v>ICC Coffee Roastery / Istanbul Coffee Company</x:v>
      </x:c>
      <x:c r="B778" s="16" t="str">
        <x:v>İstanbul</x:v>
      </x:c>
      <x:c r="C778" s="16" t="str">
        <x:v>Kısmi doğrulama</x:v>
      </x:c>
      <x:c r="D778" s="16" t="str">
        <x:v>Katalog takip kaydı</x:v>
      </x:c>
      <x:c r="E778" s="16" t="str">
        <x:v>Ürün kataloğu — ayrıntılı ürün verisine erişilemedi</x:v>
      </x:c>
      <x:c r="F778" s="16" t="str">
        <x:v>Erişilemedi</x:v>
      </x:c>
      <x:c r="G778" s="17" t="str">
        <x:v>Erişilemedi</x:v>
      </x:c>
      <x:c r="H778" s="16" t="str">
        <x:v>Erişilemedi</x:v>
      </x:c>
      <x:c r="I778" s="18" t="str">
        <x:v>Erişilemedi</x:v>
      </x:c>
      <x:c r="J778" s="18" t="str">
        <x:v>Erişilemedi</x:v>
      </x:c>
      <x:c r="K778" s="18" t="str">
        <x:f>IF(AND(ISNUMBER(G778),ISNUMBER(I778)),I778/G778*1000,"Erişilemedi")</x:f>
        <x:v>Erişilemedi</x:v>
      </x:c>
      <x:c r="L778" s="16" t="str">
        <x:v>Erişilemedi</x:v>
      </x:c>
      <x:c r="M778" s="16" t="str">
        <x:v>Katalog/takip kaydı</x:v>
      </x:c>
      <x:c r="N778" s="16" t="str">
        <x:v>Instagram veya mevcut kaynak</x:v>
      </x:c>
      <x:c r="O778" s="16" t="str">
        <x:v>Takip gerekli</x:v>
      </x:c>
      <x:c r="P778" s="19" t="n">
        <x:v>46245</x:v>
      </x:c>
      <x:c r="Q778" s="20" t="str">
        <x:v>Erişilemedi</x:v>
      </x:c>
      <x:c r="R778" s="20" t="str">
        <x:v>Ürün adı, gramaj ve fiyat birlikte çıkarılamadı. Bağlantı manuel inceleme için korundu.</x:v>
      </x:c>
    </x:row>
    <x:row r="779" ht="40" customHeight="1">
      <x:c r="A779" s="16" t="str">
        <x:v>Just Coffee &amp; Roastery</x:v>
      </x:c>
      <x:c r="B779" s="16" t="str">
        <x:v>İstanbul</x:v>
      </x:c>
      <x:c r="C779" s="16" t="str">
        <x:v>Kısmi doğrulama</x:v>
      </x:c>
      <x:c r="D779" s="16" t="str">
        <x:v>Ürün kaydı</x:v>
      </x:c>
      <x:c r="E779" s="16" t="str">
        <x:v>-Colombia Esperanza-</x:v>
      </x:c>
      <x:c r="F779" s="16" t="str">
        <x:v>Kolombiya</x:v>
      </x:c>
      <x:c r="G779" s="17" t="str">
        <x:v>Erişilemedi</x:v>
      </x:c>
      <x:c r="H779" s="16" t="str">
        <x:v>Erişilemedi</x:v>
      </x:c>
      <x:c r="I779" s="18" t="n">
        <x:v>575</x:v>
      </x:c>
      <x:c r="J779" s="18" t="str">
        <x:v>Erişildi</x:v>
      </x:c>
      <x:c r="K779" s="18" t="str">
        <x:f>IF(AND(ISNUMBER(G779),ISNUMBER(I779)),I779/G779*1000,"Erişilemedi")</x:f>
        <x:v>Erişilemedi</x:v>
      </x:c>
      <x:c r="L779" s="16" t="str">
        <x:v>Stokta</x:v>
      </x:c>
      <x:c r="M779" s="16" t="str">
        <x:v>Kahve ürünü</x:v>
      </x:c>
      <x:c r="N779" s="16" t="str">
        <x:v>WooCommerce Store API</x:v>
      </x:c>
      <x:c r="O779" s="16" t="str">
        <x:v>Orta</x:v>
      </x:c>
      <x:c r="P779" s="19" t="n">
        <x:v>46245</x:v>
      </x:c>
      <x:c r="Q779" s="20" t="str">
        <x:v>https://justmakecoffee.com/urun/colombia-esperanza-2/</x:v>
      </x:c>
      <x:c r="R779" s="20" t="str">
        <x:v>Fiyat veya gramaj eksik olsa da ürün korundu.</x:v>
      </x:c>
    </x:row>
    <x:row r="780" ht="40" customHeight="1">
      <x:c r="A780" s="16" t="str">
        <x:v>Just Coffee &amp; Roastery</x:v>
      </x:c>
      <x:c r="B780" s="16" t="str">
        <x:v>İstanbul</x:v>
      </x:c>
      <x:c r="C780" s="16" t="str">
        <x:v>Kısmi doğrulama</x:v>
      </x:c>
      <x:c r="D780" s="16" t="str">
        <x:v>Ürün kaydı</x:v>
      </x:c>
      <x:c r="E780" s="16" t="str">
        <x:v>-Honduras Matazano-</x:v>
      </x:c>
      <x:c r="F780" s="16" t="str">
        <x:v>Honduras</x:v>
      </x:c>
      <x:c r="G780" s="17" t="str">
        <x:v>Erişilemedi</x:v>
      </x:c>
      <x:c r="H780" s="16" t="str">
        <x:v>Erişilemedi</x:v>
      </x:c>
      <x:c r="I780" s="18" t="n">
        <x:v>625</x:v>
      </x:c>
      <x:c r="J780" s="18" t="str">
        <x:v>Erişildi</x:v>
      </x:c>
      <x:c r="K780" s="18" t="str">
        <x:f>IF(AND(ISNUMBER(G780),ISNUMBER(I780)),I780/G780*1000,"Erişilemedi")</x:f>
        <x:v>Erişilemedi</x:v>
      </x:c>
      <x:c r="L780" s="16" t="str">
        <x:v>Stokta</x:v>
      </x:c>
      <x:c r="M780" s="16" t="str">
        <x:v>Kahve ürünü</x:v>
      </x:c>
      <x:c r="N780" s="16" t="str">
        <x:v>WooCommerce Store API</x:v>
      </x:c>
      <x:c r="O780" s="16" t="str">
        <x:v>Orta</x:v>
      </x:c>
      <x:c r="P780" s="19" t="n">
        <x:v>46245</x:v>
      </x:c>
      <x:c r="Q780" s="20" t="str">
        <x:v>https://justmakecoffee.com/urun/honduras-matazano/</x:v>
      </x:c>
      <x:c r="R780" s="20" t="str">
        <x:v>Fiyat veya gramaj eksik olsa da ürün korundu.</x:v>
      </x:c>
    </x:row>
    <x:row r="781" ht="40" customHeight="1">
      <x:c r="A781" s="16" t="str">
        <x:v>Just Coffee &amp; Roastery</x:v>
      </x:c>
      <x:c r="B781" s="16" t="str">
        <x:v>İstanbul</x:v>
      </x:c>
      <x:c r="C781" s="16" t="str">
        <x:v>Kısmi doğrulama</x:v>
      </x:c>
      <x:c r="D781" s="16" t="str">
        <x:v>Ürün kaydı</x:v>
      </x:c>
      <x:c r="E781" s="16" t="str">
        <x:v>-Rwanda Gihanga-</x:v>
      </x:c>
      <x:c r="F781" s="16" t="str">
        <x:v>Ruanda</x:v>
      </x:c>
      <x:c r="G781" s="17" t="str">
        <x:v>Erişilemedi</x:v>
      </x:c>
      <x:c r="H781" s="16" t="str">
        <x:v>Erişilemedi</x:v>
      </x:c>
      <x:c r="I781" s="18" t="n">
        <x:v>495</x:v>
      </x:c>
      <x:c r="J781" s="18" t="str">
        <x:v>Erişildi</x:v>
      </x:c>
      <x:c r="K781" s="18" t="str">
        <x:f>IF(AND(ISNUMBER(G781),ISNUMBER(I781)),I781/G781*1000,"Erişilemedi")</x:f>
        <x:v>Erişilemedi</x:v>
      </x:c>
      <x:c r="L781" s="16" t="str">
        <x:v>Stokta</x:v>
      </x:c>
      <x:c r="M781" s="16" t="str">
        <x:v>Kahve ürünü</x:v>
      </x:c>
      <x:c r="N781" s="16" t="str">
        <x:v>WooCommerce Store API</x:v>
      </x:c>
      <x:c r="O781" s="16" t="str">
        <x:v>Orta</x:v>
      </x:c>
      <x:c r="P781" s="19" t="n">
        <x:v>46245</x:v>
      </x:c>
      <x:c r="Q781" s="20" t="str">
        <x:v>https://justmakecoffee.com/urun/rwanda-gihanga/</x:v>
      </x:c>
      <x:c r="R781" s="20" t="str">
        <x:v>Fiyat veya gramaj eksik olsa da ürün korundu.</x:v>
      </x:c>
    </x:row>
    <x:row r="782" ht="40" customHeight="1">
      <x:c r="A782" s="16" t="str">
        <x:v>Just Coffee &amp; Roastery</x:v>
      </x:c>
      <x:c r="B782" s="16" t="str">
        <x:v>İstanbul</x:v>
      </x:c>
      <x:c r="C782" s="16" t="str">
        <x:v>Kısmi doğrulama</x:v>
      </x:c>
      <x:c r="D782" s="16" t="str">
        <x:v>Ürün kaydı</x:v>
      </x:c>
      <x:c r="E782" s="16" t="str">
        <x:v>*House Blend Espresso*</x:v>
      </x:c>
      <x:c r="F782" s="16" t="str">
        <x:v>Harman – menşe belirtilmemiş</x:v>
      </x:c>
      <x:c r="G782" s="17" t="str">
        <x:v>Erişilemedi</x:v>
      </x:c>
      <x:c r="H782" s="16" t="str">
        <x:v>Erişilemedi</x:v>
      </x:c>
      <x:c r="I782" s="18" t="n">
        <x:v>1345</x:v>
      </x:c>
      <x:c r="J782" s="18" t="str">
        <x:v>Erişildi</x:v>
      </x:c>
      <x:c r="K782" s="18" t="str">
        <x:f>IF(AND(ISNUMBER(G782),ISNUMBER(I782)),I782/G782*1000,"Erişilemedi")</x:f>
        <x:v>Erişilemedi</x:v>
      </x:c>
      <x:c r="L782" s="16" t="str">
        <x:v>Stokta</x:v>
      </x:c>
      <x:c r="M782" s="16" t="str">
        <x:v>Harman</x:v>
      </x:c>
      <x:c r="N782" s="16" t="str">
        <x:v>WooCommerce Store API</x:v>
      </x:c>
      <x:c r="O782" s="16" t="str">
        <x:v>Orta</x:v>
      </x:c>
      <x:c r="P782" s="19" t="n">
        <x:v>46245</x:v>
      </x:c>
      <x:c r="Q782" s="20" t="str">
        <x:v>https://justmakecoffee.com/urun/just-magic-blend/</x:v>
      </x:c>
      <x:c r="R782" s="20" t="str">
        <x:v>Fiyat veya gramaj eksik olsa da ürün korundu.</x:v>
      </x:c>
    </x:row>
    <x:row r="783" ht="40" customHeight="1">
      <x:c r="A783" s="16" t="str">
        <x:v>Just Coffee &amp; Roastery</x:v>
      </x:c>
      <x:c r="B783" s="16" t="str">
        <x:v>İstanbul</x:v>
      </x:c>
      <x:c r="C783" s="16" t="str">
        <x:v>Kısmi doğrulama</x:v>
      </x:c>
      <x:c r="D783" s="16" t="str">
        <x:v>Ürün kaydı</x:v>
      </x:c>
      <x:c r="E783" s="16" t="str">
        <x:v>*House Blend Selected Filtre*</x:v>
      </x:c>
      <x:c r="F783" s="16" t="str">
        <x:v>Harman – menşe belirtilmemiş</x:v>
      </x:c>
      <x:c r="G783" s="17" t="str">
        <x:v>Erişilemedi</x:v>
      </x:c>
      <x:c r="H783" s="16" t="str">
        <x:v>Erişilemedi</x:v>
      </x:c>
      <x:c r="I783" s="18" t="n">
        <x:v>530</x:v>
      </x:c>
      <x:c r="J783" s="18" t="str">
        <x:v>Erişildi</x:v>
      </x:c>
      <x:c r="K783" s="18" t="str">
        <x:f>IF(AND(ISNUMBER(G783),ISNUMBER(I783)),I783/G783*1000,"Erişilemedi")</x:f>
        <x:v>Erişilemedi</x:v>
      </x:c>
      <x:c r="L783" s="16" t="str">
        <x:v>Stokta</x:v>
      </x:c>
      <x:c r="M783" s="16" t="str">
        <x:v>Harman</x:v>
      </x:c>
      <x:c r="N783" s="16" t="str">
        <x:v>WooCommerce Store API</x:v>
      </x:c>
      <x:c r="O783" s="16" t="str">
        <x:v>Orta</x:v>
      </x:c>
      <x:c r="P783" s="19" t="n">
        <x:v>46245</x:v>
      </x:c>
      <x:c r="Q783" s="20" t="str">
        <x:v>https://justmakecoffee.com/urun/house-selected-blend-filtre/</x:v>
      </x:c>
      <x:c r="R783" s="20" t="str">
        <x:v>Fiyat veya gramaj eksik olsa da ürün korundu.</x:v>
      </x:c>
    </x:row>
    <x:row r="784" ht="40" customHeight="1">
      <x:c r="A784" s="16" t="str">
        <x:v>Just Coffee &amp; Roastery</x:v>
      </x:c>
      <x:c r="B784" s="16" t="str">
        <x:v>İstanbul</x:v>
      </x:c>
      <x:c r="C784" s="16" t="str">
        <x:v>Kısmi doğrulama</x:v>
      </x:c>
      <x:c r="D784" s="16" t="str">
        <x:v>Ürün kaydı</x:v>
      </x:c>
      <x:c r="E784" s="16" t="str">
        <x:v>Burundi Nyagishiru</x:v>
      </x:c>
      <x:c r="F784" s="16" t="str">
        <x:v>Burundi</x:v>
      </x:c>
      <x:c r="G784" s="17" t="str">
        <x:v>Erişilemedi</x:v>
      </x:c>
      <x:c r="H784" s="16" t="str">
        <x:v>Erişilemedi</x:v>
      </x:c>
      <x:c r="I784" s="18" t="n">
        <x:v>815</x:v>
      </x:c>
      <x:c r="J784" s="18" t="str">
        <x:v>Erişildi</x:v>
      </x:c>
      <x:c r="K784" s="18" t="str">
        <x:f>IF(AND(ISNUMBER(G784),ISNUMBER(I784)),I784/G784*1000,"Erişilemedi")</x:f>
        <x:v>Erişilemedi</x:v>
      </x:c>
      <x:c r="L784" s="16" t="str">
        <x:v>Stokta</x:v>
      </x:c>
      <x:c r="M784" s="16" t="str">
        <x:v>Kahve ürünü</x:v>
      </x:c>
      <x:c r="N784" s="16" t="str">
        <x:v>WooCommerce Store API</x:v>
      </x:c>
      <x:c r="O784" s="16" t="str">
        <x:v>Orta</x:v>
      </x:c>
      <x:c r="P784" s="19" t="n">
        <x:v>46245</x:v>
      </x:c>
      <x:c r="Q784" s="20" t="str">
        <x:v>https://justmakecoffee.com/urun/burundi-nyagishiru/</x:v>
      </x:c>
      <x:c r="R784" s="20" t="str">
        <x:v>Fiyat veya gramaj eksik olsa da ürün korundu.</x:v>
      </x:c>
    </x:row>
    <x:row r="785" ht="40" customHeight="1">
      <x:c r="A785" s="16" t="str">
        <x:v>Just Coffee &amp; Roastery</x:v>
      </x:c>
      <x:c r="B785" s="16" t="str">
        <x:v>İstanbul</x:v>
      </x:c>
      <x:c r="C785" s="16" t="str">
        <x:v>Kısmi doğrulama</x:v>
      </x:c>
      <x:c r="D785" s="16" t="str">
        <x:v>Ürün kaydı</x:v>
      </x:c>
      <x:c r="E785" s="16" t="str">
        <x:v>Costa Rica La Isla</x:v>
      </x:c>
      <x:c r="F785" s="16" t="str">
        <x:v>Kosta Rika</x:v>
      </x:c>
      <x:c r="G785" s="17" t="str">
        <x:v>Erişilemedi</x:v>
      </x:c>
      <x:c r="H785" s="16" t="str">
        <x:v>Erişilemedi</x:v>
      </x:c>
      <x:c r="I785" s="18" t="n">
        <x:v>630</x:v>
      </x:c>
      <x:c r="J785" s="18" t="str">
        <x:v>Erişildi</x:v>
      </x:c>
      <x:c r="K785" s="18" t="str">
        <x:f>IF(AND(ISNUMBER(G785),ISNUMBER(I785)),I785/G785*1000,"Erişilemedi")</x:f>
        <x:v>Erişilemedi</x:v>
      </x:c>
      <x:c r="L785" s="16" t="str">
        <x:v>Stokta</x:v>
      </x:c>
      <x:c r="M785" s="16" t="str">
        <x:v>Kahve ürünü</x:v>
      </x:c>
      <x:c r="N785" s="16" t="str">
        <x:v>WooCommerce Store API</x:v>
      </x:c>
      <x:c r="O785" s="16" t="str">
        <x:v>Orta</x:v>
      </x:c>
      <x:c r="P785" s="19" t="n">
        <x:v>46245</x:v>
      </x:c>
      <x:c r="Q785" s="20" t="str">
        <x:v>https://justmakecoffee.com/urun/costa-rica-la-isla/</x:v>
      </x:c>
      <x:c r="R785" s="20" t="str">
        <x:v>Fiyat veya gramaj eksik olsa da ürün korundu.</x:v>
      </x:c>
    </x:row>
    <x:row r="786" ht="40" customHeight="1">
      <x:c r="A786" s="16" t="str">
        <x:v>Just Coffee &amp; Roastery</x:v>
      </x:c>
      <x:c r="B786" s="16" t="str">
        <x:v>İstanbul</x:v>
      </x:c>
      <x:c r="C786" s="16" t="str">
        <x:v>Kısmi doğrulama</x:v>
      </x:c>
      <x:c r="D786" s="16" t="str">
        <x:v>Ürün kaydı</x:v>
      </x:c>
      <x:c r="E786" s="16" t="str">
        <x:v>Guatemala Selvatico</x:v>
      </x:c>
      <x:c r="F786" s="16" t="str">
        <x:v>Guatemala</x:v>
      </x:c>
      <x:c r="G786" s="17" t="str">
        <x:v>Erişilemedi</x:v>
      </x:c>
      <x:c r="H786" s="16" t="str">
        <x:v>Erişilemedi</x:v>
      </x:c>
      <x:c r="I786" s="18" t="n">
        <x:v>535</x:v>
      </x:c>
      <x:c r="J786" s="18" t="str">
        <x:v>Erişildi</x:v>
      </x:c>
      <x:c r="K786" s="18" t="str">
        <x:f>IF(AND(ISNUMBER(G786),ISNUMBER(I786)),I786/G786*1000,"Erişilemedi")</x:f>
        <x:v>Erişilemedi</x:v>
      </x:c>
      <x:c r="L786" s="16" t="str">
        <x:v>Stokta</x:v>
      </x:c>
      <x:c r="M786" s="16" t="str">
        <x:v>Kahve ürünü</x:v>
      </x:c>
      <x:c r="N786" s="16" t="str">
        <x:v>WooCommerce Store API</x:v>
      </x:c>
      <x:c r="O786" s="16" t="str">
        <x:v>Orta</x:v>
      </x:c>
      <x:c r="P786" s="19" t="n">
        <x:v>46245</x:v>
      </x:c>
      <x:c r="Q786" s="20" t="str">
        <x:v>https://justmakecoffee.com/urun/guatemala-selvatico-2/</x:v>
      </x:c>
      <x:c r="R786" s="20" t="str">
        <x:v>Fiyat veya gramaj eksik olsa da ürün korundu.</x:v>
      </x:c>
    </x:row>
    <x:row r="787" ht="40" customHeight="1">
      <x:c r="A787" s="16" t="str">
        <x:v>Just Coffee &amp; Roastery</x:v>
      </x:c>
      <x:c r="B787" s="16" t="str">
        <x:v>İstanbul</x:v>
      </x:c>
      <x:c r="C787" s="16" t="str">
        <x:v>Kısmi doğrulama</x:v>
      </x:c>
      <x:c r="D787" s="16" t="str">
        <x:v>Ürün kaydı</x:v>
      </x:c>
      <x:c r="E787" s="16" t="str">
        <x:v>Kenya Kibigu</x:v>
      </x:c>
      <x:c r="F787" s="16" t="str">
        <x:v>Kenya</x:v>
      </x:c>
      <x:c r="G787" s="17" t="str">
        <x:v>Erişilemedi</x:v>
      </x:c>
      <x:c r="H787" s="16" t="str">
        <x:v>Erişilemedi</x:v>
      </x:c>
      <x:c r="I787" s="18" t="n">
        <x:v>725</x:v>
      </x:c>
      <x:c r="J787" s="18" t="str">
        <x:v>Erişildi</x:v>
      </x:c>
      <x:c r="K787" s="18" t="str">
        <x:f>IF(AND(ISNUMBER(G787),ISNUMBER(I787)),I787/G787*1000,"Erişilemedi")</x:f>
        <x:v>Erişilemedi</x:v>
      </x:c>
      <x:c r="L787" s="16" t="str">
        <x:v>Stokta</x:v>
      </x:c>
      <x:c r="M787" s="16" t="str">
        <x:v>Kahve ürünü</x:v>
      </x:c>
      <x:c r="N787" s="16" t="str">
        <x:v>WooCommerce Store API</x:v>
      </x:c>
      <x:c r="O787" s="16" t="str">
        <x:v>Orta</x:v>
      </x:c>
      <x:c r="P787" s="19" t="n">
        <x:v>46245</x:v>
      </x:c>
      <x:c r="Q787" s="20" t="str">
        <x:v>https://justmakecoffee.com/urun/kenya-kibigu/</x:v>
      </x:c>
      <x:c r="R787" s="20" t="str">
        <x:v>Fiyat veya gramaj eksik olsa da ürün korundu.</x:v>
      </x:c>
    </x:row>
    <x:row r="788" ht="40" customHeight="1">
      <x:c r="A788" s="16" t="str">
        <x:v>Just Coffee &amp; Roastery</x:v>
      </x:c>
      <x:c r="B788" s="16" t="str">
        <x:v>İstanbul</x:v>
      </x:c>
      <x:c r="C788" s="16" t="str">
        <x:v>Kısmi doğrulama</x:v>
      </x:c>
      <x:c r="D788" s="16" t="str">
        <x:v>Ürün kaydı</x:v>
      </x:c>
      <x:c r="E788" s="16" t="str">
        <x:v>Peru Valley</x:v>
      </x:c>
      <x:c r="F788" s="16" t="str">
        <x:v>Peru</x:v>
      </x:c>
      <x:c r="G788" s="17" t="str">
        <x:v>Erişilemedi</x:v>
      </x:c>
      <x:c r="H788" s="16" t="str">
        <x:v>Erişilemedi</x:v>
      </x:c>
      <x:c r="I788" s="18" t="n">
        <x:v>580</x:v>
      </x:c>
      <x:c r="J788" s="18" t="str">
        <x:v>Erişildi</x:v>
      </x:c>
      <x:c r="K788" s="18" t="str">
        <x:f>IF(AND(ISNUMBER(G788),ISNUMBER(I788)),I788/G788*1000,"Erişilemedi")</x:f>
        <x:v>Erişilemedi</x:v>
      </x:c>
      <x:c r="L788" s="16" t="str">
        <x:v>Stokta</x:v>
      </x:c>
      <x:c r="M788" s="16" t="str">
        <x:v>Kahve ürünü</x:v>
      </x:c>
      <x:c r="N788" s="16" t="str">
        <x:v>WooCommerce Store API</x:v>
      </x:c>
      <x:c r="O788" s="16" t="str">
        <x:v>Orta</x:v>
      </x:c>
      <x:c r="P788" s="19" t="n">
        <x:v>46245</x:v>
      </x:c>
      <x:c r="Q788" s="20" t="str">
        <x:v>https://justmakecoffee.com/urun/peru-valley/</x:v>
      </x:c>
      <x:c r="R788" s="20" t="str">
        <x:v>Fiyat veya gramaj eksik olsa da ürün korundu.</x:v>
      </x:c>
    </x:row>
    <x:row r="789" ht="40" customHeight="1">
      <x:c r="A789" s="16" t="str">
        <x:v>Kaave Roastery</x:v>
      </x:c>
      <x:c r="B789" s="16" t="str">
        <x:v>İstanbul</x:v>
      </x:c>
      <x:c r="C789" s="16" t="str">
        <x:v>Doğrulandı</x:v>
      </x:c>
      <x:c r="D789" s="16" t="str">
        <x:v>Ürün kaydı</x:v>
      </x:c>
      <x:c r="E789" s="16" t="str">
        <x:v>Breakfast Blend Filtre 500 Gr*2'li Tanışma Paketi</x:v>
      </x:c>
      <x:c r="F789" s="16" t="str">
        <x:v>Harman – menşe belirtilmemiş</x:v>
      </x:c>
      <x:c r="G789" s="17" t="n">
        <x:v>500</x:v>
      </x:c>
      <x:c r="H789" s="16" t="str">
        <x:v>Erişildi</x:v>
      </x:c>
      <x:c r="I789" s="18" t="str">
        <x:v>Erişilemedi</x:v>
      </x:c>
      <x:c r="J789" s="18" t="str">
        <x:v>Erişilemedi</x:v>
      </x:c>
      <x:c r="K789" s="18" t="str">
        <x:f>IF(AND(ISNUMBER(G789),ISNUMBER(I789)),I789/G789*1000,"Erişilemedi")</x:f>
        <x:v>Erişilemedi</x:v>
      </x:c>
      <x:c r="L789" s="16" t="str">
        <x:v>Belirsiz</x:v>
      </x:c>
      <x:c r="M789" s="16" t="str">
        <x:v>Harman</x:v>
      </x:c>
      <x:c r="N789" s="16" t="str">
        <x:v>Site haritası ürün sayfası</x:v>
      </x:c>
      <x:c r="O789" s="16" t="str">
        <x:v>Düşük</x:v>
      </x:c>
      <x:c r="P789" s="19" t="n">
        <x:v>46245</x:v>
      </x:c>
      <x:c r="Q789" s="20" t="str">
        <x:v>https://www.kaave.com.tr/breakfast-blend-filtre-kahve-500-gr-tanisma-paketi-2-adet</x:v>
      </x:c>
      <x:c r="R789" s="20" t="str">
        <x:v>Ürün kimliği korundu; eksik alanlar erişilemedi olarak işaretlenecek.</x:v>
      </x:c>
    </x:row>
    <x:row r="790" ht="40" customHeight="1">
      <x:c r="A790" s="16" t="str">
        <x:v>Kaave Roastery</x:v>
      </x:c>
      <x:c r="B790" s="16" t="str">
        <x:v>İstanbul</x:v>
      </x:c>
      <x:c r="C790" s="16" t="str">
        <x:v>Doğrulandı</x:v>
      </x:c>
      <x:c r="D790" s="16" t="str">
        <x:v>Ürün kaydı</x:v>
      </x:c>
      <x:c r="E790" s="16" t="str">
        <x:v>Breakfast Blend Filtre 500 Gr*3'lü Tanışma Paketi</x:v>
      </x:c>
      <x:c r="F790" s="16" t="str">
        <x:v>Harman – menşe belirtilmemiş</x:v>
      </x:c>
      <x:c r="G790" s="17" t="n">
        <x:v>500</x:v>
      </x:c>
      <x:c r="H790" s="16" t="str">
        <x:v>Erişildi</x:v>
      </x:c>
      <x:c r="I790" s="18" t="str">
        <x:v>Erişilemedi</x:v>
      </x:c>
      <x:c r="J790" s="18" t="str">
        <x:v>Erişilemedi</x:v>
      </x:c>
      <x:c r="K790" s="18" t="str">
        <x:f>IF(AND(ISNUMBER(G790),ISNUMBER(I790)),I790/G790*1000,"Erişilemedi")</x:f>
        <x:v>Erişilemedi</x:v>
      </x:c>
      <x:c r="L790" s="16" t="str">
        <x:v>Belirsiz</x:v>
      </x:c>
      <x:c r="M790" s="16" t="str">
        <x:v>Harman</x:v>
      </x:c>
      <x:c r="N790" s="16" t="str">
        <x:v>Site haritası ürün sayfası</x:v>
      </x:c>
      <x:c r="O790" s="16" t="str">
        <x:v>Düşük</x:v>
      </x:c>
      <x:c r="P790" s="19" t="n">
        <x:v>46245</x:v>
      </x:c>
      <x:c r="Q790" s="20" t="str">
        <x:v>https://www.kaave.com.tr/breakfast-blend-filtre-kahve-500-gr-3lu-tanisma-paketi</x:v>
      </x:c>
      <x:c r="R790" s="20" t="str">
        <x:v>Ürün kimliği korundu; eksik alanlar erişilemedi olarak işaretlenecek.</x:v>
      </x:c>
    </x:row>
    <x:row r="791" ht="40" customHeight="1">
      <x:c r="A791" s="16" t="str">
        <x:v>Kaave Roastery</x:v>
      </x:c>
      <x:c r="B791" s="16" t="str">
        <x:v>İstanbul</x:v>
      </x:c>
      <x:c r="C791" s="16" t="str">
        <x:v>Doğrulandı</x:v>
      </x:c>
      <x:c r="D791" s="16" t="str">
        <x:v>Ürün kaydı</x:v>
      </x:c>
      <x:c r="E791" s="16" t="str">
        <x:v>Breakfast Blend Filtre 500 Gr*4'lü Tanışma Paketi</x:v>
      </x:c>
      <x:c r="F791" s="16" t="str">
        <x:v>Harman – menşe belirtilmemiş</x:v>
      </x:c>
      <x:c r="G791" s="17" t="n">
        <x:v>500</x:v>
      </x:c>
      <x:c r="H791" s="16" t="str">
        <x:v>Erişildi</x:v>
      </x:c>
      <x:c r="I791" s="18" t="str">
        <x:v>Erişilemedi</x:v>
      </x:c>
      <x:c r="J791" s="18" t="str">
        <x:v>Erişilemedi</x:v>
      </x:c>
      <x:c r="K791" s="18" t="str">
        <x:f>IF(AND(ISNUMBER(G791),ISNUMBER(I791)),I791/G791*1000,"Erişilemedi")</x:f>
        <x:v>Erişilemedi</x:v>
      </x:c>
      <x:c r="L791" s="16" t="str">
        <x:v>Belirsiz</x:v>
      </x:c>
      <x:c r="M791" s="16" t="str">
        <x:v>Harman</x:v>
      </x:c>
      <x:c r="N791" s="16" t="str">
        <x:v>Site haritası ürün sayfası</x:v>
      </x:c>
      <x:c r="O791" s="16" t="str">
        <x:v>Düşük</x:v>
      </x:c>
      <x:c r="P791" s="19" t="n">
        <x:v>46245</x:v>
      </x:c>
      <x:c r="Q791" s="20" t="str">
        <x:v>https://www.kaave.com.tr/breakfast-blend-filtre-kahve-tanisma-paketi-500-gr-4-adet</x:v>
      </x:c>
      <x:c r="R791" s="20" t="str">
        <x:v>Ürün kimliği korundu; eksik alanlar erişilemedi olarak işaretlenecek.</x:v>
      </x:c>
    </x:row>
    <x:row r="792" ht="40" customHeight="1">
      <x:c r="A792" s="16" t="str">
        <x:v>Kaave Roastery</x:v>
      </x:c>
      <x:c r="B792" s="16" t="str">
        <x:v>İstanbul</x:v>
      </x:c>
      <x:c r="C792" s="16" t="str">
        <x:v>Doğrulandı</x:v>
      </x:c>
      <x:c r="D792" s="16" t="str">
        <x:v>Ürün kaydı</x:v>
      </x:c>
      <x:c r="E792" s="16" t="str">
        <x:v>Colombia Peaks 250 gr</x:v>
      </x:c>
      <x:c r="F792" s="16" t="str">
        <x:v>Kolombiya</x:v>
      </x:c>
      <x:c r="G792" s="17" t="n">
        <x:v>250</x:v>
      </x:c>
      <x:c r="H792" s="16" t="str">
        <x:v>Erişildi</x:v>
      </x:c>
      <x:c r="I792" s="18" t="str">
        <x:v>Erişilemedi</x:v>
      </x:c>
      <x:c r="J792" s="18" t="str">
        <x:v>Erişilemedi</x:v>
      </x:c>
      <x:c r="K792" s="18" t="str">
        <x:f>IF(AND(ISNUMBER(G792),ISNUMBER(I792)),I792/G792*1000,"Erişilemedi")</x:f>
        <x:v>Erişilemedi</x:v>
      </x:c>
      <x:c r="L792" s="16" t="str">
        <x:v>Belirsiz</x:v>
      </x:c>
      <x:c r="M792" s="16" t="str">
        <x:v>Kahve ürünü</x:v>
      </x:c>
      <x:c r="N792" s="16" t="str">
        <x:v>Site haritası ürün sayfası</x:v>
      </x:c>
      <x:c r="O792" s="16" t="str">
        <x:v>Düşük</x:v>
      </x:c>
      <x:c r="P792" s="19" t="n">
        <x:v>46245</x:v>
      </x:c>
      <x:c r="Q792" s="20" t="str">
        <x:v>https://www.kaave.com.tr/colombia-peaks-cekirdek-kahve-250-gr</x:v>
      </x:c>
      <x:c r="R792" s="20" t="str">
        <x:v>Ürün kimliği korundu; eksik alanlar erişilemedi olarak işaretlenecek.</x:v>
      </x:c>
    </x:row>
    <x:row r="793" ht="40" customHeight="1">
      <x:c r="A793" s="16" t="str">
        <x:v>Kaave Roastery</x:v>
      </x:c>
      <x:c r="B793" s="16" t="str">
        <x:v>İstanbul</x:v>
      </x:c>
      <x:c r="C793" s="16" t="str">
        <x:v>Doğrulandı</x:v>
      </x:c>
      <x:c r="D793" s="16" t="str">
        <x:v>Ürün kaydı</x:v>
      </x:c>
      <x:c r="E793" s="16" t="str">
        <x:v>Colombia Peaks Çekirdek 250 Gr (2 Adet) + Guatemala Peaks Çekirdek 250 Gr (2 Adet) 4'lü Tanışma Paketi</x:v>
      </x:c>
      <x:c r="F793" s="16" t="str">
        <x:v>Kolombiya | Guatemala</x:v>
      </x:c>
      <x:c r="G793" s="17" t="n">
        <x:v>250</x:v>
      </x:c>
      <x:c r="H793" s="16" t="str">
        <x:v>Erişildi</x:v>
      </x:c>
      <x:c r="I793" s="18" t="str">
        <x:v>Erişilemedi</x:v>
      </x:c>
      <x:c r="J793" s="18" t="str">
        <x:v>Erişilemedi</x:v>
      </x:c>
      <x:c r="K793" s="18" t="str">
        <x:f>IF(AND(ISNUMBER(G793),ISNUMBER(I793)),I793/G793*1000,"Erişilemedi")</x:f>
        <x:v>Erişilemedi</x:v>
      </x:c>
      <x:c r="L793" s="16" t="str">
        <x:v>Belirsiz</x:v>
      </x:c>
      <x:c r="M793" s="16" t="str">
        <x:v>Kahve ürünü</x:v>
      </x:c>
      <x:c r="N793" s="16" t="str">
        <x:v>Site haritası ürün sayfası</x:v>
      </x:c>
      <x:c r="O793" s="16" t="str">
        <x:v>Düşük</x:v>
      </x:c>
      <x:c r="P793" s="19" t="n">
        <x:v>46245</x:v>
      </x:c>
      <x:c r="Q793" s="20" t="str">
        <x:v>https://www.kaave.com.tr/colombia-guatemala-single-origin-kahve-tanisma-paketi-250-gr-4-adet</x:v>
      </x:c>
      <x:c r="R793" s="20" t="str">
        <x:v>Ürün kimliği korundu; eksik alanlar erişilemedi olarak işaretlenecek.</x:v>
      </x:c>
    </x:row>
    <x:row r="794" ht="40" customHeight="1">
      <x:c r="A794" s="16" t="str">
        <x:v>Kaave Roastery</x:v>
      </x:c>
      <x:c r="B794" s="16" t="str">
        <x:v>İstanbul</x:v>
      </x:c>
      <x:c r="C794" s="16" t="str">
        <x:v>Doğrulandı</x:v>
      </x:c>
      <x:c r="D794" s="16" t="str">
        <x:v>Ürün kaydı</x:v>
      </x:c>
      <x:c r="E794" s="16" t="str">
        <x:v>Colombia Peaks Çekirdek 250 Gr + Guatemala Peaks Çekirdek 250 Gr 2'li Tanışma Paketi</x:v>
      </x:c>
      <x:c r="F794" s="16" t="str">
        <x:v>Kolombiya | Guatemala</x:v>
      </x:c>
      <x:c r="G794" s="17" t="n">
        <x:v>250</x:v>
      </x:c>
      <x:c r="H794" s="16" t="str">
        <x:v>Erişildi</x:v>
      </x:c>
      <x:c r="I794" s="18" t="str">
        <x:v>Erişilemedi</x:v>
      </x:c>
      <x:c r="J794" s="18" t="str">
        <x:v>Erişilemedi</x:v>
      </x:c>
      <x:c r="K794" s="18" t="str">
        <x:f>IF(AND(ISNUMBER(G794),ISNUMBER(I794)),I794/G794*1000,"Erişilemedi")</x:f>
        <x:v>Erişilemedi</x:v>
      </x:c>
      <x:c r="L794" s="16" t="str">
        <x:v>Belirsiz</x:v>
      </x:c>
      <x:c r="M794" s="16" t="str">
        <x:v>Kahve ürünü</x:v>
      </x:c>
      <x:c r="N794" s="16" t="str">
        <x:v>Site haritası ürün sayfası</x:v>
      </x:c>
      <x:c r="O794" s="16" t="str">
        <x:v>Düşük</x:v>
      </x:c>
      <x:c r="P794" s="19" t="n">
        <x:v>46245</x:v>
      </x:c>
      <x:c r="Q794" s="20" t="str">
        <x:v>https://www.kaave.com.tr/colombia-guatemala-single-origin-kahve-tanisma-paketi-250-gr-2-adet</x:v>
      </x:c>
      <x:c r="R794" s="20" t="str">
        <x:v>Ürün kimliği korundu; eksik alanlar erişilemedi olarak işaretlenecek.</x:v>
      </x:c>
    </x:row>
    <x:row r="795" ht="40" customHeight="1">
      <x:c r="A795" s="16" t="str">
        <x:v>Kaave Roastery</x:v>
      </x:c>
      <x:c r="B795" s="16" t="str">
        <x:v>İstanbul</x:v>
      </x:c>
      <x:c r="C795" s="16" t="str">
        <x:v>Doğrulandı</x:v>
      </x:c>
      <x:c r="D795" s="16" t="str">
        <x:v>Ürün kaydı</x:v>
      </x:c>
      <x:c r="E795" s="16" t="str">
        <x:v>Colombia Peaks Çekirdek 250 Gr*2'li Tanışma Paketi</x:v>
      </x:c>
      <x:c r="F795" s="16" t="str">
        <x:v>Kolombiya</x:v>
      </x:c>
      <x:c r="G795" s="17" t="n">
        <x:v>250</x:v>
      </x:c>
      <x:c r="H795" s="16" t="str">
        <x:v>Erişildi</x:v>
      </x:c>
      <x:c r="I795" s="18" t="str">
        <x:v>Erişilemedi</x:v>
      </x:c>
      <x:c r="J795" s="18" t="str">
        <x:v>Erişilemedi</x:v>
      </x:c>
      <x:c r="K795" s="18" t="str">
        <x:f>IF(AND(ISNUMBER(G795),ISNUMBER(I795)),I795/G795*1000,"Erişilemedi")</x:f>
        <x:v>Erişilemedi</x:v>
      </x:c>
      <x:c r="L795" s="16" t="str">
        <x:v>Belirsiz</x:v>
      </x:c>
      <x:c r="M795" s="16" t="str">
        <x:v>Kahve ürünü</x:v>
      </x:c>
      <x:c r="N795" s="16" t="str">
        <x:v>Site haritası ürün sayfası</x:v>
      </x:c>
      <x:c r="O795" s="16" t="str">
        <x:v>Düşük</x:v>
      </x:c>
      <x:c r="P795" s="19" t="n">
        <x:v>46245</x:v>
      </x:c>
      <x:c r="Q795" s="20" t="str">
        <x:v>https://www.kaave.com.tr/colombia-peaks-cekirdek-kahve-tanisma-paketi-250-gr-2-adet</x:v>
      </x:c>
      <x:c r="R795" s="20" t="str">
        <x:v>Ürün kimliği korundu; eksik alanlar erişilemedi olarak işaretlenecek.</x:v>
      </x:c>
    </x:row>
    <x:row r="796" ht="40" customHeight="1">
      <x:c r="A796" s="16" t="str">
        <x:v>Kaave Roastery</x:v>
      </x:c>
      <x:c r="B796" s="16" t="str">
        <x:v>İstanbul</x:v>
      </x:c>
      <x:c r="C796" s="16" t="str">
        <x:v>Doğrulandı</x:v>
      </x:c>
      <x:c r="D796" s="16" t="str">
        <x:v>Ürün kaydı</x:v>
      </x:c>
      <x:c r="E796" s="16" t="str">
        <x:v>Colombia Peaks Çekirdek 250 Gr*3'lü Tanışma Paketi</x:v>
      </x:c>
      <x:c r="F796" s="16" t="str">
        <x:v>Kolombiya</x:v>
      </x:c>
      <x:c r="G796" s="17" t="n">
        <x:v>250</x:v>
      </x:c>
      <x:c r="H796" s="16" t="str">
        <x:v>Erişildi</x:v>
      </x:c>
      <x:c r="I796" s="18" t="str">
        <x:v>Erişilemedi</x:v>
      </x:c>
      <x:c r="J796" s="18" t="str">
        <x:v>Erişilemedi</x:v>
      </x:c>
      <x:c r="K796" s="18" t="str">
        <x:f>IF(AND(ISNUMBER(G796),ISNUMBER(I796)),I796/G796*1000,"Erişilemedi")</x:f>
        <x:v>Erişilemedi</x:v>
      </x:c>
      <x:c r="L796" s="16" t="str">
        <x:v>Belirsiz</x:v>
      </x:c>
      <x:c r="M796" s="16" t="str">
        <x:v>Kahve ürünü</x:v>
      </x:c>
      <x:c r="N796" s="16" t="str">
        <x:v>Site haritası ürün sayfası</x:v>
      </x:c>
      <x:c r="O796" s="16" t="str">
        <x:v>Düşük</x:v>
      </x:c>
      <x:c r="P796" s="19" t="n">
        <x:v>46245</x:v>
      </x:c>
      <x:c r="Q796" s="20" t="str">
        <x:v>https://www.kaave.com.tr/colombia-peaks-cekirdek-kahve-tanisma-paketi-250-gr-3-adet</x:v>
      </x:c>
      <x:c r="R796" s="20" t="str">
        <x:v>Ürün kimliği korundu; eksik alanlar erişilemedi olarak işaretlenecek.</x:v>
      </x:c>
    </x:row>
    <x:row r="797" ht="40" customHeight="1">
      <x:c r="A797" s="16" t="str">
        <x:v>Kaave Roastery</x:v>
      </x:c>
      <x:c r="B797" s="16" t="str">
        <x:v>İstanbul</x:v>
      </x:c>
      <x:c r="C797" s="16" t="str">
        <x:v>Doğrulandı</x:v>
      </x:c>
      <x:c r="D797" s="16" t="str">
        <x:v>Ürün kaydı</x:v>
      </x:c>
      <x:c r="E797" s="16" t="str">
        <x:v>Colombia Peaks Çekirdek 250 Gr*4'lü Tanışma Paketi</x:v>
      </x:c>
      <x:c r="F797" s="16" t="str">
        <x:v>Kolombiya</x:v>
      </x:c>
      <x:c r="G797" s="17" t="n">
        <x:v>250</x:v>
      </x:c>
      <x:c r="H797" s="16" t="str">
        <x:v>Erişildi</x:v>
      </x:c>
      <x:c r="I797" s="18" t="str">
        <x:v>Erişilemedi</x:v>
      </x:c>
      <x:c r="J797" s="18" t="str">
        <x:v>Erişilemedi</x:v>
      </x:c>
      <x:c r="K797" s="18" t="str">
        <x:f>IF(AND(ISNUMBER(G797),ISNUMBER(I797)),I797/G797*1000,"Erişilemedi")</x:f>
        <x:v>Erişilemedi</x:v>
      </x:c>
      <x:c r="L797" s="16" t="str">
        <x:v>Belirsiz</x:v>
      </x:c>
      <x:c r="M797" s="16" t="str">
        <x:v>Kahve ürünü</x:v>
      </x:c>
      <x:c r="N797" s="16" t="str">
        <x:v>Site haritası ürün sayfası</x:v>
      </x:c>
      <x:c r="O797" s="16" t="str">
        <x:v>Düşük</x:v>
      </x:c>
      <x:c r="P797" s="19" t="n">
        <x:v>46245</x:v>
      </x:c>
      <x:c r="Q797" s="20" t="str">
        <x:v>https://www.kaave.com.tr/colombia-peaks-cekirdek-kahve-250-gr-4lu-tanisma-paketi</x:v>
      </x:c>
      <x:c r="R797" s="20" t="str">
        <x:v>Ürün kimliği korundu; eksik alanlar erişilemedi olarak işaretlenecek.</x:v>
      </x:c>
    </x:row>
    <x:row r="798" ht="40" customHeight="1">
      <x:c r="A798" s="16" t="str">
        <x:v>Kaave Roastery</x:v>
      </x:c>
      <x:c r="B798" s="16" t="str">
        <x:v>İstanbul</x:v>
      </x:c>
      <x:c r="C798" s="16" t="str">
        <x:v>Doğrulandı</x:v>
      </x:c>
      <x:c r="D798" s="16" t="str">
        <x:v>Ürün kaydı</x:v>
      </x:c>
      <x:c r="E798" s="16" t="str">
        <x:v>Crema Gusto Espresso Çekirdek 1000 Gr*2'li Tanışma Paketi</x:v>
      </x:c>
      <x:c r="F798" s="16" t="str">
        <x:v>Menşe belirtilmemiş</x:v>
      </x:c>
      <x:c r="G798" s="17" t="n">
        <x:v>1000</x:v>
      </x:c>
      <x:c r="H798" s="16" t="str">
        <x:v>Erişildi</x:v>
      </x:c>
      <x:c r="I798" s="18" t="str">
        <x:v>Erişilemedi</x:v>
      </x:c>
      <x:c r="J798" s="18" t="str">
        <x:v>Erişilemedi</x:v>
      </x:c>
      <x:c r="K798" s="18" t="str">
        <x:f>IF(AND(ISNUMBER(G798),ISNUMBER(I798)),I798/G798*1000,"Erişilemedi")</x:f>
        <x:v>Erişilemedi</x:v>
      </x:c>
      <x:c r="L798" s="16" t="str">
        <x:v>Belirsiz</x:v>
      </x:c>
      <x:c r="M798" s="16" t="str">
        <x:v>Kahve ürünü</x:v>
      </x:c>
      <x:c r="N798" s="16" t="str">
        <x:v>Site haritası ürün sayfası</x:v>
      </x:c>
      <x:c r="O798" s="16" t="str">
        <x:v>Düşük</x:v>
      </x:c>
      <x:c r="P798" s="19" t="n">
        <x:v>46245</x:v>
      </x:c>
      <x:c r="Q798" s="20" t="str">
        <x:v>https://www.kaave.com.tr/crema-gusto-espresso-cekirdek-kahve-1000-gr-2li-tanisma-paketi</x:v>
      </x:c>
      <x:c r="R798" s="20" t="str">
        <x:v>Ürün kimliği korundu; eksik alanlar erişilemedi olarak işaretlenecek.</x:v>
      </x:c>
    </x:row>
    <x:row r="799" ht="40" customHeight="1">
      <x:c r="A799" s="16" t="str">
        <x:v>Kaave Roastery</x:v>
      </x:c>
      <x:c r="B799" s="16" t="str">
        <x:v>İstanbul</x:v>
      </x:c>
      <x:c r="C799" s="16" t="str">
        <x:v>Doğrulandı</x:v>
      </x:c>
      <x:c r="D799" s="16" t="str">
        <x:v>Ürün kaydı</x:v>
      </x:c>
      <x:c r="E799" s="16" t="str">
        <x:v>Espresso Caffe Crema 250 gr</x:v>
      </x:c>
      <x:c r="F799" s="16" t="str">
        <x:v>Menşe belirtilmemiş</x:v>
      </x:c>
      <x:c r="G799" s="17" t="n">
        <x:v>250</x:v>
      </x:c>
      <x:c r="H799" s="16" t="str">
        <x:v>Erişildi</x:v>
      </x:c>
      <x:c r="I799" s="18" t="str">
        <x:v>Erişilemedi</x:v>
      </x:c>
      <x:c r="J799" s="18" t="str">
        <x:v>Erişilemedi</x:v>
      </x:c>
      <x:c r="K799" s="18" t="str">
        <x:f>IF(AND(ISNUMBER(G799),ISNUMBER(I799)),I799/G799*1000,"Erişilemedi")</x:f>
        <x:v>Erişilemedi</x:v>
      </x:c>
      <x:c r="L799" s="16" t="str">
        <x:v>Belirsiz</x:v>
      </x:c>
      <x:c r="M799" s="16" t="str">
        <x:v>Kahve ürünü</x:v>
      </x:c>
      <x:c r="N799" s="16" t="str">
        <x:v>Site haritası ürün sayfası</x:v>
      </x:c>
      <x:c r="O799" s="16" t="str">
        <x:v>Düşük</x:v>
      </x:c>
      <x:c r="P799" s="19" t="n">
        <x:v>46245</x:v>
      </x:c>
      <x:c r="Q799" s="20" t="str">
        <x:v>https://www.kaave.com.tr/espresso-caffe-crema-cekirdek-kahve-250-gr</x:v>
      </x:c>
      <x:c r="R799" s="20" t="str">
        <x:v>Ürün kimliği korundu; eksik alanlar erişilemedi olarak işaretlenecek.</x:v>
      </x:c>
    </x:row>
    <x:row r="800" ht="40" customHeight="1">
      <x:c r="A800" s="16" t="str">
        <x:v>Kaave Roastery</x:v>
      </x:c>
      <x:c r="B800" s="16" t="str">
        <x:v>İstanbul</x:v>
      </x:c>
      <x:c r="C800" s="16" t="str">
        <x:v>Doğrulandı</x:v>
      </x:c>
      <x:c r="D800" s="16" t="str">
        <x:v>Ürün kaydı</x:v>
      </x:c>
      <x:c r="E800" s="16" t="str">
        <x:v>ESPRESSO CREMA GUSTO 1000G</x:v>
      </x:c>
      <x:c r="F800" s="16" t="str">
        <x:v>Menşe belirtilmemiş</x:v>
      </x:c>
      <x:c r="G800" s="17" t="n">
        <x:v>1000</x:v>
      </x:c>
      <x:c r="H800" s="16" t="str">
        <x:v>Erişildi</x:v>
      </x:c>
      <x:c r="I800" s="18" t="str">
        <x:v>Erişilemedi</x:v>
      </x:c>
      <x:c r="J800" s="18" t="str">
        <x:v>Erişilemedi</x:v>
      </x:c>
      <x:c r="K800" s="18" t="str">
        <x:f>IF(AND(ISNUMBER(G800),ISNUMBER(I800)),I800/G800*1000,"Erişilemedi")</x:f>
        <x:v>Erişilemedi</x:v>
      </x:c>
      <x:c r="L800" s="16" t="str">
        <x:v>Belirsiz</x:v>
      </x:c>
      <x:c r="M800" s="16" t="str">
        <x:v>Kahve ürünü</x:v>
      </x:c>
      <x:c r="N800" s="16" t="str">
        <x:v>Site haritası ürün sayfası</x:v>
      </x:c>
      <x:c r="O800" s="16" t="str">
        <x:v>Düşük</x:v>
      </x:c>
      <x:c r="P800" s="19" t="n">
        <x:v>46245</x:v>
      </x:c>
      <x:c r="Q800" s="20" t="str">
        <x:v>https://www.kaave.com.tr/crema-gusto-espresso-cekirdek-kahve-1000-gr</x:v>
      </x:c>
      <x:c r="R800" s="20" t="str">
        <x:v>Ürün kimliği korundu; eksik alanlar erişilemedi olarak işaretlenecek.</x:v>
      </x:c>
    </x:row>
    <x:row r="801" ht="40" customHeight="1">
      <x:c r="A801" s="16" t="str">
        <x:v>Kaave Roastery</x:v>
      </x:c>
      <x:c r="B801" s="16" t="str">
        <x:v>İstanbul</x:v>
      </x:c>
      <x:c r="C801" s="16" t="str">
        <x:v>Doğrulandı</x:v>
      </x:c>
      <x:c r="D801" s="16" t="str">
        <x:v>Ürün kaydı</x:v>
      </x:c>
      <x:c r="E801" s="16" t="str">
        <x:v>ESPRESSO GRANDE GUSTO 1000G</x:v>
      </x:c>
      <x:c r="F801" s="16" t="str">
        <x:v>Menşe belirtilmemiş</x:v>
      </x:c>
      <x:c r="G801" s="17" t="n">
        <x:v>1000</x:v>
      </x:c>
      <x:c r="H801" s="16" t="str">
        <x:v>Erişildi</x:v>
      </x:c>
      <x:c r="I801" s="18" t="str">
        <x:v>Erişilemedi</x:v>
      </x:c>
      <x:c r="J801" s="18" t="str">
        <x:v>Erişilemedi</x:v>
      </x:c>
      <x:c r="K801" s="18" t="str">
        <x:f>IF(AND(ISNUMBER(G801),ISNUMBER(I801)),I801/G801*1000,"Erişilemedi")</x:f>
        <x:v>Erişilemedi</x:v>
      </x:c>
      <x:c r="L801" s="16" t="str">
        <x:v>Belirsiz</x:v>
      </x:c>
      <x:c r="M801" s="16" t="str">
        <x:v>Kahve ürünü</x:v>
      </x:c>
      <x:c r="N801" s="16" t="str">
        <x:v>Site haritası ürün sayfası</x:v>
      </x:c>
      <x:c r="O801" s="16" t="str">
        <x:v>Düşük</x:v>
      </x:c>
      <x:c r="P801" s="19" t="n">
        <x:v>46245</x:v>
      </x:c>
      <x:c r="Q801" s="20" t="str">
        <x:v>https://www.kaave.com.tr/grande-gusto-espresso-cekirdek-kahve-1000-gr</x:v>
      </x:c>
      <x:c r="R801" s="20" t="str">
        <x:v>Ürün kimliği korundu; eksik alanlar erişilemedi olarak işaretlenecek.</x:v>
      </x:c>
    </x:row>
    <x:row r="802" ht="40" customHeight="1">
      <x:c r="A802" s="16" t="str">
        <x:v>Kaave Roastery</x:v>
      </x:c>
      <x:c r="B802" s="16" t="str">
        <x:v>İstanbul</x:v>
      </x:c>
      <x:c r="C802" s="16" t="str">
        <x:v>Doğrulandı</x:v>
      </x:c>
      <x:c r="D802" s="16" t="str">
        <x:v>Ürün kaydı</x:v>
      </x:c>
      <x:c r="E802" s="16" t="str">
        <x:v>Espresso Ital'Bar 250 gr</x:v>
      </x:c>
      <x:c r="F802" s="16" t="str">
        <x:v>Menşe belirtilmemiş</x:v>
      </x:c>
      <x:c r="G802" s="17" t="n">
        <x:v>250</x:v>
      </x:c>
      <x:c r="H802" s="16" t="str">
        <x:v>Erişildi</x:v>
      </x:c>
      <x:c r="I802" s="18" t="str">
        <x:v>Erişilemedi</x:v>
      </x:c>
      <x:c r="J802" s="18" t="str">
        <x:v>Erişilemedi</x:v>
      </x:c>
      <x:c r="K802" s="18" t="str">
        <x:f>IF(AND(ISNUMBER(G802),ISNUMBER(I802)),I802/G802*1000,"Erişilemedi")</x:f>
        <x:v>Erişilemedi</x:v>
      </x:c>
      <x:c r="L802" s="16" t="str">
        <x:v>Belirsiz</x:v>
      </x:c>
      <x:c r="M802" s="16" t="str">
        <x:v>Kahve ürünü</x:v>
      </x:c>
      <x:c r="N802" s="16" t="str">
        <x:v>Site haritası ürün sayfası</x:v>
      </x:c>
      <x:c r="O802" s="16" t="str">
        <x:v>Düşük</x:v>
      </x:c>
      <x:c r="P802" s="19" t="n">
        <x:v>46245</x:v>
      </x:c>
      <x:c r="Q802" s="20" t="str">
        <x:v>https://www.kaave.com.tr/espresso-italbar-cekirdek-kahve-250-gr</x:v>
      </x:c>
      <x:c r="R802" s="20" t="str">
        <x:v>Ürün kimliği korundu; eksik alanlar erişilemedi olarak işaretlenecek.</x:v>
      </x:c>
    </x:row>
    <x:row r="803" ht="40" customHeight="1">
      <x:c r="A803" s="16" t="str">
        <x:v>Kaave Roastery</x:v>
      </x:c>
      <x:c r="B803" s="16" t="str">
        <x:v>İstanbul</x:v>
      </x:c>
      <x:c r="C803" s="16" t="str">
        <x:v>Doğrulandı</x:v>
      </x:c>
      <x:c r="D803" s="16" t="str">
        <x:v>Ürün kaydı</x:v>
      </x:c>
      <x:c r="E803" s="16" t="str">
        <x:v>FİLTRE BREAKFAST BLEND 500G</x:v>
      </x:c>
      <x:c r="F803" s="16" t="str">
        <x:v>Harman – menşe belirtilmemiş</x:v>
      </x:c>
      <x:c r="G803" s="17" t="n">
        <x:v>500</x:v>
      </x:c>
      <x:c r="H803" s="16" t="str">
        <x:v>Erişildi</x:v>
      </x:c>
      <x:c r="I803" s="18" t="str">
        <x:v>Erişilemedi</x:v>
      </x:c>
      <x:c r="J803" s="18" t="str">
        <x:v>Erişilemedi</x:v>
      </x:c>
      <x:c r="K803" s="18" t="str">
        <x:f>IF(AND(ISNUMBER(G803),ISNUMBER(I803)),I803/G803*1000,"Erişilemedi")</x:f>
        <x:v>Erişilemedi</x:v>
      </x:c>
      <x:c r="L803" s="16" t="str">
        <x:v>Belirsiz</x:v>
      </x:c>
      <x:c r="M803" s="16" t="str">
        <x:v>Harman</x:v>
      </x:c>
      <x:c r="N803" s="16" t="str">
        <x:v>Site haritası ürün sayfası</x:v>
      </x:c>
      <x:c r="O803" s="16" t="str">
        <x:v>Düşük</x:v>
      </x:c>
      <x:c r="P803" s="19" t="n">
        <x:v>46245</x:v>
      </x:c>
      <x:c r="Q803" s="20" t="str">
        <x:v>https://www.kaave.com.tr/breakfast-blend-filtre-kahve-500-gr</x:v>
      </x:c>
      <x:c r="R803" s="20" t="str">
        <x:v>Ürün kimliği korundu; eksik alanlar erişilemedi olarak işaretlenecek.</x:v>
      </x:c>
    </x:row>
    <x:row r="804" ht="40" customHeight="1">
      <x:c r="A804" s="16" t="str">
        <x:v>Kaave Roastery</x:v>
      </x:c>
      <x:c r="B804" s="16" t="str">
        <x:v>İstanbul</x:v>
      </x:c>
      <x:c r="C804" s="16" t="str">
        <x:v>Doğrulandı</x:v>
      </x:c>
      <x:c r="D804" s="16" t="str">
        <x:v>Ürün kaydı</x:v>
      </x:c>
      <x:c r="E804" s="16" t="str">
        <x:v>Filtre Mare Blue Çekirdek 250 gr</x:v>
      </x:c>
      <x:c r="F804" s="16" t="str">
        <x:v>Menşe belirtilmemiş</x:v>
      </x:c>
      <x:c r="G804" s="17" t="n">
        <x:v>250</x:v>
      </x:c>
      <x:c r="H804" s="16" t="str">
        <x:v>Erişildi</x:v>
      </x:c>
      <x:c r="I804" s="18" t="str">
        <x:v>Erişilemedi</x:v>
      </x:c>
      <x:c r="J804" s="18" t="str">
        <x:v>Erişilemedi</x:v>
      </x:c>
      <x:c r="K804" s="18" t="str">
        <x:f>IF(AND(ISNUMBER(G804),ISNUMBER(I804)),I804/G804*1000,"Erişilemedi")</x:f>
        <x:v>Erişilemedi</x:v>
      </x:c>
      <x:c r="L804" s="16" t="str">
        <x:v>Belirsiz</x:v>
      </x:c>
      <x:c r="M804" s="16" t="str">
        <x:v>Kahve ürünü</x:v>
      </x:c>
      <x:c r="N804" s="16" t="str">
        <x:v>Site haritası ürün sayfası</x:v>
      </x:c>
      <x:c r="O804" s="16" t="str">
        <x:v>Düşük</x:v>
      </x:c>
      <x:c r="P804" s="19" t="n">
        <x:v>46245</x:v>
      </x:c>
      <x:c r="Q804" s="20" t="str">
        <x:v>https://www.kaave.com.tr/filtre-mare-blue-cekirdek-kahve-250-gr</x:v>
      </x:c>
      <x:c r="R804" s="20" t="str">
        <x:v>Ürün kimliği korundu; eksik alanlar erişilemedi olarak işaretlenecek.</x:v>
      </x:c>
    </x:row>
    <x:row r="805" ht="40" customHeight="1">
      <x:c r="A805" s="16" t="str">
        <x:v>Kaave Roastery</x:v>
      </x:c>
      <x:c r="B805" s="16" t="str">
        <x:v>İstanbul</x:v>
      </x:c>
      <x:c r="C805" s="16" t="str">
        <x:v>Doğrulandı</x:v>
      </x:c>
      <x:c r="D805" s="16" t="str">
        <x:v>Ürün kaydı</x:v>
      </x:c>
      <x:c r="E805" s="16" t="str">
        <x:v>FİLTRE MARE BLUE ÖĞÜTÜLMÜŞ 250G</x:v>
      </x:c>
      <x:c r="F805" s="16" t="str">
        <x:v>Menşe belirtilmemiş</x:v>
      </x:c>
      <x:c r="G805" s="17" t="n">
        <x:v>250</x:v>
      </x:c>
      <x:c r="H805" s="16" t="str">
        <x:v>Erişildi</x:v>
      </x:c>
      <x:c r="I805" s="18" t="str">
        <x:v>Erişilemedi</x:v>
      </x:c>
      <x:c r="J805" s="18" t="str">
        <x:v>Erişilemedi</x:v>
      </x:c>
      <x:c r="K805" s="18" t="str">
        <x:f>IF(AND(ISNUMBER(G805),ISNUMBER(I805)),I805/G805*1000,"Erişilemedi")</x:f>
        <x:v>Erişilemedi</x:v>
      </x:c>
      <x:c r="L805" s="16" t="str">
        <x:v>Belirsiz</x:v>
      </x:c>
      <x:c r="M805" s="16" t="str">
        <x:v>Kahve ürünü</x:v>
      </x:c>
      <x:c r="N805" s="16" t="str">
        <x:v>Site haritası ürün sayfası</x:v>
      </x:c>
      <x:c r="O805" s="16" t="str">
        <x:v>Düşük</x:v>
      </x:c>
      <x:c r="P805" s="19" t="n">
        <x:v>46245</x:v>
      </x:c>
      <x:c r="Q805" s="20" t="str">
        <x:v>https://www.kaave.com.tr/mare-blue-filtre-kahve-250-gr</x:v>
      </x:c>
      <x:c r="R805" s="20" t="str">
        <x:v>Ürün kimliği korundu; eksik alanlar erişilemedi olarak işaretlenecek.</x:v>
      </x:c>
    </x:row>
    <x:row r="806" ht="40" customHeight="1">
      <x:c r="A806" s="16" t="str">
        <x:v>Kaave Roastery</x:v>
      </x:c>
      <x:c r="B806" s="16" t="str">
        <x:v>İstanbul</x:v>
      </x:c>
      <x:c r="C806" s="16" t="str">
        <x:v>Doğrulandı</x:v>
      </x:c>
      <x:c r="D806" s="16" t="str">
        <x:v>Ürün kaydı</x:v>
      </x:c>
      <x:c r="E806" s="16" t="str">
        <x:v>FİLTRE PRESTİJ BLEND 500G</x:v>
      </x:c>
      <x:c r="F806" s="16" t="str">
        <x:v>Harman – menşe belirtilmemiş</x:v>
      </x:c>
      <x:c r="G806" s="17" t="n">
        <x:v>500</x:v>
      </x:c>
      <x:c r="H806" s="16" t="str">
        <x:v>Erişildi</x:v>
      </x:c>
      <x:c r="I806" s="18" t="str">
        <x:v>Erişilemedi</x:v>
      </x:c>
      <x:c r="J806" s="18" t="str">
        <x:v>Erişilemedi</x:v>
      </x:c>
      <x:c r="K806" s="18" t="str">
        <x:f>IF(AND(ISNUMBER(G806),ISNUMBER(I806)),I806/G806*1000,"Erişilemedi")</x:f>
        <x:v>Erişilemedi</x:v>
      </x:c>
      <x:c r="L806" s="16" t="str">
        <x:v>Belirsiz</x:v>
      </x:c>
      <x:c r="M806" s="16" t="str">
        <x:v>Harman</x:v>
      </x:c>
      <x:c r="N806" s="16" t="str">
        <x:v>Site haritası ürün sayfası</x:v>
      </x:c>
      <x:c r="O806" s="16" t="str">
        <x:v>Düşük</x:v>
      </x:c>
      <x:c r="P806" s="19" t="n">
        <x:v>46245</x:v>
      </x:c>
      <x:c r="Q806" s="20" t="str">
        <x:v>https://www.kaave.com.tr/prestij-blend-filtre-kahve-500-gr</x:v>
      </x:c>
      <x:c r="R806" s="20" t="str">
        <x:v>Ürün kimliği korundu; eksik alanlar erişilemedi olarak işaretlenecek.</x:v>
      </x:c>
    </x:row>
    <x:row r="807" ht="40" customHeight="1">
      <x:c r="A807" s="16" t="str">
        <x:v>Kaave Roastery</x:v>
      </x:c>
      <x:c r="B807" s="16" t="str">
        <x:v>İstanbul</x:v>
      </x:c>
      <x:c r="C807" s="16" t="str">
        <x:v>Doğrulandı</x:v>
      </x:c>
      <x:c r="D807" s="16" t="str">
        <x:v>Ürün kaydı</x:v>
      </x:c>
      <x:c r="E807" s="16" t="str">
        <x:v>Grande Gusto Espresso Çekirdek 1000 Gr*2'li Tanışma Paketi</x:v>
      </x:c>
      <x:c r="F807" s="16" t="str">
        <x:v>Menşe belirtilmemiş</x:v>
      </x:c>
      <x:c r="G807" s="17" t="n">
        <x:v>1000</x:v>
      </x:c>
      <x:c r="H807" s="16" t="str">
        <x:v>Erişildi</x:v>
      </x:c>
      <x:c r="I807" s="18" t="str">
        <x:v>Erişilemedi</x:v>
      </x:c>
      <x:c r="J807" s="18" t="str">
        <x:v>Erişilemedi</x:v>
      </x:c>
      <x:c r="K807" s="18" t="str">
        <x:f>IF(AND(ISNUMBER(G807),ISNUMBER(I807)),I807/G807*1000,"Erişilemedi")</x:f>
        <x:v>Erişilemedi</x:v>
      </x:c>
      <x:c r="L807" s="16" t="str">
        <x:v>Belirsiz</x:v>
      </x:c>
      <x:c r="M807" s="16" t="str">
        <x:v>Kahve ürünü</x:v>
      </x:c>
      <x:c r="N807" s="16" t="str">
        <x:v>Site haritası ürün sayfası</x:v>
      </x:c>
      <x:c r="O807" s="16" t="str">
        <x:v>Düşük</x:v>
      </x:c>
      <x:c r="P807" s="19" t="n">
        <x:v>46245</x:v>
      </x:c>
      <x:c r="Q807" s="20" t="str">
        <x:v>https://www.kaave.com.tr/grande-gusto-espresso-cekirdek-kahve-1000-gr-2li-tanisma-paketi</x:v>
      </x:c>
      <x:c r="R807" s="20" t="str">
        <x:v>Ürün kimliği korundu; eksik alanlar erişilemedi olarak işaretlenecek.</x:v>
      </x:c>
    </x:row>
    <x:row r="808" ht="40" customHeight="1">
      <x:c r="A808" s="16" t="str">
        <x:v>Kaave Roastery</x:v>
      </x:c>
      <x:c r="B808" s="16" t="str">
        <x:v>İstanbul</x:v>
      </x:c>
      <x:c r="C808" s="16" t="str">
        <x:v>Doğrulandı</x:v>
      </x:c>
      <x:c r="D808" s="16" t="str">
        <x:v>Ürün kaydı</x:v>
      </x:c>
      <x:c r="E808" s="16" t="str">
        <x:v>Guatemala Peaks 250 gr</x:v>
      </x:c>
      <x:c r="F808" s="16" t="str">
        <x:v>Guatemala</x:v>
      </x:c>
      <x:c r="G808" s="17" t="n">
        <x:v>250</x:v>
      </x:c>
      <x:c r="H808" s="16" t="str">
        <x:v>Erişildi</x:v>
      </x:c>
      <x:c r="I808" s="18" t="str">
        <x:v>Erişilemedi</x:v>
      </x:c>
      <x:c r="J808" s="18" t="str">
        <x:v>Erişilemedi</x:v>
      </x:c>
      <x:c r="K808" s="18" t="str">
        <x:f>IF(AND(ISNUMBER(G808),ISNUMBER(I808)),I808/G808*1000,"Erişilemedi")</x:f>
        <x:v>Erişilemedi</x:v>
      </x:c>
      <x:c r="L808" s="16" t="str">
        <x:v>Belirsiz</x:v>
      </x:c>
      <x:c r="M808" s="16" t="str">
        <x:v>Kahve ürünü</x:v>
      </x:c>
      <x:c r="N808" s="16" t="str">
        <x:v>Site haritası ürün sayfası</x:v>
      </x:c>
      <x:c r="O808" s="16" t="str">
        <x:v>Düşük</x:v>
      </x:c>
      <x:c r="P808" s="19" t="n">
        <x:v>46245</x:v>
      </x:c>
      <x:c r="Q808" s="20" t="str">
        <x:v>https://www.kaave.com.tr/guatemala-peaks-cekirdek-kahve-250-gr</x:v>
      </x:c>
      <x:c r="R808" s="20" t="str">
        <x:v>Ürün kimliği korundu; eksik alanlar erişilemedi olarak işaretlenecek.</x:v>
      </x:c>
    </x:row>
    <x:row r="809" ht="40" customHeight="1">
      <x:c r="A809" s="16" t="str">
        <x:v>Kaave Roastery</x:v>
      </x:c>
      <x:c r="B809" s="16" t="str">
        <x:v>İstanbul</x:v>
      </x:c>
      <x:c r="C809" s="16" t="str">
        <x:v>Doğrulandı</x:v>
      </x:c>
      <x:c r="D809" s="16" t="str">
        <x:v>Ürün kaydı</x:v>
      </x:c>
      <x:c r="E809" s="16" t="str">
        <x:v>Guatemala Peaks Çekirdek 250 Gr*4'lü Tanışma Paketi</x:v>
      </x:c>
      <x:c r="F809" s="16" t="str">
        <x:v>Guatemala</x:v>
      </x:c>
      <x:c r="G809" s="17" t="n">
        <x:v>250</x:v>
      </x:c>
      <x:c r="H809" s="16" t="str">
        <x:v>Erişildi</x:v>
      </x:c>
      <x:c r="I809" s="18" t="str">
        <x:v>Erişilemedi</x:v>
      </x:c>
      <x:c r="J809" s="18" t="str">
        <x:v>Erişilemedi</x:v>
      </x:c>
      <x:c r="K809" s="18" t="str">
        <x:f>IF(AND(ISNUMBER(G809),ISNUMBER(I809)),I809/G809*1000,"Erişilemedi")</x:f>
        <x:v>Erişilemedi</x:v>
      </x:c>
      <x:c r="L809" s="16" t="str">
        <x:v>Belirsiz</x:v>
      </x:c>
      <x:c r="M809" s="16" t="str">
        <x:v>Kahve ürünü</x:v>
      </x:c>
      <x:c r="N809" s="16" t="str">
        <x:v>Site haritası ürün sayfası</x:v>
      </x:c>
      <x:c r="O809" s="16" t="str">
        <x:v>Düşük</x:v>
      </x:c>
      <x:c r="P809" s="19" t="n">
        <x:v>46245</x:v>
      </x:c>
      <x:c r="Q809" s="20" t="str">
        <x:v>https://www.kaave.com.tr/guatemala-peaks-cekirdek-kahve-250-gr-4lu-tanisma-paketi</x:v>
      </x:c>
      <x:c r="R809" s="20" t="str">
        <x:v>Ürün kimliği korundu; eksik alanlar erişilemedi olarak işaretlenecek.</x:v>
      </x:c>
    </x:row>
    <x:row r="810" ht="40" customHeight="1">
      <x:c r="A810" s="16" t="str">
        <x:v>Kaave Roastery</x:v>
      </x:c>
      <x:c r="B810" s="16" t="str">
        <x:v>İstanbul</x:v>
      </x:c>
      <x:c r="C810" s="16" t="str">
        <x:v>Doğrulandı</x:v>
      </x:c>
      <x:c r="D810" s="16" t="str">
        <x:v>Ürün kaydı</x:v>
      </x:c>
      <x:c r="E810" s="16" t="str">
        <x:v>KV-KAPSÜL CREMA GUSTO 5,5g x 10</x:v>
      </x:c>
      <x:c r="F810" s="16" t="str">
        <x:v>Menşe belirtilmemiş</x:v>
      </x:c>
      <x:c r="G810" s="17" t="str">
        <x:v>Erişilemedi</x:v>
      </x:c>
      <x:c r="H810" s="16" t="str">
        <x:v>Erişilemedi</x:v>
      </x:c>
      <x:c r="I810" s="18" t="str">
        <x:v>Erişilemedi</x:v>
      </x:c>
      <x:c r="J810" s="18" t="str">
        <x:v>Erişilemedi</x:v>
      </x:c>
      <x:c r="K810" s="18" t="str">
        <x:f>IF(AND(ISNUMBER(G810),ISNUMBER(I810)),I810/G810*1000,"Erişilemedi")</x:f>
        <x:v>Erişilemedi</x:v>
      </x:c>
      <x:c r="L810" s="16" t="str">
        <x:v>Belirsiz</x:v>
      </x:c>
      <x:c r="M810" s="16" t="str">
        <x:v>Kahve ürünü</x:v>
      </x:c>
      <x:c r="N810" s="16" t="str">
        <x:v>Site haritası ürün sayfası</x:v>
      </x:c>
      <x:c r="O810" s="16" t="str">
        <x:v>Düşük</x:v>
      </x:c>
      <x:c r="P810" s="19" t="n">
        <x:v>46245</x:v>
      </x:c>
      <x:c r="Q810" s="20" t="str">
        <x:v>https://www.kaave.com.tr/crema-gusto-kapsul-kahve</x:v>
      </x:c>
      <x:c r="R810" s="20" t="str">
        <x:v>Ürün kimliği korundu; eksik alanlar erişilemedi olarak işaretlenecek.</x:v>
      </x:c>
    </x:row>
    <x:row r="811" ht="40" customHeight="1">
      <x:c r="A811" s="16" t="str">
        <x:v>Kaave Roastery</x:v>
      </x:c>
      <x:c r="B811" s="16" t="str">
        <x:v>İstanbul</x:v>
      </x:c>
      <x:c r="C811" s="16" t="str">
        <x:v>Doğrulandı</x:v>
      </x:c>
      <x:c r="D811" s="16" t="str">
        <x:v>Ürün kaydı</x:v>
      </x:c>
      <x:c r="E811" s="16" t="str">
        <x:v>KV-KAPSÜL GRANDE GUSTO 5,5g x 10</x:v>
      </x:c>
      <x:c r="F811" s="16" t="str">
        <x:v>Menşe belirtilmemiş</x:v>
      </x:c>
      <x:c r="G811" s="17" t="str">
        <x:v>Erişilemedi</x:v>
      </x:c>
      <x:c r="H811" s="16" t="str">
        <x:v>Erişilemedi</x:v>
      </x:c>
      <x:c r="I811" s="18" t="str">
        <x:v>Erişilemedi</x:v>
      </x:c>
      <x:c r="J811" s="18" t="str">
        <x:v>Erişilemedi</x:v>
      </x:c>
      <x:c r="K811" s="18" t="str">
        <x:f>IF(AND(ISNUMBER(G811),ISNUMBER(I811)),I811/G811*1000,"Erişilemedi")</x:f>
        <x:v>Erişilemedi</x:v>
      </x:c>
      <x:c r="L811" s="16" t="str">
        <x:v>Belirsiz</x:v>
      </x:c>
      <x:c r="M811" s="16" t="str">
        <x:v>Kahve ürünü</x:v>
      </x:c>
      <x:c r="N811" s="16" t="str">
        <x:v>Site haritası ürün sayfası</x:v>
      </x:c>
      <x:c r="O811" s="16" t="str">
        <x:v>Düşük</x:v>
      </x:c>
      <x:c r="P811" s="19" t="n">
        <x:v>46245</x:v>
      </x:c>
      <x:c r="Q811" s="20" t="str">
        <x:v>https://www.kaave.com.tr/kaave-grande-gusto-kapsul-kahve</x:v>
      </x:c>
      <x:c r="R811" s="20" t="str">
        <x:v>Ürün kimliği korundu; eksik alanlar erişilemedi olarak işaretlenecek.</x:v>
      </x:c>
    </x:row>
    <x:row r="812" ht="40" customHeight="1">
      <x:c r="A812" s="16" t="str">
        <x:v>Kaave Roastery</x:v>
      </x:c>
      <x:c r="B812" s="16" t="str">
        <x:v>İstanbul</x:v>
      </x:c>
      <x:c r="C812" s="16" t="str">
        <x:v>Doğrulandı</x:v>
      </x:c>
      <x:c r="D812" s="16" t="str">
        <x:v>Ürün kaydı</x:v>
      </x:c>
      <x:c r="E812" s="16" t="str">
        <x:v>KV-KAPSÜL GUATEMALA 5,5g x 10</x:v>
      </x:c>
      <x:c r="F812" s="16" t="str">
        <x:v>Guatemala</x:v>
      </x:c>
      <x:c r="G812" s="17" t="str">
        <x:v>Erişilemedi</x:v>
      </x:c>
      <x:c r="H812" s="16" t="str">
        <x:v>Erişilemedi</x:v>
      </x:c>
      <x:c r="I812" s="18" t="str">
        <x:v>Erişilemedi</x:v>
      </x:c>
      <x:c r="J812" s="18" t="str">
        <x:v>Erişilemedi</x:v>
      </x:c>
      <x:c r="K812" s="18" t="str">
        <x:f>IF(AND(ISNUMBER(G812),ISNUMBER(I812)),I812/G812*1000,"Erişilemedi")</x:f>
        <x:v>Erişilemedi</x:v>
      </x:c>
      <x:c r="L812" s="16" t="str">
        <x:v>Belirsiz</x:v>
      </x:c>
      <x:c r="M812" s="16" t="str">
        <x:v>Kahve ürünü</x:v>
      </x:c>
      <x:c r="N812" s="16" t="str">
        <x:v>Site haritası ürün sayfası</x:v>
      </x:c>
      <x:c r="O812" s="16" t="str">
        <x:v>Düşük</x:v>
      </x:c>
      <x:c r="P812" s="19" t="n">
        <x:v>46245</x:v>
      </x:c>
      <x:c r="Q812" s="20" t="str">
        <x:v>https://www.kaave.com.tr/guatemala-kapsul-kahve</x:v>
      </x:c>
      <x:c r="R812" s="20" t="str">
        <x:v>Ürün kimliği korundu; eksik alanlar erişilemedi olarak işaretlenecek.</x:v>
      </x:c>
    </x:row>
    <x:row r="813" ht="40" customHeight="1">
      <x:c r="A813" s="16" t="str">
        <x:v>Kaave Roastery</x:v>
      </x:c>
      <x:c r="B813" s="16" t="str">
        <x:v>İstanbul</x:v>
      </x:c>
      <x:c r="C813" s="16" t="str">
        <x:v>Doğrulandı</x:v>
      </x:c>
      <x:c r="D813" s="16" t="str">
        <x:v>Ürün kaydı</x:v>
      </x:c>
      <x:c r="E813" s="16" t="str">
        <x:v>KV-Türk Kahvesi İstanbul 1.000 Gr</x:v>
      </x:c>
      <x:c r="F813" s="16" t="str">
        <x:v>Menşe belirtilmemiş</x:v>
      </x:c>
      <x:c r="G813" s="17" t="n">
        <x:v>0</x:v>
      </x:c>
      <x:c r="H813" s="16" t="str">
        <x:v>Erişilemedi</x:v>
      </x:c>
      <x:c r="I813" s="18" t="str">
        <x:v>Erişilemedi</x:v>
      </x:c>
      <x:c r="J813" s="18" t="str">
        <x:v>Erişilemedi</x:v>
      </x:c>
      <x:c r="K813" s="18" t="str">
        <x:f>IF(AND(ISNUMBER(G813),ISNUMBER(I813)),I813/G813*1000,"Erişilemedi")</x:f>
        <x:v>Erişilemedi</x:v>
      </x:c>
      <x:c r="L813" s="16" t="str">
        <x:v>Belirsiz</x:v>
      </x:c>
      <x:c r="M813" s="16" t="str">
        <x:v>Kahve ürünü</x:v>
      </x:c>
      <x:c r="N813" s="16" t="str">
        <x:v>Site haritası ürün sayfası</x:v>
      </x:c>
      <x:c r="O813" s="16" t="str">
        <x:v>Düşük</x:v>
      </x:c>
      <x:c r="P813" s="19" t="n">
        <x:v>46245</x:v>
      </x:c>
      <x:c r="Q813" s="20" t="str">
        <x:v>https://www.kaave.com.tr/turk-kahvesi-istanbul-1000-gr</x:v>
      </x:c>
      <x:c r="R813" s="20" t="str">
        <x:v>Ürün kimliği korundu; eksik alanlar erişilemedi olarak işaretlenecek.</x:v>
      </x:c>
    </x:row>
    <x:row r="814" ht="40" customHeight="1">
      <x:c r="A814" s="16" t="str">
        <x:v>Kaave Roastery</x:v>
      </x:c>
      <x:c r="B814" s="16" t="str">
        <x:v>İstanbul</x:v>
      </x:c>
      <x:c r="C814" s="16" t="str">
        <x:v>Doğrulandı</x:v>
      </x:c>
      <x:c r="D814" s="16" t="str">
        <x:v>Ürün kaydı</x:v>
      </x:c>
      <x:c r="E814" s="16" t="str">
        <x:v>KV-Türk Kahvesi Turkuaz 250 gr</x:v>
      </x:c>
      <x:c r="F814" s="16" t="str">
        <x:v>Harman – menşe belirtilmemiş</x:v>
      </x:c>
      <x:c r="G814" s="17" t="n">
        <x:v>250</x:v>
      </x:c>
      <x:c r="H814" s="16" t="str">
        <x:v>Erişildi</x:v>
      </x:c>
      <x:c r="I814" s="18" t="str">
        <x:v>Erişilemedi</x:v>
      </x:c>
      <x:c r="J814" s="18" t="str">
        <x:v>Erişilemedi</x:v>
      </x:c>
      <x:c r="K814" s="18" t="str">
        <x:f>IF(AND(ISNUMBER(G814),ISNUMBER(I814)),I814/G814*1000,"Erişilemedi")</x:f>
        <x:v>Erişilemedi</x:v>
      </x:c>
      <x:c r="L814" s="16" t="str">
        <x:v>Belirsiz</x:v>
      </x:c>
      <x:c r="M814" s="16" t="str">
        <x:v>Harman</x:v>
      </x:c>
      <x:c r="N814" s="16" t="str">
        <x:v>Site haritası ürün sayfası</x:v>
      </x:c>
      <x:c r="O814" s="16" t="str">
        <x:v>Düşük</x:v>
      </x:c>
      <x:c r="P814" s="19" t="n">
        <x:v>46245</x:v>
      </x:c>
      <x:c r="Q814" s="20" t="str">
        <x:v>https://www.kaave.com.tr/turk-kahvesi-turkuaz-250-gr</x:v>
      </x:c>
      <x:c r="R814" s="20" t="str">
        <x:v>Ürün kimliği korundu; eksik alanlar erişilemedi olarak işaretlenecek.</x:v>
      </x:c>
    </x:row>
    <x:row r="815" ht="40" customHeight="1">
      <x:c r="A815" s="16" t="str">
        <x:v>Kaave Roastery</x:v>
      </x:c>
      <x:c r="B815" s="16" t="str">
        <x:v>İstanbul</x:v>
      </x:c>
      <x:c r="C815" s="16" t="str">
        <x:v>Doğrulandı</x:v>
      </x:c>
      <x:c r="D815" s="16" t="str">
        <x:v>Ürün kaydı</x:v>
      </x:c>
      <x:c r="E815" s="16" t="str">
        <x:v>Magnifico Blend Espresso Çekirdek Kahve 1.000 Gr|</x:v>
      </x:c>
      <x:c r="F815" s="16" t="str">
        <x:v>Harman – menşe belirtilmemiş</x:v>
      </x:c>
      <x:c r="G815" s="17" t="n">
        <x:v>0</x:v>
      </x:c>
      <x:c r="H815" s="16" t="str">
        <x:v>Erişilemedi</x:v>
      </x:c>
      <x:c r="I815" s="18" t="str">
        <x:v>Erişilemedi</x:v>
      </x:c>
      <x:c r="J815" s="18" t="str">
        <x:v>Erişilemedi</x:v>
      </x:c>
      <x:c r="K815" s="18" t="str">
        <x:f>IF(AND(ISNUMBER(G815),ISNUMBER(I815)),I815/G815*1000,"Erişilemedi")</x:f>
        <x:v>Erişilemedi</x:v>
      </x:c>
      <x:c r="L815" s="16" t="str">
        <x:v>Belirsiz</x:v>
      </x:c>
      <x:c r="M815" s="16" t="str">
        <x:v>Harman</x:v>
      </x:c>
      <x:c r="N815" s="16" t="str">
        <x:v>Site haritası ürün sayfası</x:v>
      </x:c>
      <x:c r="O815" s="16" t="str">
        <x:v>Düşük</x:v>
      </x:c>
      <x:c r="P815" s="19" t="n">
        <x:v>46245</x:v>
      </x:c>
      <x:c r="Q815" s="20" t="str">
        <x:v>https://www.kaave.com.tr/magnifico-blend-espresso-cekirdek-kahve-1000-gr</x:v>
      </x:c>
      <x:c r="R815" s="20" t="str">
        <x:v>Ürün kimliği korundu; eksik alanlar erişilemedi olarak işaretlenecek.</x:v>
      </x:c>
    </x:row>
    <x:row r="816" ht="40" customHeight="1">
      <x:c r="A816" s="16" t="str">
        <x:v>Kaave Roastery</x:v>
      </x:c>
      <x:c r="B816" s="16" t="str">
        <x:v>İstanbul</x:v>
      </x:c>
      <x:c r="C816" s="16" t="str">
        <x:v>Doğrulandı</x:v>
      </x:c>
      <x:c r="D816" s="16" t="str">
        <x:v>Ürün kaydı</x:v>
      </x:c>
      <x:c r="E816" s="16" t="str">
        <x:v>Mare Blue Çekirdek 250 Gr*2'li Tanışma Paketi</x:v>
      </x:c>
      <x:c r="F816" s="16" t="str">
        <x:v>Menşe belirtilmemiş</x:v>
      </x:c>
      <x:c r="G816" s="17" t="n">
        <x:v>250</x:v>
      </x:c>
      <x:c r="H816" s="16" t="str">
        <x:v>Erişildi</x:v>
      </x:c>
      <x:c r="I816" s="18" t="str">
        <x:v>Erişilemedi</x:v>
      </x:c>
      <x:c r="J816" s="18" t="str">
        <x:v>Erişilemedi</x:v>
      </x:c>
      <x:c r="K816" s="18" t="str">
        <x:f>IF(AND(ISNUMBER(G816),ISNUMBER(I816)),I816/G816*1000,"Erişilemedi")</x:f>
        <x:v>Erişilemedi</x:v>
      </x:c>
      <x:c r="L816" s="16" t="str">
        <x:v>Belirsiz</x:v>
      </x:c>
      <x:c r="M816" s="16" t="str">
        <x:v>Kahve ürünü</x:v>
      </x:c>
      <x:c r="N816" s="16" t="str">
        <x:v>Site haritası ürün sayfası</x:v>
      </x:c>
      <x:c r="O816" s="16" t="str">
        <x:v>Düşük</x:v>
      </x:c>
      <x:c r="P816" s="19" t="n">
        <x:v>46245</x:v>
      </x:c>
      <x:c r="Q816" s="20" t="str">
        <x:v>https://www.kaave.com.tr/filtre-mare-blue-cekirdek-kahve-tanisma-paketi-250-gr-2-adet</x:v>
      </x:c>
      <x:c r="R816" s="20" t="str">
        <x:v>Ürün kimliği korundu; eksik alanlar erişilemedi olarak işaretlenecek.</x:v>
      </x:c>
    </x:row>
    <x:row r="817" ht="40" customHeight="1">
      <x:c r="A817" s="16" t="str">
        <x:v>Kaave Roastery</x:v>
      </x:c>
      <x:c r="B817" s="16" t="str">
        <x:v>İstanbul</x:v>
      </x:c>
      <x:c r="C817" s="16" t="str">
        <x:v>Doğrulandı</x:v>
      </x:c>
      <x:c r="D817" s="16" t="str">
        <x:v>Ürün kaydı</x:v>
      </x:c>
      <x:c r="E817" s="16" t="str">
        <x:v>Mare Blue Çekirdek 250 Gr*4'lü Tanışma Paketi</x:v>
      </x:c>
      <x:c r="F817" s="16" t="str">
        <x:v>Menşe belirtilmemiş</x:v>
      </x:c>
      <x:c r="G817" s="17" t="n">
        <x:v>250</x:v>
      </x:c>
      <x:c r="H817" s="16" t="str">
        <x:v>Erişildi</x:v>
      </x:c>
      <x:c r="I817" s="18" t="str">
        <x:v>Erişilemedi</x:v>
      </x:c>
      <x:c r="J817" s="18" t="str">
        <x:v>Erişilemedi</x:v>
      </x:c>
      <x:c r="K817" s="18" t="str">
        <x:f>IF(AND(ISNUMBER(G817),ISNUMBER(I817)),I817/G817*1000,"Erişilemedi")</x:f>
        <x:v>Erişilemedi</x:v>
      </x:c>
      <x:c r="L817" s="16" t="str">
        <x:v>Belirsiz</x:v>
      </x:c>
      <x:c r="M817" s="16" t="str">
        <x:v>Kahve ürünü</x:v>
      </x:c>
      <x:c r="N817" s="16" t="str">
        <x:v>Site haritası ürün sayfası</x:v>
      </x:c>
      <x:c r="O817" s="16" t="str">
        <x:v>Düşük</x:v>
      </x:c>
      <x:c r="P817" s="19" t="n">
        <x:v>46245</x:v>
      </x:c>
      <x:c r="Q817" s="20" t="str">
        <x:v>https://www.kaave.com.tr/filtre-mare-blue-cekirdek-kahve-250-gr-4lu-tanisma-paketi</x:v>
      </x:c>
      <x:c r="R817" s="20" t="str">
        <x:v>Ürün kimliği korundu; eksik alanlar erişilemedi olarak işaretlenecek.</x:v>
      </x:c>
    </x:row>
    <x:row r="818" ht="40" customHeight="1">
      <x:c r="A818" s="16" t="str">
        <x:v>Kaave Roastery</x:v>
      </x:c>
      <x:c r="B818" s="16" t="str">
        <x:v>İstanbul</x:v>
      </x:c>
      <x:c r="C818" s="16" t="str">
        <x:v>Doğrulandı</x:v>
      </x:c>
      <x:c r="D818" s="16" t="str">
        <x:v>Ürün kaydı</x:v>
      </x:c>
      <x:c r="E818" s="16" t="str">
        <x:v>Mare Blue Öğütülmüş 250 Gr*4'lü Tanışma Paketi</x:v>
      </x:c>
      <x:c r="F818" s="16" t="str">
        <x:v>Menşe belirtilmemiş</x:v>
      </x:c>
      <x:c r="G818" s="17" t="n">
        <x:v>250</x:v>
      </x:c>
      <x:c r="H818" s="16" t="str">
        <x:v>Erişildi</x:v>
      </x:c>
      <x:c r="I818" s="18" t="str">
        <x:v>Erişilemedi</x:v>
      </x:c>
      <x:c r="J818" s="18" t="str">
        <x:v>Erişilemedi</x:v>
      </x:c>
      <x:c r="K818" s="18" t="str">
        <x:f>IF(AND(ISNUMBER(G818),ISNUMBER(I818)),I818/G818*1000,"Erişilemedi")</x:f>
        <x:v>Erişilemedi</x:v>
      </x:c>
      <x:c r="L818" s="16" t="str">
        <x:v>Belirsiz</x:v>
      </x:c>
      <x:c r="M818" s="16" t="str">
        <x:v>Kahve ürünü</x:v>
      </x:c>
      <x:c r="N818" s="16" t="str">
        <x:v>Site haritası ürün sayfası</x:v>
      </x:c>
      <x:c r="O818" s="16" t="str">
        <x:v>Düşük</x:v>
      </x:c>
      <x:c r="P818" s="19" t="n">
        <x:v>46245</x:v>
      </x:c>
      <x:c r="Q818" s="20" t="str">
        <x:v>https://www.kaave.com.tr/filtre-mare-blue-ogutulmus-kahve-250-gr-4lu-tanisma-paketi</x:v>
      </x:c>
      <x:c r="R818" s="20" t="str">
        <x:v>Ürün kimliği korundu; eksik alanlar erişilemedi olarak işaretlenecek.</x:v>
      </x:c>
    </x:row>
    <x:row r="819" ht="40" customHeight="1">
      <x:c r="A819" s="16" t="str">
        <x:v>Kaave Roastery</x:v>
      </x:c>
      <x:c r="B819" s="16" t="str">
        <x:v>İstanbul</x:v>
      </x:c>
      <x:c r="C819" s="16" t="str">
        <x:v>Doğrulandı</x:v>
      </x:c>
      <x:c r="D819" s="16" t="str">
        <x:v>Ürün kaydı</x:v>
      </x:c>
      <x:c r="E819" s="16" t="str">
        <x:v>Mare Blue Öğütülmüş 250G*2'li Tanışma Paketi</x:v>
      </x:c>
      <x:c r="F819" s="16" t="str">
        <x:v>Menşe belirtilmemiş</x:v>
      </x:c>
      <x:c r="G819" s="17" t="n">
        <x:v>250</x:v>
      </x:c>
      <x:c r="H819" s="16" t="str">
        <x:v>Erişildi</x:v>
      </x:c>
      <x:c r="I819" s="18" t="str">
        <x:v>Erişilemedi</x:v>
      </x:c>
      <x:c r="J819" s="18" t="str">
        <x:v>Erişilemedi</x:v>
      </x:c>
      <x:c r="K819" s="18" t="str">
        <x:f>IF(AND(ISNUMBER(G819),ISNUMBER(I819)),I819/G819*1000,"Erişilemedi")</x:f>
        <x:v>Erişilemedi</x:v>
      </x:c>
      <x:c r="L819" s="16" t="str">
        <x:v>Belirsiz</x:v>
      </x:c>
      <x:c r="M819" s="16" t="str">
        <x:v>Kahve ürünü</x:v>
      </x:c>
      <x:c r="N819" s="16" t="str">
        <x:v>Site haritası ürün sayfası</x:v>
      </x:c>
      <x:c r="O819" s="16" t="str">
        <x:v>Düşük</x:v>
      </x:c>
      <x:c r="P819" s="19" t="n">
        <x:v>46245</x:v>
      </x:c>
      <x:c r="Q819" s="20" t="str">
        <x:v>https://www.kaave.com.tr/mare-blue-filtre-kahve-tanisma-paketi-250-gr-2-adet</x:v>
      </x:c>
      <x:c r="R819" s="20" t="str">
        <x:v>Ürün kimliği korundu; eksik alanlar erişilemedi olarak işaretlenecek.</x:v>
      </x:c>
    </x:row>
    <x:row r="820" ht="40" customHeight="1">
      <x:c r="A820" s="16" t="str">
        <x:v>Kaave Roastery</x:v>
      </x:c>
      <x:c r="B820" s="16" t="str">
        <x:v>İstanbul</x:v>
      </x:c>
      <x:c r="C820" s="16" t="str">
        <x:v>Doğrulandı</x:v>
      </x:c>
      <x:c r="D820" s="16" t="str">
        <x:v>Ürün kaydı</x:v>
      </x:c>
      <x:c r="E820" s="16" t="str">
        <x:v>Prestij Blend Filtre 500 Gr*2'li Tanışma Paketi</x:v>
      </x:c>
      <x:c r="F820" s="16" t="str">
        <x:v>Harman – menşe belirtilmemiş</x:v>
      </x:c>
      <x:c r="G820" s="17" t="n">
        <x:v>500</x:v>
      </x:c>
      <x:c r="H820" s="16" t="str">
        <x:v>Erişildi</x:v>
      </x:c>
      <x:c r="I820" s="18" t="str">
        <x:v>Erişilemedi</x:v>
      </x:c>
      <x:c r="J820" s="18" t="str">
        <x:v>Erişilemedi</x:v>
      </x:c>
      <x:c r="K820" s="18" t="str">
        <x:f>IF(AND(ISNUMBER(G820),ISNUMBER(I820)),I820/G820*1000,"Erişilemedi")</x:f>
        <x:v>Erişilemedi</x:v>
      </x:c>
      <x:c r="L820" s="16" t="str">
        <x:v>Belirsiz</x:v>
      </x:c>
      <x:c r="M820" s="16" t="str">
        <x:v>Harman</x:v>
      </x:c>
      <x:c r="N820" s="16" t="str">
        <x:v>Site haritası ürün sayfası</x:v>
      </x:c>
      <x:c r="O820" s="16" t="str">
        <x:v>Düşük</x:v>
      </x:c>
      <x:c r="P820" s="19" t="n">
        <x:v>46245</x:v>
      </x:c>
      <x:c r="Q820" s="20" t="str">
        <x:v>https://www.kaave.com.tr/prestij-blend-filtre-kahve-tanisma-paketi-500-gr-2-adet</x:v>
      </x:c>
      <x:c r="R820" s="20" t="str">
        <x:v>Ürün kimliği korundu; eksik alanlar erişilemedi olarak işaretlenecek.</x:v>
      </x:c>
    </x:row>
    <x:row r="821" ht="40" customHeight="1">
      <x:c r="A821" s="16" t="str">
        <x:v>Kaave Roastery</x:v>
      </x:c>
      <x:c r="B821" s="16" t="str">
        <x:v>İstanbul</x:v>
      </x:c>
      <x:c r="C821" s="16" t="str">
        <x:v>Doğrulandı</x:v>
      </x:c>
      <x:c r="D821" s="16" t="str">
        <x:v>Ürün kaydı</x:v>
      </x:c>
      <x:c r="E821" s="16" t="str">
        <x:v>Prestij Blend Filtre 500 Gr*3'lü Tanışma Paketi</x:v>
      </x:c>
      <x:c r="F821" s="16" t="str">
        <x:v>Harman – menşe belirtilmemiş</x:v>
      </x:c>
      <x:c r="G821" s="17" t="n">
        <x:v>500</x:v>
      </x:c>
      <x:c r="H821" s="16" t="str">
        <x:v>Erişildi</x:v>
      </x:c>
      <x:c r="I821" s="18" t="str">
        <x:v>Erişilemedi</x:v>
      </x:c>
      <x:c r="J821" s="18" t="str">
        <x:v>Erişilemedi</x:v>
      </x:c>
      <x:c r="K821" s="18" t="str">
        <x:f>IF(AND(ISNUMBER(G821),ISNUMBER(I821)),I821/G821*1000,"Erişilemedi")</x:f>
        <x:v>Erişilemedi</x:v>
      </x:c>
      <x:c r="L821" s="16" t="str">
        <x:v>Belirsiz</x:v>
      </x:c>
      <x:c r="M821" s="16" t="str">
        <x:v>Harman</x:v>
      </x:c>
      <x:c r="N821" s="16" t="str">
        <x:v>Site haritası ürün sayfası</x:v>
      </x:c>
      <x:c r="O821" s="16" t="str">
        <x:v>Düşük</x:v>
      </x:c>
      <x:c r="P821" s="19" t="n">
        <x:v>46245</x:v>
      </x:c>
      <x:c r="Q821" s="20" t="str">
        <x:v>https://www.kaave.com.tr/prestij-blend-filtre-kahve-500-gr-3lu-tanisma-paketi</x:v>
      </x:c>
      <x:c r="R821" s="20" t="str">
        <x:v>Ürün kimliği korundu; eksik alanlar erişilemedi olarak işaretlenecek.</x:v>
      </x:c>
    </x:row>
    <x:row r="822" ht="40" customHeight="1">
      <x:c r="A822" s="16" t="str">
        <x:v>Kaave Roastery</x:v>
      </x:c>
      <x:c r="B822" s="16" t="str">
        <x:v>İstanbul</x:v>
      </x:c>
      <x:c r="C822" s="16" t="str">
        <x:v>Doğrulandı</x:v>
      </x:c>
      <x:c r="D822" s="16" t="str">
        <x:v>Ürün kaydı</x:v>
      </x:c>
      <x:c r="E822" s="16" t="str">
        <x:v>Prestij Blend Filtre 500 Gr*4'lü Tanışma Paketi</x:v>
      </x:c>
      <x:c r="F822" s="16" t="str">
        <x:v>Harman – menşe belirtilmemiş</x:v>
      </x:c>
      <x:c r="G822" s="17" t="n">
        <x:v>500</x:v>
      </x:c>
      <x:c r="H822" s="16" t="str">
        <x:v>Erişildi</x:v>
      </x:c>
      <x:c r="I822" s="18" t="str">
        <x:v>Erişilemedi</x:v>
      </x:c>
      <x:c r="J822" s="18" t="str">
        <x:v>Erişilemedi</x:v>
      </x:c>
      <x:c r="K822" s="18" t="str">
        <x:f>IF(AND(ISNUMBER(G822),ISNUMBER(I822)),I822/G822*1000,"Erişilemedi")</x:f>
        <x:v>Erişilemedi</x:v>
      </x:c>
      <x:c r="L822" s="16" t="str">
        <x:v>Belirsiz</x:v>
      </x:c>
      <x:c r="M822" s="16" t="str">
        <x:v>Harman</x:v>
      </x:c>
      <x:c r="N822" s="16" t="str">
        <x:v>Site haritası ürün sayfası</x:v>
      </x:c>
      <x:c r="O822" s="16" t="str">
        <x:v>Düşük</x:v>
      </x:c>
      <x:c r="P822" s="19" t="n">
        <x:v>46245</x:v>
      </x:c>
      <x:c r="Q822" s="20" t="str">
        <x:v>https://www.kaave.com.tr/prestij-blend-filtre-kahve-tanisma-paketi-500-gr-4-adet</x:v>
      </x:c>
      <x:c r="R822" s="20" t="str">
        <x:v>Ürün kimliği korundu; eksik alanlar erişilemedi olarak işaretlenecek.</x:v>
      </x:c>
    </x:row>
    <x:row r="823" ht="40" customHeight="1">
      <x:c r="A823" s="16" t="str">
        <x:v>Kaave Roastery</x:v>
      </x:c>
      <x:c r="B823" s="16" t="str">
        <x:v>İstanbul</x:v>
      </x:c>
      <x:c r="C823" s="16" t="str">
        <x:v>Doğrulandı</x:v>
      </x:c>
      <x:c r="D823" s="16" t="str">
        <x:v>Ürün kaydı</x:v>
      </x:c>
      <x:c r="E823" s="16" t="str">
        <x:v>Prestij Blend Filtre Kahve 250 Gr|</x:v>
      </x:c>
      <x:c r="F823" s="16" t="str">
        <x:v>Harman – menşe belirtilmemiş</x:v>
      </x:c>
      <x:c r="G823" s="17" t="n">
        <x:v>250</x:v>
      </x:c>
      <x:c r="H823" s="16" t="str">
        <x:v>Erişildi</x:v>
      </x:c>
      <x:c r="I823" s="18" t="str">
        <x:v>Erişilemedi</x:v>
      </x:c>
      <x:c r="J823" s="18" t="str">
        <x:v>Erişilemedi</x:v>
      </x:c>
      <x:c r="K823" s="18" t="str">
        <x:f>IF(AND(ISNUMBER(G823),ISNUMBER(I823)),I823/G823*1000,"Erişilemedi")</x:f>
        <x:v>Erişilemedi</x:v>
      </x:c>
      <x:c r="L823" s="16" t="str">
        <x:v>Belirsiz</x:v>
      </x:c>
      <x:c r="M823" s="16" t="str">
        <x:v>Harman</x:v>
      </x:c>
      <x:c r="N823" s="16" t="str">
        <x:v>Site haritası ürün sayfası</x:v>
      </x:c>
      <x:c r="O823" s="16" t="str">
        <x:v>Düşük</x:v>
      </x:c>
      <x:c r="P823" s="19" t="n">
        <x:v>46245</x:v>
      </x:c>
      <x:c r="Q823" s="20" t="str">
        <x:v>https://www.kaave.com.tr/prestij-blend-filtre-kahve-250-gr</x:v>
      </x:c>
      <x:c r="R823" s="20" t="str">
        <x:v>Ürün kimliği korundu; eksik alanlar erişilemedi olarak işaretlenecek.</x:v>
      </x:c>
    </x:row>
    <x:row r="824" ht="40" customHeight="1">
      <x:c r="A824" s="16" t="str">
        <x:v>Kaave Roastery</x:v>
      </x:c>
      <x:c r="B824" s="16" t="str">
        <x:v>İstanbul</x:v>
      </x:c>
      <x:c r="C824" s="16" t="str">
        <x:v>Doğrulandı</x:v>
      </x:c>
      <x:c r="D824" s="16" t="str">
        <x:v>Ürün kaydı</x:v>
      </x:c>
      <x:c r="E824" s="16" t="str">
        <x:v>Türk Kahvesi İstanbul 250 Gr*2'li Tanışma Paketi</x:v>
      </x:c>
      <x:c r="F824" s="16" t="str">
        <x:v>Menşe belirtilmemiş</x:v>
      </x:c>
      <x:c r="G824" s="17" t="n">
        <x:v>250</x:v>
      </x:c>
      <x:c r="H824" s="16" t="str">
        <x:v>Erişildi</x:v>
      </x:c>
      <x:c r="I824" s="18" t="str">
        <x:v>Erişilemedi</x:v>
      </x:c>
      <x:c r="J824" s="18" t="str">
        <x:v>Erişilemedi</x:v>
      </x:c>
      <x:c r="K824" s="18" t="str">
        <x:f>IF(AND(ISNUMBER(G824),ISNUMBER(I824)),I824/G824*1000,"Erişilemedi")</x:f>
        <x:v>Erişilemedi</x:v>
      </x:c>
      <x:c r="L824" s="16" t="str">
        <x:v>Belirsiz</x:v>
      </x:c>
      <x:c r="M824" s="16" t="str">
        <x:v>Kahve ürünü</x:v>
      </x:c>
      <x:c r="N824" s="16" t="str">
        <x:v>Site haritası ürün sayfası</x:v>
      </x:c>
      <x:c r="O824" s="16" t="str">
        <x:v>Düşük</x:v>
      </x:c>
      <x:c r="P824" s="19" t="n">
        <x:v>46245</x:v>
      </x:c>
      <x:c r="Q824" s="20" t="str">
        <x:v>https://www.kaave.com.tr/turk-kahvesi-istanbul-tanisma-paketi-250-gr-2-adet</x:v>
      </x:c>
      <x:c r="R824" s="20" t="str">
        <x:v>Ürün kimliği korundu; eksik alanlar erişilemedi olarak işaretlenecek.</x:v>
      </x:c>
    </x:row>
    <x:row r="825" ht="40" customHeight="1">
      <x:c r="A825" s="16" t="str">
        <x:v>Kaave Roastery</x:v>
      </x:c>
      <x:c r="B825" s="16" t="str">
        <x:v>İstanbul</x:v>
      </x:c>
      <x:c r="C825" s="16" t="str">
        <x:v>Doğrulandı</x:v>
      </x:c>
      <x:c r="D825" s="16" t="str">
        <x:v>Ürün kaydı</x:v>
      </x:c>
      <x:c r="E825" s="16" t="str">
        <x:v>Türk Kahvesi İstanbul 250 Gr*4'lü Tanışma Paketi</x:v>
      </x:c>
      <x:c r="F825" s="16" t="str">
        <x:v>Menşe belirtilmemiş</x:v>
      </x:c>
      <x:c r="G825" s="17" t="n">
        <x:v>250</x:v>
      </x:c>
      <x:c r="H825" s="16" t="str">
        <x:v>Erişildi</x:v>
      </x:c>
      <x:c r="I825" s="18" t="str">
        <x:v>Erişilemedi</x:v>
      </x:c>
      <x:c r="J825" s="18" t="str">
        <x:v>Erişilemedi</x:v>
      </x:c>
      <x:c r="K825" s="18" t="str">
        <x:f>IF(AND(ISNUMBER(G825),ISNUMBER(I825)),I825/G825*1000,"Erişilemedi")</x:f>
        <x:v>Erişilemedi</x:v>
      </x:c>
      <x:c r="L825" s="16" t="str">
        <x:v>Belirsiz</x:v>
      </x:c>
      <x:c r="M825" s="16" t="str">
        <x:v>Kahve ürünü</x:v>
      </x:c>
      <x:c r="N825" s="16" t="str">
        <x:v>Site haritası ürün sayfası</x:v>
      </x:c>
      <x:c r="O825" s="16" t="str">
        <x:v>Düşük</x:v>
      </x:c>
      <x:c r="P825" s="19" t="n">
        <x:v>46245</x:v>
      </x:c>
      <x:c r="Q825" s="20" t="str">
        <x:v>https://www.kaave.com.tr/turk-kahvesi-istanbul-tanisma-paketi-250-gr-4-adet</x:v>
      </x:c>
      <x:c r="R825" s="20" t="str">
        <x:v>Ürün kimliği korundu; eksik alanlar erişilemedi olarak işaretlenecek.</x:v>
      </x:c>
    </x:row>
    <x:row r="826" ht="40" customHeight="1">
      <x:c r="A826" s="16" t="str">
        <x:v>Kaave Roastery</x:v>
      </x:c>
      <x:c r="B826" s="16" t="str">
        <x:v>İstanbul</x:v>
      </x:c>
      <x:c r="C826" s="16" t="str">
        <x:v>Doğrulandı</x:v>
      </x:c>
      <x:c r="D826" s="16" t="str">
        <x:v>Ürün kaydı</x:v>
      </x:c>
      <x:c r="E826" s="16" t="str">
        <x:v>TÜRK KAHVESİ İSTANBUL 250G</x:v>
      </x:c>
      <x:c r="F826" s="16" t="str">
        <x:v>Menşe belirtilmemiş</x:v>
      </x:c>
      <x:c r="G826" s="17" t="n">
        <x:v>250</x:v>
      </x:c>
      <x:c r="H826" s="16" t="str">
        <x:v>Erişildi</x:v>
      </x:c>
      <x:c r="I826" s="18" t="str">
        <x:v>Erişilemedi</x:v>
      </x:c>
      <x:c r="J826" s="18" t="str">
        <x:v>Erişilemedi</x:v>
      </x:c>
      <x:c r="K826" s="18" t="str">
        <x:f>IF(AND(ISNUMBER(G826),ISNUMBER(I826)),I826/G826*1000,"Erişilemedi")</x:f>
        <x:v>Erişilemedi</x:v>
      </x:c>
      <x:c r="L826" s="16" t="str">
        <x:v>Belirsiz</x:v>
      </x:c>
      <x:c r="M826" s="16" t="str">
        <x:v>Kahve ürünü</x:v>
      </x:c>
      <x:c r="N826" s="16" t="str">
        <x:v>Site haritası ürün sayfası</x:v>
      </x:c>
      <x:c r="O826" s="16" t="str">
        <x:v>Düşük</x:v>
      </x:c>
      <x:c r="P826" s="19" t="n">
        <x:v>46245</x:v>
      </x:c>
      <x:c r="Q826" s="20" t="str">
        <x:v>https://www.kaave.com.tr/turk-kahvesi-istanbul-250-gr</x:v>
      </x:c>
      <x:c r="R826" s="20" t="str">
        <x:v>Ürün kimliği korundu; eksik alanlar erişilemedi olarak işaretlenecek.</x:v>
      </x:c>
    </x:row>
    <x:row r="827" ht="40" customHeight="1">
      <x:c r="A827" s="16" t="str">
        <x:v>Kaave Roastery</x:v>
      </x:c>
      <x:c r="B827" s="16" t="str">
        <x:v>İstanbul</x:v>
      </x:c>
      <x:c r="C827" s="16" t="str">
        <x:v>Doğrulandı</x:v>
      </x:c>
      <x:c r="D827" s="16" t="str">
        <x:v>Ürün kaydı</x:v>
      </x:c>
      <x:c r="E827" s="16" t="str">
        <x:v>Türk Kahvesi Turkuaz 250 Gr + Türk Kahvesi İstanbul 250 Gr 2'li Tanışma Paketi</x:v>
      </x:c>
      <x:c r="F827" s="16" t="str">
        <x:v>Menşe belirtilmemiş</x:v>
      </x:c>
      <x:c r="G827" s="17" t="n">
        <x:v>250</x:v>
      </x:c>
      <x:c r="H827" s="16" t="str">
        <x:v>Erişildi</x:v>
      </x:c>
      <x:c r="I827" s="18" t="str">
        <x:v>Erişilemedi</x:v>
      </x:c>
      <x:c r="J827" s="18" t="str">
        <x:v>Erişilemedi</x:v>
      </x:c>
      <x:c r="K827" s="18" t="str">
        <x:f>IF(AND(ISNUMBER(G827),ISNUMBER(I827)),I827/G827*1000,"Erişilemedi")</x:f>
        <x:v>Erişilemedi</x:v>
      </x:c>
      <x:c r="L827" s="16" t="str">
        <x:v>Belirsiz</x:v>
      </x:c>
      <x:c r="M827" s="16" t="str">
        <x:v>Kahve ürünü</x:v>
      </x:c>
      <x:c r="N827" s="16" t="str">
        <x:v>Site haritası ürün sayfası</x:v>
      </x:c>
      <x:c r="O827" s="16" t="str">
        <x:v>Düşük</x:v>
      </x:c>
      <x:c r="P827" s="19" t="n">
        <x:v>46245</x:v>
      </x:c>
      <x:c r="Q827" s="20" t="str">
        <x:v>https://www.kaave.com.tr/turkuaz-istanbul-turk-kahvesi-tanisma-paketi-250-gr-2-adet</x:v>
      </x:c>
      <x:c r="R827" s="20" t="str">
        <x:v>Ürün kimliği korundu; eksik alanlar erişilemedi olarak işaretlenecek.</x:v>
      </x:c>
    </x:row>
    <x:row r="828" ht="40" customHeight="1">
      <x:c r="A828" s="16" t="str">
        <x:v>Kaave Roastery</x:v>
      </x:c>
      <x:c r="B828" s="16" t="str">
        <x:v>İstanbul</x:v>
      </x:c>
      <x:c r="C828" s="16" t="str">
        <x:v>Doğrulandı</x:v>
      </x:c>
      <x:c r="D828" s="16" t="str">
        <x:v>Ürün kaydı</x:v>
      </x:c>
      <x:c r="E828" s="16" t="str">
        <x:v>Türk Kahvesi Turkuaz 250 Gr*2'li Tanışma Paketi</x:v>
      </x:c>
      <x:c r="F828" s="16" t="str">
        <x:v>Menşe belirtilmemiş</x:v>
      </x:c>
      <x:c r="G828" s="17" t="n">
        <x:v>250</x:v>
      </x:c>
      <x:c r="H828" s="16" t="str">
        <x:v>Erişildi</x:v>
      </x:c>
      <x:c r="I828" s="18" t="str">
        <x:v>Erişilemedi</x:v>
      </x:c>
      <x:c r="J828" s="18" t="str">
        <x:v>Erişilemedi</x:v>
      </x:c>
      <x:c r="K828" s="18" t="str">
        <x:f>IF(AND(ISNUMBER(G828),ISNUMBER(I828)),I828/G828*1000,"Erişilemedi")</x:f>
        <x:v>Erişilemedi</x:v>
      </x:c>
      <x:c r="L828" s="16" t="str">
        <x:v>Belirsiz</x:v>
      </x:c>
      <x:c r="M828" s="16" t="str">
        <x:v>Kahve ürünü</x:v>
      </x:c>
      <x:c r="N828" s="16" t="str">
        <x:v>Site haritası ürün sayfası</x:v>
      </x:c>
      <x:c r="O828" s="16" t="str">
        <x:v>Düşük</x:v>
      </x:c>
      <x:c r="P828" s="19" t="n">
        <x:v>46245</x:v>
      </x:c>
      <x:c r="Q828" s="20" t="str">
        <x:v>https://www.kaave.com.tr/turk-kahvesi-turkuaz-tanisma-paketi-250-gr-2-adet</x:v>
      </x:c>
      <x:c r="R828" s="20" t="str">
        <x:v>Ürün kimliği korundu; eksik alanlar erişilemedi olarak işaretlenecek.</x:v>
      </x:c>
    </x:row>
    <x:row r="829" ht="40" customHeight="1">
      <x:c r="A829" s="16" t="str">
        <x:v>Kaave Roastery</x:v>
      </x:c>
      <x:c r="B829" s="16" t="str">
        <x:v>İstanbul</x:v>
      </x:c>
      <x:c r="C829" s="16" t="str">
        <x:v>Doğrulandı</x:v>
      </x:c>
      <x:c r="D829" s="16" t="str">
        <x:v>Ürün kaydı</x:v>
      </x:c>
      <x:c r="E829" s="16" t="str">
        <x:v>Türk Kahvesi Turkuaz 250 Gr*4'lü Tanışma Paketi</x:v>
      </x:c>
      <x:c r="F829" s="16" t="str">
        <x:v>Menşe belirtilmemiş</x:v>
      </x:c>
      <x:c r="G829" s="17" t="n">
        <x:v>250</x:v>
      </x:c>
      <x:c r="H829" s="16" t="str">
        <x:v>Erişildi</x:v>
      </x:c>
      <x:c r="I829" s="18" t="str">
        <x:v>Erişilemedi</x:v>
      </x:c>
      <x:c r="J829" s="18" t="str">
        <x:v>Erişilemedi</x:v>
      </x:c>
      <x:c r="K829" s="18" t="str">
        <x:f>IF(AND(ISNUMBER(G829),ISNUMBER(I829)),I829/G829*1000,"Erişilemedi")</x:f>
        <x:v>Erişilemedi</x:v>
      </x:c>
      <x:c r="L829" s="16" t="str">
        <x:v>Belirsiz</x:v>
      </x:c>
      <x:c r="M829" s="16" t="str">
        <x:v>Kahve ürünü</x:v>
      </x:c>
      <x:c r="N829" s="16" t="str">
        <x:v>Site haritası ürün sayfası</x:v>
      </x:c>
      <x:c r="O829" s="16" t="str">
        <x:v>Düşük</x:v>
      </x:c>
      <x:c r="P829" s="19" t="n">
        <x:v>46245</x:v>
      </x:c>
      <x:c r="Q829" s="20" t="str">
        <x:v>https://www.kaave.com.tr/turk-kahvesi-turkuaz-tanisma-paketi-250-gr-4-adet</x:v>
      </x:c>
      <x:c r="R829" s="20" t="str">
        <x:v>Ürün kimliği korundu; eksik alanlar erişilemedi olarak işaretlenecek.</x:v>
      </x:c>
    </x:row>
    <x:row r="830" ht="40" customHeight="1">
      <x:c r="A830" s="16" t="str">
        <x:v>Kafein Kültür</x:v>
      </x:c>
      <x:c r="B830" s="16" t="str">
        <x:v>İstanbul</x:v>
      </x:c>
      <x:c r="C830" s="16" t="str">
        <x:v>Kısmi doğrulama</x:v>
      </x:c>
      <x:c r="D830" s="16" t="str">
        <x:v>Katalog takip kaydı</x:v>
      </x:c>
      <x:c r="E830" s="16" t="str">
        <x:v>Ürün kataloğu — ayrıntılı ürün verisine erişilemedi</x:v>
      </x:c>
      <x:c r="F830" s="16" t="str">
        <x:v>Erişilemedi</x:v>
      </x:c>
      <x:c r="G830" s="17" t="str">
        <x:v>Erişilemedi</x:v>
      </x:c>
      <x:c r="H830" s="16" t="str">
        <x:v>Erişilemedi</x:v>
      </x:c>
      <x:c r="I830" s="18" t="str">
        <x:v>Erişilemedi</x:v>
      </x:c>
      <x:c r="J830" s="18" t="str">
        <x:v>Erişilemedi</x:v>
      </x:c>
      <x:c r="K830" s="18" t="str">
        <x:f>IF(AND(ISNUMBER(G830),ISNUMBER(I830)),I830/G830*1000,"Erişilemedi")</x:f>
        <x:v>Erişilemedi</x:v>
      </x:c>
      <x:c r="L830" s="16" t="str">
        <x:v>Erişilemedi</x:v>
      </x:c>
      <x:c r="M830" s="16" t="str">
        <x:v>Katalog/takip kaydı</x:v>
      </x:c>
      <x:c r="N830" s="16" t="str">
        <x:v>Instagram veya mevcut kaynak</x:v>
      </x:c>
      <x:c r="O830" s="16" t="str">
        <x:v>Takip gerekli</x:v>
      </x:c>
      <x:c r="P830" s="19" t="n">
        <x:v>46245</x:v>
      </x:c>
      <x:c r="Q830" s="20" t="str">
        <x:v>Erişilemedi</x:v>
      </x:c>
      <x:c r="R830" s="20" t="str">
        <x:v>Ürün adı, gramaj ve fiyat birlikte çıkarılamadı. Bağlantı manuel inceleme için korundu.</x:v>
      </x:c>
    </x:row>
    <x:row r="831" ht="40" customHeight="1">
      <x:c r="A831" s="16" t="str">
        <x:v>Kafeingo</x:v>
      </x:c>
      <x:c r="B831" s="16" t="str"/>
      <x:c r="C831" s="16" t="str">
        <x:v>Doğrulandı</x:v>
      </x:c>
      <x:c r="D831" s="16" t="str">
        <x:v>Katalog takip kaydı</x:v>
      </x:c>
      <x:c r="E831" s="16" t="str">
        <x:v>Ürün kataloğu — ayrıntılı ürün verisine erişilemedi</x:v>
      </x:c>
      <x:c r="F831" s="16" t="str">
        <x:v>Erişilemedi</x:v>
      </x:c>
      <x:c r="G831" s="17" t="str">
        <x:v>Erişilemedi</x:v>
      </x:c>
      <x:c r="H831" s="16" t="str">
        <x:v>Erişilemedi</x:v>
      </x:c>
      <x:c r="I831" s="18" t="str">
        <x:v>Erişilemedi</x:v>
      </x:c>
      <x:c r="J831" s="18" t="str">
        <x:v>Erişilemedi</x:v>
      </x:c>
      <x:c r="K831" s="18" t="str">
        <x:f>IF(AND(ISNUMBER(G831),ISNUMBER(I831)),I831/G831*1000,"Erişilemedi")</x:f>
        <x:v>Erişilemedi</x:v>
      </x:c>
      <x:c r="L831" s="16" t="str">
        <x:v>Erişilemedi</x:v>
      </x:c>
      <x:c r="M831" s="16" t="str">
        <x:v>Katalog/takip kaydı</x:v>
      </x:c>
      <x:c r="N831" s="16" t="str">
        <x:v>Mağaza/katalog bağlantısı</x:v>
      </x:c>
      <x:c r="O831" s="16" t="str">
        <x:v>Takip gerekli</x:v>
      </x:c>
      <x:c r="P831" s="19" t="n">
        <x:v>46245</x:v>
      </x:c>
      <x:c r="Q831" s="20" t="str">
        <x:v>https://kafeingo.com/</x:v>
      </x:c>
      <x:c r="R831" s="20" t="str">
        <x:v>Ürün adı, gramaj ve fiyat birlikte çıkarılamadı. Bağlantı manuel inceleme için korundu.</x:v>
      </x:c>
    </x:row>
    <x:row r="832" ht="40" customHeight="1">
      <x:c r="A832" s="16" t="str">
        <x:v>Kahve Diyarı</x:v>
      </x:c>
      <x:c r="B832" s="16" t="str"/>
      <x:c r="C832" s="16" t="str">
        <x:v>Kısmi doğrulama</x:v>
      </x:c>
      <x:c r="D832" s="16" t="str">
        <x:v>Katalog takip kaydı</x:v>
      </x:c>
      <x:c r="E832" s="16" t="str">
        <x:v>Ürün kataloğu — ayrıntılı ürün verisine erişilemedi</x:v>
      </x:c>
      <x:c r="F832" s="16" t="str">
        <x:v>Erişilemedi</x:v>
      </x:c>
      <x:c r="G832" s="17" t="str">
        <x:v>Erişilemedi</x:v>
      </x:c>
      <x:c r="H832" s="16" t="str">
        <x:v>Erişilemedi</x:v>
      </x:c>
      <x:c r="I832" s="18" t="str">
        <x:v>Erişilemedi</x:v>
      </x:c>
      <x:c r="J832" s="18" t="str">
        <x:v>Erişilemedi</x:v>
      </x:c>
      <x:c r="K832" s="18" t="str">
        <x:f>IF(AND(ISNUMBER(G832),ISNUMBER(I832)),I832/G832*1000,"Erişilemedi")</x:f>
        <x:v>Erişilemedi</x:v>
      </x:c>
      <x:c r="L832" s="16" t="str">
        <x:v>Erişilemedi</x:v>
      </x:c>
      <x:c r="M832" s="16" t="str">
        <x:v>Katalog/takip kaydı</x:v>
      </x:c>
      <x:c r="N832" s="16" t="str">
        <x:v>Instagram veya mevcut kaynak</x:v>
      </x:c>
      <x:c r="O832" s="16" t="str">
        <x:v>Takip gerekli</x:v>
      </x:c>
      <x:c r="P832" s="19" t="n">
        <x:v>46245</x:v>
      </x:c>
      <x:c r="Q832" s="20" t="str">
        <x:v>Erişilemedi</x:v>
      </x:c>
      <x:c r="R832" s="20" t="str">
        <x:v>Ürün adı, gramaj ve fiyat birlikte çıkarılamadı. Bağlantı manuel inceleme için korundu.</x:v>
      </x:c>
    </x:row>
    <x:row r="833" ht="40" customHeight="1">
      <x:c r="A833" s="16" t="str">
        <x:v>Kahve Dünyası</x:v>
      </x:c>
      <x:c r="B833" s="16" t="str">
        <x:v>İstanbul</x:v>
      </x:c>
      <x:c r="C833" s="16" t="str">
        <x:v>Doğrulandı</x:v>
      </x:c>
      <x:c r="D833" s="16" t="str">
        <x:v>Ürün kaydı</x:v>
      </x:c>
      <x:c r="E833" s="16" t="str">
        <x:v>12&amp;#x27;li Çok Kavrulmuş Türk Kahvesi 100g</x:v>
      </x:c>
      <x:c r="F833" s="16" t="str">
        <x:v>Brezilya</x:v>
      </x:c>
      <x:c r="G833" s="17" t="n">
        <x:v>100</x:v>
      </x:c>
      <x:c r="H833" s="16" t="str">
        <x:v>Erişildi</x:v>
      </x:c>
      <x:c r="I833" s="18" t="n">
        <x:v>1250</x:v>
      </x:c>
      <x:c r="J833" s="18" t="str">
        <x:v>Erişildi</x:v>
      </x:c>
      <x:c r="K833" s="18" t="n">
        <x:f>IF(AND(ISNUMBER(G833),ISNUMBER(I833)),I833/G833*1000,"Erişilemedi")</x:f>
        <x:v>12500</x:v>
      </x:c>
      <x:c r="L833" s="16" t="str">
        <x:v>Belirsiz</x:v>
      </x:c>
      <x:c r="M833" s="16" t="str">
        <x:v>Tek köken/ürün</x:v>
      </x:c>
      <x:c r="N833" s="16" t="str">
        <x:v>Site haritası + HTML ürün kartı</x:v>
      </x:c>
      <x:c r="O833" s="16" t="str">
        <x:v>Düşük</x:v>
      </x:c>
      <x:c r="P833" s="19" t="n">
        <x:v>46245</x:v>
      </x:c>
      <x:c r="Q833" s="20" t="str">
        <x:v>https://www.kahvedunyasi.com/urun/12li-cok-kavrulmus-turk-kahvesi-100g-p-91</x:v>
      </x:c>
      <x:c r="R833" s="20" t="str">
        <x:v>Başlık/açıklama ve görünür fiyat deseninden çıkarıldı; manuel örnek kontrolü önerilir.</x:v>
      </x:c>
    </x:row>
    <x:row r="834" ht="40" customHeight="1">
      <x:c r="A834" s="16" t="str">
        <x:v>Kahve Dünyası</x:v>
      </x:c>
      <x:c r="B834" s="16" t="str">
        <x:v>İstanbul</x:v>
      </x:c>
      <x:c r="C834" s="16" t="str">
        <x:v>Doğrulandı</x:v>
      </x:c>
      <x:c r="D834" s="16" t="str">
        <x:v>Ürün kaydı</x:v>
      </x:c>
      <x:c r="E834" s="16" t="str">
        <x:v>24&amp;#x27;lü Sütlü Gofrik</x:v>
      </x:c>
      <x:c r="F834" s="16" t="str">
        <x:v>Menşe belirtilmemiş</x:v>
      </x:c>
      <x:c r="G834" s="17" t="n">
        <x:v>33</x:v>
      </x:c>
      <x:c r="H834" s="16" t="str">
        <x:v>Erişildi</x:v>
      </x:c>
      <x:c r="I834" s="18" t="n">
        <x:v>1250</x:v>
      </x:c>
      <x:c r="J834" s="18" t="str">
        <x:v>Erişildi</x:v>
      </x:c>
      <x:c r="K834" s="18" t="n">
        <x:f>IF(AND(ISNUMBER(G834),ISNUMBER(I834)),I834/G834*1000,"Erişilemedi")</x:f>
        <x:v>37878.78787878787</x:v>
      </x:c>
      <x:c r="L834" s="16" t="str">
        <x:v>Belirsiz</x:v>
      </x:c>
      <x:c r="M834" s="16" t="str">
        <x:v>Tek köken/ürün</x:v>
      </x:c>
      <x:c r="N834" s="16" t="str">
        <x:v>Site haritası + HTML ürün kartı</x:v>
      </x:c>
      <x:c r="O834" s="16" t="str">
        <x:v>Düşük</x:v>
      </x:c>
      <x:c r="P834" s="19" t="n">
        <x:v>46245</x:v>
      </x:c>
      <x:c r="Q834" s="20" t="str">
        <x:v>https://www.kahvedunyasi.com/urun/24lu-sutlu-gofrik-p-42</x:v>
      </x:c>
      <x:c r="R834" s="20" t="str">
        <x:v>Başlık/açıklama ve görünür fiyat deseninden çıkarıldı; manuel örnek kontrolü önerilir.</x:v>
      </x:c>
    </x:row>
    <x:row r="835" ht="40" customHeight="1">
      <x:c r="A835" s="16" t="str">
        <x:v>Kahve Dünyası</x:v>
      </x:c>
      <x:c r="B835" s="16" t="str">
        <x:v>İstanbul</x:v>
      </x:c>
      <x:c r="C835" s="16" t="str">
        <x:v>Doğrulandı</x:v>
      </x:c>
      <x:c r="D835" s="16" t="str">
        <x:v>Ürün kaydı</x:v>
      </x:c>
      <x:c r="E835" s="16" t="str">
        <x:v>3&amp;#x27;&amp;#x27;ü 1 Arada Klasik Hazır Kahve 8&amp;#x27;li Paket</x:v>
      </x:c>
      <x:c r="F835" s="16" t="str">
        <x:v>Menşe belirtilmemiş</x:v>
      </x:c>
      <x:c r="G835" s="17" t="str">
        <x:v>Erişilemedi</x:v>
      </x:c>
      <x:c r="H835" s="16" t="str">
        <x:v>Erişilemedi</x:v>
      </x:c>
      <x:c r="I835" s="18" t="n">
        <x:v>1250</x:v>
      </x:c>
      <x:c r="J835" s="18" t="str">
        <x:v>Erişildi</x:v>
      </x:c>
      <x:c r="K835" s="18" t="str">
        <x:f>IF(AND(ISNUMBER(G835),ISNUMBER(I835)),I835/G835*1000,"Erişilemedi")</x:f>
        <x:v>Erişilemedi</x:v>
      </x:c>
      <x:c r="L835" s="16" t="str">
        <x:v>Belirsiz</x:v>
      </x:c>
      <x:c r="M835" s="16" t="str">
        <x:v>Kahve ürünü</x:v>
      </x:c>
      <x:c r="N835" s="16" t="str">
        <x:v>Site haritası ürün sayfası</x:v>
      </x:c>
      <x:c r="O835" s="16" t="str">
        <x:v>Düşük</x:v>
      </x:c>
      <x:c r="P835" s="19" t="n">
        <x:v>46245</x:v>
      </x:c>
      <x:c r="Q835" s="20" t="str">
        <x:v>https://www.kahvedunyasi.com/urun/3u-1-arada-klasik-hazir-kahve-8li-paket-p-263</x:v>
      </x:c>
      <x:c r="R835" s="20" t="str">
        <x:v>Ürün kimliği korundu; eksik alanlar erişilemedi olarak işaretlenecek.</x:v>
      </x:c>
    </x:row>
    <x:row r="836" ht="40" customHeight="1">
      <x:c r="A836" s="16" t="str">
        <x:v>Kahve Dünyası</x:v>
      </x:c>
      <x:c r="B836" s="16" t="str">
        <x:v>İstanbul</x:v>
      </x:c>
      <x:c r="C836" s="16" t="str">
        <x:v>Doğrulandı</x:v>
      </x:c>
      <x:c r="D836" s="16" t="str">
        <x:v>Ürün kaydı</x:v>
      </x:c>
      <x:c r="E836" s="16" t="str">
        <x:v>4&amp;#x27;lü Orta Kavrulmuş Türk Kahvesi 100g</x:v>
      </x:c>
      <x:c r="F836" s="16" t="str">
        <x:v>Brezilya</x:v>
      </x:c>
      <x:c r="G836" s="17" t="n">
        <x:v>100</x:v>
      </x:c>
      <x:c r="H836" s="16" t="str">
        <x:v>Erişildi</x:v>
      </x:c>
      <x:c r="I836" s="18" t="n">
        <x:v>1250</x:v>
      </x:c>
      <x:c r="J836" s="18" t="str">
        <x:v>Erişildi</x:v>
      </x:c>
      <x:c r="K836" s="18" t="n">
        <x:f>IF(AND(ISNUMBER(G836),ISNUMBER(I836)),I836/G836*1000,"Erişilemedi")</x:f>
        <x:v>12500</x:v>
      </x:c>
      <x:c r="L836" s="16" t="str">
        <x:v>Belirsiz</x:v>
      </x:c>
      <x:c r="M836" s="16" t="str">
        <x:v>Tek köken/ürün</x:v>
      </x:c>
      <x:c r="N836" s="16" t="str">
        <x:v>Site haritası + HTML ürün kartı</x:v>
      </x:c>
      <x:c r="O836" s="16" t="str">
        <x:v>Düşük</x:v>
      </x:c>
      <x:c r="P836" s="19" t="n">
        <x:v>46245</x:v>
      </x:c>
      <x:c r="Q836" s="20" t="str">
        <x:v>https://www.kahvedunyasi.com/urun/4lu-orta-kavrulmus-turk-kahvesi-100g-p-97</x:v>
      </x:c>
      <x:c r="R836" s="20" t="str">
        <x:v>Başlık/açıklama ve görünür fiyat deseninden çıkarıldı; manuel örnek kontrolü önerilir.</x:v>
      </x:c>
    </x:row>
    <x:row r="837" ht="40" customHeight="1">
      <x:c r="A837" s="16" t="str">
        <x:v>Kahve Dünyası</x:v>
      </x:c>
      <x:c r="B837" s="16" t="str">
        <x:v>İstanbul</x:v>
      </x:c>
      <x:c r="C837" s="16" t="str">
        <x:v>Doğrulandı</x:v>
      </x:c>
      <x:c r="D837" s="16" t="str">
        <x:v>Ürün kaydı</x:v>
      </x:c>
      <x:c r="E837" s="16" t="str">
        <x:v>40&amp;#x27;lı 2&amp;#x27;si 1 Arada Fındık Aromalı Hazır Kahve</x:v>
      </x:c>
      <x:c r="F837" s="16" t="str">
        <x:v>Harman – menşe belirtilmemiş</x:v>
      </x:c>
      <x:c r="G837" s="17" t="n">
        <x:v>12</x:v>
      </x:c>
      <x:c r="H837" s="16" t="str">
        <x:v>Erişildi</x:v>
      </x:c>
      <x:c r="I837" s="18" t="n">
        <x:v>1250</x:v>
      </x:c>
      <x:c r="J837" s="18" t="str">
        <x:v>Erişildi</x:v>
      </x:c>
      <x:c r="K837" s="18" t="n">
        <x:f>IF(AND(ISNUMBER(G837),ISNUMBER(I837)),I837/G837*1000,"Erişilemedi")</x:f>
        <x:v>104166.66666666667</x:v>
      </x:c>
      <x:c r="L837" s="16" t="str">
        <x:v>Belirsiz</x:v>
      </x:c>
      <x:c r="M837" s="16" t="str">
        <x:v>Harman</x:v>
      </x:c>
      <x:c r="N837" s="16" t="str">
        <x:v>Site haritası + HTML ürün kartı</x:v>
      </x:c>
      <x:c r="O837" s="16" t="str">
        <x:v>Düşük</x:v>
      </x:c>
      <x:c r="P837" s="19" t="n">
        <x:v>46245</x:v>
      </x:c>
      <x:c r="Q837" s="20" t="str">
        <x:v>https://www.kahvedunyasi.com/urun/40li-2si-1-arada-findik-aromali-hazir-kahve-p-159</x:v>
      </x:c>
      <x:c r="R837" s="20" t="str">
        <x:v>Başlık/açıklama ve görünür fiyat deseninden çıkarıldı; manuel örnek kontrolü önerilir.</x:v>
      </x:c>
    </x:row>
    <x:row r="838" ht="40" customHeight="1">
      <x:c r="A838" s="16" t="str">
        <x:v>Kahve Dünyası</x:v>
      </x:c>
      <x:c r="B838" s="16" t="str">
        <x:v>İstanbul</x:v>
      </x:c>
      <x:c r="C838" s="16" t="str">
        <x:v>Doğrulandı</x:v>
      </x:c>
      <x:c r="D838" s="16" t="str">
        <x:v>Ürün kaydı</x:v>
      </x:c>
      <x:c r="E838" s="16" t="str">
        <x:v>40&amp;#x27;lı 2&amp;#x27;si 1 Arada Klasik Hazır Kahve</x:v>
      </x:c>
      <x:c r="F838" s="16" t="str">
        <x:v>Harman – menşe belirtilmemiş</x:v>
      </x:c>
      <x:c r="G838" s="17" t="n">
        <x:v>12</x:v>
      </x:c>
      <x:c r="H838" s="16" t="str">
        <x:v>Erişildi</x:v>
      </x:c>
      <x:c r="I838" s="18" t="n">
        <x:v>1250</x:v>
      </x:c>
      <x:c r="J838" s="18" t="str">
        <x:v>Erişildi</x:v>
      </x:c>
      <x:c r="K838" s="18" t="n">
        <x:f>IF(AND(ISNUMBER(G838),ISNUMBER(I838)),I838/G838*1000,"Erişilemedi")</x:f>
        <x:v>104166.66666666667</x:v>
      </x:c>
      <x:c r="L838" s="16" t="str">
        <x:v>Belirsiz</x:v>
      </x:c>
      <x:c r="M838" s="16" t="str">
        <x:v>Harman</x:v>
      </x:c>
      <x:c r="N838" s="16" t="str">
        <x:v>Site haritası + HTML ürün kartı</x:v>
      </x:c>
      <x:c r="O838" s="16" t="str">
        <x:v>Düşük</x:v>
      </x:c>
      <x:c r="P838" s="19" t="n">
        <x:v>46245</x:v>
      </x:c>
      <x:c r="Q838" s="20" t="str">
        <x:v>https://www.kahvedunyasi.com/urun/40li-2si-1-arada-klasik-hazir-kahve-p-160</x:v>
      </x:c>
      <x:c r="R838" s="20" t="str">
        <x:v>Başlık/açıklama ve görünür fiyat deseninden çıkarıldı; manuel örnek kontrolü önerilir.</x:v>
      </x:c>
    </x:row>
    <x:row r="839" ht="40" customHeight="1">
      <x:c r="A839" s="16" t="str">
        <x:v>Kahve Dünyası</x:v>
      </x:c>
      <x:c r="B839" s="16" t="str">
        <x:v>İstanbul</x:v>
      </x:c>
      <x:c r="C839" s="16" t="str">
        <x:v>Doğrulandı</x:v>
      </x:c>
      <x:c r="D839" s="16" t="str">
        <x:v>Ürün kaydı</x:v>
      </x:c>
      <x:c r="E839" s="16" t="str">
        <x:v>40&amp;#x27;lı 3&amp;#x27;ü 1 Arada Damla Sakızı Aromalı Hazır Kahve</x:v>
      </x:c>
      <x:c r="F839" s="16" t="str">
        <x:v>Harman – menşe belirtilmemiş</x:v>
      </x:c>
      <x:c r="G839" s="17" t="n">
        <x:v>18</x:v>
      </x:c>
      <x:c r="H839" s="16" t="str">
        <x:v>Erişildi</x:v>
      </x:c>
      <x:c r="I839" s="18" t="n">
        <x:v>1250</x:v>
      </x:c>
      <x:c r="J839" s="18" t="str">
        <x:v>Erişildi</x:v>
      </x:c>
      <x:c r="K839" s="18" t="n">
        <x:f>IF(AND(ISNUMBER(G839),ISNUMBER(I839)),I839/G839*1000,"Erişilemedi")</x:f>
        <x:v>69444.44444444444</x:v>
      </x:c>
      <x:c r="L839" s="16" t="str">
        <x:v>Belirsiz</x:v>
      </x:c>
      <x:c r="M839" s="16" t="str">
        <x:v>Harman</x:v>
      </x:c>
      <x:c r="N839" s="16" t="str">
        <x:v>Site haritası ürün sayfası</x:v>
      </x:c>
      <x:c r="O839" s="16" t="str">
        <x:v>Orta</x:v>
      </x:c>
      <x:c r="P839" s="19" t="n">
        <x:v>46245</x:v>
      </x:c>
      <x:c r="Q839" s="20" t="str">
        <x:v>https://www.kahvedunyasi.com/urun/40li-3u-1-arada-damla-sakizi-aromali-hazir-kahve-p-62</x:v>
      </x:c>
      <x:c r="R839" s="20" t="str">
        <x:v>Ürün kimliği korundu; eksik alanlar erişilemedi olarak işaretlenecek.</x:v>
      </x:c>
    </x:row>
    <x:row r="840" ht="40" customHeight="1">
      <x:c r="A840" s="16" t="str">
        <x:v>Kahve Dünyası</x:v>
      </x:c>
      <x:c r="B840" s="16" t="str">
        <x:v>İstanbul</x:v>
      </x:c>
      <x:c r="C840" s="16" t="str">
        <x:v>Doğrulandı</x:v>
      </x:c>
      <x:c r="D840" s="16" t="str">
        <x:v>Ürün kaydı</x:v>
      </x:c>
      <x:c r="E840" s="16" t="str">
        <x:v>40&amp;#x27;lı 3&amp;#x27;ü 1 Arada Klasik Hazır Kahve</x:v>
      </x:c>
      <x:c r="F840" s="16" t="str">
        <x:v>Harman – menşe belirtilmemiş</x:v>
      </x:c>
      <x:c r="G840" s="17" t="n">
        <x:v>18</x:v>
      </x:c>
      <x:c r="H840" s="16" t="str">
        <x:v>Erişildi</x:v>
      </x:c>
      <x:c r="I840" s="18" t="n">
        <x:v>1250</x:v>
      </x:c>
      <x:c r="J840" s="18" t="str">
        <x:v>Erişildi</x:v>
      </x:c>
      <x:c r="K840" s="18" t="n">
        <x:f>IF(AND(ISNUMBER(G840),ISNUMBER(I840)),I840/G840*1000,"Erişilemedi")</x:f>
        <x:v>69444.44444444444</x:v>
      </x:c>
      <x:c r="L840" s="16" t="str">
        <x:v>Belirsiz</x:v>
      </x:c>
      <x:c r="M840" s="16" t="str">
        <x:v>Harman</x:v>
      </x:c>
      <x:c r="N840" s="16" t="str">
        <x:v>Site haritası ürün sayfası</x:v>
      </x:c>
      <x:c r="O840" s="16" t="str">
        <x:v>Orta</x:v>
      </x:c>
      <x:c r="P840" s="19" t="n">
        <x:v>46245</x:v>
      </x:c>
      <x:c r="Q840" s="20" t="str">
        <x:v>https://www.kahvedunyasi.com/urun/40li-3u-1-arada-klasik-hazir-kahve-p-162</x:v>
      </x:c>
      <x:c r="R840" s="20" t="str">
        <x:v>Ürün kimliği korundu; eksik alanlar erişilemedi olarak işaretlenecek.</x:v>
      </x:c>
    </x:row>
    <x:row r="841" ht="40" customHeight="1">
      <x:c r="A841" s="16" t="str">
        <x:v>Kahve Dünyası</x:v>
      </x:c>
      <x:c r="B841" s="16" t="str">
        <x:v>İstanbul</x:v>
      </x:c>
      <x:c r="C841" s="16" t="str">
        <x:v>Doğrulandı</x:v>
      </x:c>
      <x:c r="D841" s="16" t="str">
        <x:v>Ürün kaydı</x:v>
      </x:c>
      <x:c r="E841" s="16" t="str">
        <x:v>5&amp;#x27;li Sütlü Gofrik</x:v>
      </x:c>
      <x:c r="F841" s="16" t="str">
        <x:v>Menşe belirtilmemiş</x:v>
      </x:c>
      <x:c r="G841" s="17" t="str">
        <x:v>Erişilemedi</x:v>
      </x:c>
      <x:c r="H841" s="16" t="str">
        <x:v>Erişilemedi</x:v>
      </x:c>
      <x:c r="I841" s="18" t="n">
        <x:v>1250</x:v>
      </x:c>
      <x:c r="J841" s="18" t="str">
        <x:v>Erişildi</x:v>
      </x:c>
      <x:c r="K841" s="18" t="str">
        <x:f>IF(AND(ISNUMBER(G841),ISNUMBER(I841)),I841/G841*1000,"Erişilemedi")</x:f>
        <x:v>Erişilemedi</x:v>
      </x:c>
      <x:c r="L841" s="16" t="str">
        <x:v>Belirsiz</x:v>
      </x:c>
      <x:c r="M841" s="16" t="str">
        <x:v>Kahve ürünü</x:v>
      </x:c>
      <x:c r="N841" s="16" t="str">
        <x:v>Site haritası ürün sayfası</x:v>
      </x:c>
      <x:c r="O841" s="16" t="str">
        <x:v>Düşük</x:v>
      </x:c>
      <x:c r="P841" s="19" t="n">
        <x:v>46245</x:v>
      </x:c>
      <x:c r="Q841" s="20" t="str">
        <x:v>https://www.kahvedunyasi.com/urun/5li-sutlu-gofrik-p-101</x:v>
      </x:c>
      <x:c r="R841" s="20" t="str">
        <x:v>Ürün kimliği korundu; eksik alanlar erişilemedi olarak işaretlenecek.</x:v>
      </x:c>
    </x:row>
    <x:row r="842" ht="40" customHeight="1">
      <x:c r="A842" s="16" t="str">
        <x:v>Kahve Dünyası</x:v>
      </x:c>
      <x:c r="B842" s="16" t="str">
        <x:v>İstanbul</x:v>
      </x:c>
      <x:c r="C842" s="16" t="str">
        <x:v>Doğrulandı</x:v>
      </x:c>
      <x:c r="D842" s="16" t="str">
        <x:v>Ürün kaydı</x:v>
      </x:c>
      <x:c r="E842" s="16" t="str">
        <x:v>80&amp;#x27;li Filtre Kahve Kağıdı</x:v>
      </x:c>
      <x:c r="F842" s="16" t="str">
        <x:v>Menşe belirtilmemiş</x:v>
      </x:c>
      <x:c r="G842" s="17" t="str">
        <x:v>Erişilemedi</x:v>
      </x:c>
      <x:c r="H842" s="16" t="str">
        <x:v>Erişilemedi</x:v>
      </x:c>
      <x:c r="I842" s="18" t="n">
        <x:v>1250</x:v>
      </x:c>
      <x:c r="J842" s="18" t="str">
        <x:v>Erişildi</x:v>
      </x:c>
      <x:c r="K842" s="18" t="str">
        <x:f>IF(AND(ISNUMBER(G842),ISNUMBER(I842)),I842/G842*1000,"Erişilemedi")</x:f>
        <x:v>Erişilemedi</x:v>
      </x:c>
      <x:c r="L842" s="16" t="str">
        <x:v>Belirsiz</x:v>
      </x:c>
      <x:c r="M842" s="16" t="str">
        <x:v>Kahve ürünü</x:v>
      </x:c>
      <x:c r="N842" s="16" t="str">
        <x:v>Site haritası ürün sayfası</x:v>
      </x:c>
      <x:c r="O842" s="16" t="str">
        <x:v>Düşük</x:v>
      </x:c>
      <x:c r="P842" s="19" t="n">
        <x:v>46245</x:v>
      </x:c>
      <x:c r="Q842" s="20" t="str">
        <x:v>https://www.kahvedunyasi.com/urun/80li-filtre-kahve-kagidi-p-3</x:v>
      </x:c>
      <x:c r="R842" s="20" t="str">
        <x:v>Ürün kimliği korundu; eksik alanlar erişilemedi olarak işaretlenecek.</x:v>
      </x:c>
    </x:row>
    <x:row r="843" ht="40" customHeight="1">
      <x:c r="A843" s="16" t="str">
        <x:v>Kahve Dünyası</x:v>
      </x:c>
      <x:c r="B843" s="16" t="str">
        <x:v>İstanbul</x:v>
      </x:c>
      <x:c r="C843" s="16" t="str">
        <x:v>Doğrulandı</x:v>
      </x:c>
      <x:c r="D843" s="16" t="str">
        <x:v>Ürün kaydı</x:v>
      </x:c>
      <x:c r="E843" s="16" t="str">
        <x:v>Antep Fıstıklı Draje, Sütlü Çikolatalı 120g</x:v>
      </x:c>
      <x:c r="F843" s="16" t="str">
        <x:v>Menşe belirtilmemiş</x:v>
      </x:c>
      <x:c r="G843" s="17" t="n">
        <x:v>120</x:v>
      </x:c>
      <x:c r="H843" s="16" t="str">
        <x:v>Erişildi</x:v>
      </x:c>
      <x:c r="I843" s="18" t="n">
        <x:v>1250</x:v>
      </x:c>
      <x:c r="J843" s="18" t="str">
        <x:v>Erişildi</x:v>
      </x:c>
      <x:c r="K843" s="18" t="n">
        <x:f>IF(AND(ISNUMBER(G843),ISNUMBER(I843)),I843/G843*1000,"Erişilemedi")</x:f>
        <x:v>10416.666666666666</x:v>
      </x:c>
      <x:c r="L843" s="16" t="str">
        <x:v>Belirsiz</x:v>
      </x:c>
      <x:c r="M843" s="16" t="str">
        <x:v>Kahve ürünü</x:v>
      </x:c>
      <x:c r="N843" s="16" t="str">
        <x:v>Site haritası ürün sayfası</x:v>
      </x:c>
      <x:c r="O843" s="16" t="str">
        <x:v>Orta</x:v>
      </x:c>
      <x:c r="P843" s="19" t="n">
        <x:v>46245</x:v>
      </x:c>
      <x:c r="Q843" s="20" t="str">
        <x:v>https://www.kahvedunyasi.com/urun/antep-fistikli-draje-sutlu-cikolatali-120g-p-251</x:v>
      </x:c>
      <x:c r="R843" s="20" t="str">
        <x:v>Ürün kimliği korundu; eksik alanlar erişilemedi olarak işaretlenecek.</x:v>
      </x:c>
    </x:row>
    <x:row r="844" ht="40" customHeight="1">
      <x:c r="A844" s="16" t="str">
        <x:v>Kahve Dünyası</x:v>
      </x:c>
      <x:c r="B844" s="16" t="str">
        <x:v>İstanbul</x:v>
      </x:c>
      <x:c r="C844" s="16" t="str">
        <x:v>Doğrulandı</x:v>
      </x:c>
      <x:c r="D844" s="16" t="str">
        <x:v>Ürün kaydı</x:v>
      </x:c>
      <x:c r="E844" s="16" t="str">
        <x:v>Antigua Kavrulmuş Çekirdek 1 Kg.</x:v>
      </x:c>
      <x:c r="F844" s="16" t="str">
        <x:v>Menşe belirtilmemiş</x:v>
      </x:c>
      <x:c r="G844" s="17" t="n">
        <x:v>1000</x:v>
      </x:c>
      <x:c r="H844" s="16" t="str">
        <x:v>Erişildi</x:v>
      </x:c>
      <x:c r="I844" s="18" t="n">
        <x:v>1250</x:v>
      </x:c>
      <x:c r="J844" s="18" t="str">
        <x:v>Erişildi</x:v>
      </x:c>
      <x:c r="K844" s="18" t="n">
        <x:f>IF(AND(ISNUMBER(G844),ISNUMBER(I844)),I844/G844*1000,"Erişilemedi")</x:f>
        <x:v>1250</x:v>
      </x:c>
      <x:c r="L844" s="16" t="str">
        <x:v>Belirsiz</x:v>
      </x:c>
      <x:c r="M844" s="16" t="str">
        <x:v>Kahve ürünü</x:v>
      </x:c>
      <x:c r="N844" s="16" t="str">
        <x:v>Site haritası ürün sayfası</x:v>
      </x:c>
      <x:c r="O844" s="16" t="str">
        <x:v>Orta</x:v>
      </x:c>
      <x:c r="P844" s="19" t="n">
        <x:v>46245</x:v>
      </x:c>
      <x:c r="Q844" s="20" t="str">
        <x:v>https://www.kahvedunyasi.com/urun/antigua-kavrulmus-cekirdek-1-kg-p-212</x:v>
      </x:c>
      <x:c r="R844" s="20" t="str">
        <x:v>Ürün kimliği korundu; eksik alanlar erişilemedi olarak işaretlenecek.</x:v>
      </x:c>
    </x:row>
    <x:row r="845" ht="40" customHeight="1">
      <x:c r="A845" s="16" t="str">
        <x:v>Kahve Dünyası</x:v>
      </x:c>
      <x:c r="B845" s="16" t="str">
        <x:v>İstanbul</x:v>
      </x:c>
      <x:c r="C845" s="16" t="str">
        <x:v>Doğrulandı</x:v>
      </x:c>
      <x:c r="D845" s="16" t="str">
        <x:v>Ürün kaydı</x:v>
      </x:c>
      <x:c r="E845" s="16" t="str">
        <x:v>Badem Ezmesi Bitter 225 gr</x:v>
      </x:c>
      <x:c r="F845" s="16" t="str">
        <x:v>Menşe belirtilmemiş</x:v>
      </x:c>
      <x:c r="G845" s="17" t="n">
        <x:v>225</x:v>
      </x:c>
      <x:c r="H845" s="16" t="str">
        <x:v>Erişildi</x:v>
      </x:c>
      <x:c r="I845" s="18" t="n">
        <x:v>1250</x:v>
      </x:c>
      <x:c r="J845" s="18" t="str">
        <x:v>Erişildi</x:v>
      </x:c>
      <x:c r="K845" s="18" t="n">
        <x:f>IF(AND(ISNUMBER(G845),ISNUMBER(I845)),I845/G845*1000,"Erişilemedi")</x:f>
        <x:v>5555.555555555556</x:v>
      </x:c>
      <x:c r="L845" s="16" t="str">
        <x:v>Belirsiz</x:v>
      </x:c>
      <x:c r="M845" s="16" t="str">
        <x:v>Kahve ürünü</x:v>
      </x:c>
      <x:c r="N845" s="16" t="str">
        <x:v>Site haritası ürün sayfası</x:v>
      </x:c>
      <x:c r="O845" s="16" t="str">
        <x:v>Orta</x:v>
      </x:c>
      <x:c r="P845" s="19" t="n">
        <x:v>46245</x:v>
      </x:c>
      <x:c r="Q845" s="20" t="str">
        <x:v>https://www.kahvedunyasi.com/urun/badem-ezmesi-bitter-225-gr-p-262</x:v>
      </x:c>
      <x:c r="R845" s="20" t="str">
        <x:v>Ürün kimliği korundu; eksik alanlar erişilemedi olarak işaretlenecek.</x:v>
      </x:c>
    </x:row>
    <x:row r="846" ht="40" customHeight="1">
      <x:c r="A846" s="16" t="str">
        <x:v>Kahve Dünyası</x:v>
      </x:c>
      <x:c r="B846" s="16" t="str">
        <x:v>İstanbul</x:v>
      </x:c>
      <x:c r="C846" s="16" t="str">
        <x:v>Doğrulandı</x:v>
      </x:c>
      <x:c r="D846" s="16" t="str">
        <x:v>Ürün kaydı</x:v>
      </x:c>
      <x:c r="E846" s="16" t="str">
        <x:v>Beyaz Para Çikolata 500g</x:v>
      </x:c>
      <x:c r="F846" s="16" t="str">
        <x:v>Menşe belirtilmemiş</x:v>
      </x:c>
      <x:c r="G846" s="17" t="n">
        <x:v>500</x:v>
      </x:c>
      <x:c r="H846" s="16" t="str">
        <x:v>Erişildi</x:v>
      </x:c>
      <x:c r="I846" s="18" t="n">
        <x:v>1250</x:v>
      </x:c>
      <x:c r="J846" s="18" t="str">
        <x:v>Erişildi</x:v>
      </x:c>
      <x:c r="K846" s="18" t="n">
        <x:f>IF(AND(ISNUMBER(G846),ISNUMBER(I846)),I846/G846*1000,"Erişilemedi")</x:f>
        <x:v>2500</x:v>
      </x:c>
      <x:c r="L846" s="16" t="str">
        <x:v>Belirsiz</x:v>
      </x:c>
      <x:c r="M846" s="16" t="str">
        <x:v>Kahve ürünü</x:v>
      </x:c>
      <x:c r="N846" s="16" t="str">
        <x:v>Site haritası ürün sayfası</x:v>
      </x:c>
      <x:c r="O846" s="16" t="str">
        <x:v>Orta</x:v>
      </x:c>
      <x:c r="P846" s="19" t="n">
        <x:v>46245</x:v>
      </x:c>
      <x:c r="Q846" s="20" t="str">
        <x:v>https://www.kahvedunyasi.com/urun/beyaz-para-cikolata-500g-p-319</x:v>
      </x:c>
      <x:c r="R846" s="20" t="str">
        <x:v>Ürün kimliği korundu; eksik alanlar erişilemedi olarak işaretlenecek.</x:v>
      </x:c>
    </x:row>
    <x:row r="847" ht="40" customHeight="1">
      <x:c r="A847" s="16" t="str">
        <x:v>Kahve Dünyası</x:v>
      </x:c>
      <x:c r="B847" s="16" t="str">
        <x:v>İstanbul</x:v>
      </x:c>
      <x:c r="C847" s="16" t="str">
        <x:v>Doğrulandı</x:v>
      </x:c>
      <x:c r="D847" s="16" t="str">
        <x:v>Ürün kaydı</x:v>
      </x:c>
      <x:c r="E847" s="16" t="str">
        <x:v>Bonte Bitter Çikolatalı 400g Kova</x:v>
      </x:c>
      <x:c r="F847" s="16" t="str">
        <x:v>Menşe belirtilmemiş</x:v>
      </x:c>
      <x:c r="G847" s="17" t="n">
        <x:v>400</x:v>
      </x:c>
      <x:c r="H847" s="16" t="str">
        <x:v>Erişildi</x:v>
      </x:c>
      <x:c r="I847" s="18" t="n">
        <x:v>1250</x:v>
      </x:c>
      <x:c r="J847" s="18" t="str">
        <x:v>Erişildi</x:v>
      </x:c>
      <x:c r="K847" s="18" t="n">
        <x:f>IF(AND(ISNUMBER(G847),ISNUMBER(I847)),I847/G847*1000,"Erişilemedi")</x:f>
        <x:v>3125</x:v>
      </x:c>
      <x:c r="L847" s="16" t="str">
        <x:v>Belirsiz</x:v>
      </x:c>
      <x:c r="M847" s="16" t="str">
        <x:v>Tek köken/ürün</x:v>
      </x:c>
      <x:c r="N847" s="16" t="str">
        <x:v>Site haritası + HTML ürün kartı</x:v>
      </x:c>
      <x:c r="O847" s="16" t="str">
        <x:v>Düşük</x:v>
      </x:c>
      <x:c r="P847" s="19" t="n">
        <x:v>46245</x:v>
      </x:c>
      <x:c r="Q847" s="20" t="str">
        <x:v>https://www.kahvedunyasi.com/urun/bonte-bitter-cikolatali-400g-kova-p-71</x:v>
      </x:c>
      <x:c r="R847" s="20" t="str">
        <x:v>Başlık/açıklama ve görünür fiyat deseninden çıkarıldı; manuel örnek kontrolü önerilir.</x:v>
      </x:c>
    </x:row>
    <x:row r="848" ht="40" customHeight="1">
      <x:c r="A848" s="16" t="str">
        <x:v>Kahve Dünyası</x:v>
      </x:c>
      <x:c r="B848" s="16" t="str">
        <x:v>İstanbul</x:v>
      </x:c>
      <x:c r="C848" s="16" t="str">
        <x:v>Doğrulandı</x:v>
      </x:c>
      <x:c r="D848" s="16" t="str">
        <x:v>Ürün kaydı</x:v>
      </x:c>
      <x:c r="E848" s="16" t="str">
        <x:v>Çok Kavrulmuş Türk Kahvesi 250g</x:v>
      </x:c>
      <x:c r="F848" s="16" t="str">
        <x:v>Brezilya</x:v>
      </x:c>
      <x:c r="G848" s="17" t="n">
        <x:v>250</x:v>
      </x:c>
      <x:c r="H848" s="16" t="str">
        <x:v>Erişildi</x:v>
      </x:c>
      <x:c r="I848" s="18" t="n">
        <x:v>1250</x:v>
      </x:c>
      <x:c r="J848" s="18" t="str">
        <x:v>Erişildi</x:v>
      </x:c>
      <x:c r="K848" s="18" t="n">
        <x:f>IF(AND(ISNUMBER(G848),ISNUMBER(I848)),I848/G848*1000,"Erişilemedi")</x:f>
        <x:v>5000</x:v>
      </x:c>
      <x:c r="L848" s="16" t="str">
        <x:v>Belirsiz</x:v>
      </x:c>
      <x:c r="M848" s="16" t="str">
        <x:v>Kahve ürünü</x:v>
      </x:c>
      <x:c r="N848" s="16" t="str">
        <x:v>Site haritası ürün sayfası</x:v>
      </x:c>
      <x:c r="O848" s="16" t="str">
        <x:v>Orta</x:v>
      </x:c>
      <x:c r="P848" s="19" t="n">
        <x:v>46245</x:v>
      </x:c>
      <x:c r="Q848" s="20" t="str">
        <x:v>https://www.kahvedunyasi.com/urun/cok-kavrulmus-turk-kahvesi-250g-p-46</x:v>
      </x:c>
      <x:c r="R848" s="20" t="str">
        <x:v>Ürün kimliği korundu; eksik alanlar erişilemedi olarak işaretlenecek.</x:v>
      </x:c>
    </x:row>
    <x:row r="849" ht="40" customHeight="1">
      <x:c r="A849" s="16" t="str">
        <x:v>Kahve Dünyası</x:v>
      </x:c>
      <x:c r="B849" s="16" t="str">
        <x:v>İstanbul</x:v>
      </x:c>
      <x:c r="C849" s="16" t="str">
        <x:v>Doğrulandı</x:v>
      </x:c>
      <x:c r="D849" s="16" t="str">
        <x:v>Ürün kaydı</x:v>
      </x:c>
      <x:c r="E849" s="16" t="str">
        <x:v>Draje Badem Sütlü 120 gr</x:v>
      </x:c>
      <x:c r="F849" s="16" t="str">
        <x:v>Menşe belirtilmemiş</x:v>
      </x:c>
      <x:c r="G849" s="17" t="n">
        <x:v>120</x:v>
      </x:c>
      <x:c r="H849" s="16" t="str">
        <x:v>Erişildi</x:v>
      </x:c>
      <x:c r="I849" s="18" t="n">
        <x:v>1250</x:v>
      </x:c>
      <x:c r="J849" s="18" t="str">
        <x:v>Erişildi</x:v>
      </x:c>
      <x:c r="K849" s="18" t="n">
        <x:f>IF(AND(ISNUMBER(G849),ISNUMBER(I849)),I849/G849*1000,"Erişilemedi")</x:f>
        <x:v>10416.666666666666</x:v>
      </x:c>
      <x:c r="L849" s="16" t="str">
        <x:v>Belirsiz</x:v>
      </x:c>
      <x:c r="M849" s="16" t="str">
        <x:v>Kahve ürünü</x:v>
      </x:c>
      <x:c r="N849" s="16" t="str">
        <x:v>Site haritası ürün sayfası</x:v>
      </x:c>
      <x:c r="O849" s="16" t="str">
        <x:v>Orta</x:v>
      </x:c>
      <x:c r="P849" s="19" t="n">
        <x:v>46245</x:v>
      </x:c>
      <x:c r="Q849" s="20" t="str">
        <x:v>https://www.kahvedunyasi.com/urun/draje-badem-sutlu-120-gr-p-245</x:v>
      </x:c>
      <x:c r="R849" s="20" t="str">
        <x:v>Ürün kimliği korundu; eksik alanlar erişilemedi olarak işaretlenecek.</x:v>
      </x:c>
    </x:row>
    <x:row r="850" ht="40" customHeight="1">
      <x:c r="A850" s="16" t="str">
        <x:v>Kahve Dünyası</x:v>
      </x:c>
      <x:c r="B850" s="16" t="str">
        <x:v>İstanbul</x:v>
      </x:c>
      <x:c r="C850" s="16" t="str">
        <x:v>Doğrulandı</x:v>
      </x:c>
      <x:c r="D850" s="16" t="str">
        <x:v>Ürün kaydı</x:v>
      </x:c>
      <x:c r="E850" s="16" t="str">
        <x:v>Draje Bitter Portakal 120 gr</x:v>
      </x:c>
      <x:c r="F850" s="16" t="str">
        <x:v>Menşe belirtilmemiş</x:v>
      </x:c>
      <x:c r="G850" s="17" t="n">
        <x:v>120</x:v>
      </x:c>
      <x:c r="H850" s="16" t="str">
        <x:v>Erişildi</x:v>
      </x:c>
      <x:c r="I850" s="18" t="n">
        <x:v>1250</x:v>
      </x:c>
      <x:c r="J850" s="18" t="str">
        <x:v>Erişildi</x:v>
      </x:c>
      <x:c r="K850" s="18" t="n">
        <x:f>IF(AND(ISNUMBER(G850),ISNUMBER(I850)),I850/G850*1000,"Erişilemedi")</x:f>
        <x:v>10416.666666666666</x:v>
      </x:c>
      <x:c r="L850" s="16" t="str">
        <x:v>Belirsiz</x:v>
      </x:c>
      <x:c r="M850" s="16" t="str">
        <x:v>Kahve ürünü</x:v>
      </x:c>
      <x:c r="N850" s="16" t="str">
        <x:v>Site haritası ürün sayfası</x:v>
      </x:c>
      <x:c r="O850" s="16" t="str">
        <x:v>Orta</x:v>
      </x:c>
      <x:c r="P850" s="19" t="n">
        <x:v>46245</x:v>
      </x:c>
      <x:c r="Q850" s="20" t="str">
        <x:v>https://www.kahvedunyasi.com/urun/draje-bitter-portakal-120-gr-p-279</x:v>
      </x:c>
      <x:c r="R850" s="20" t="str">
        <x:v>Ürün kimliği korundu; eksik alanlar erişilemedi olarak işaretlenecek.</x:v>
      </x:c>
    </x:row>
    <x:row r="851" ht="40" customHeight="1">
      <x:c r="A851" s="16" t="str">
        <x:v>Kahve Dünyası</x:v>
      </x:c>
      <x:c r="B851" s="16" t="str">
        <x:v>İstanbul</x:v>
      </x:c>
      <x:c r="C851" s="16" t="str">
        <x:v>Doğrulandı</x:v>
      </x:c>
      <x:c r="D851" s="16" t="str">
        <x:v>Ürün kaydı</x:v>
      </x:c>
      <x:c r="E851" s="16" t="str">
        <x:v>Draje Mix Kahveli 120 gr</x:v>
      </x:c>
      <x:c r="F851" s="16" t="str">
        <x:v>Menşe belirtilmemiş</x:v>
      </x:c>
      <x:c r="G851" s="17" t="n">
        <x:v>120</x:v>
      </x:c>
      <x:c r="H851" s="16" t="str">
        <x:v>Erişildi</x:v>
      </x:c>
      <x:c r="I851" s="18" t="n">
        <x:v>1250</x:v>
      </x:c>
      <x:c r="J851" s="18" t="str">
        <x:v>Erişildi</x:v>
      </x:c>
      <x:c r="K851" s="18" t="n">
        <x:f>IF(AND(ISNUMBER(G851),ISNUMBER(I851)),I851/G851*1000,"Erişilemedi")</x:f>
        <x:v>10416.666666666666</x:v>
      </x:c>
      <x:c r="L851" s="16" t="str">
        <x:v>Belirsiz</x:v>
      </x:c>
      <x:c r="M851" s="16" t="str">
        <x:v>Kahve ürünü</x:v>
      </x:c>
      <x:c r="N851" s="16" t="str">
        <x:v>Site haritası ürün sayfası</x:v>
      </x:c>
      <x:c r="O851" s="16" t="str">
        <x:v>Orta</x:v>
      </x:c>
      <x:c r="P851" s="19" t="n">
        <x:v>46245</x:v>
      </x:c>
      <x:c r="Q851" s="20" t="str">
        <x:v>https://www.kahvedunyasi.com/urun/draje-mix-kahveli-120-gr-p-2422</x:v>
      </x:c>
      <x:c r="R851" s="20" t="str">
        <x:v>Ürün kimliği korundu; eksik alanlar erişilemedi olarak işaretlenecek.</x:v>
      </x:c>
    </x:row>
    <x:row r="852" ht="40" customHeight="1">
      <x:c r="A852" s="16" t="str">
        <x:v>Kahve Dünyası</x:v>
      </x:c>
      <x:c r="B852" s="16" t="str">
        <x:v>İstanbul</x:v>
      </x:c>
      <x:c r="C852" s="16" t="str">
        <x:v>Doğrulandı</x:v>
      </x:c>
      <x:c r="D852" s="16" t="str">
        <x:v>Ürün kaydı</x:v>
      </x:c>
      <x:c r="E852" s="16" t="str">
        <x:v>Espresso Çekirdek 1 Kg.</x:v>
      </x:c>
      <x:c r="F852" s="16" t="str">
        <x:v>Menşe belirtilmemiş</x:v>
      </x:c>
      <x:c r="G852" s="17" t="n">
        <x:v>1000</x:v>
      </x:c>
      <x:c r="H852" s="16" t="str">
        <x:v>Erişildi</x:v>
      </x:c>
      <x:c r="I852" s="18" t="n">
        <x:v>1250</x:v>
      </x:c>
      <x:c r="J852" s="18" t="str">
        <x:v>Erişildi</x:v>
      </x:c>
      <x:c r="K852" s="18" t="n">
        <x:f>IF(AND(ISNUMBER(G852),ISNUMBER(I852)),I852/G852*1000,"Erişilemedi")</x:f>
        <x:v>1250</x:v>
      </x:c>
      <x:c r="L852" s="16" t="str">
        <x:v>Belirsiz</x:v>
      </x:c>
      <x:c r="M852" s="16" t="str">
        <x:v>Kahve ürünü</x:v>
      </x:c>
      <x:c r="N852" s="16" t="str">
        <x:v>Site haritası ürün sayfası</x:v>
      </x:c>
      <x:c r="O852" s="16" t="str">
        <x:v>Orta</x:v>
      </x:c>
      <x:c r="P852" s="19" t="n">
        <x:v>46245</x:v>
      </x:c>
      <x:c r="Q852" s="20" t="str">
        <x:v>https://www.kahvedunyasi.com/urun/espresso-cekirdek-1-kg-p-123</x:v>
      </x:c>
      <x:c r="R852" s="20" t="str">
        <x:v>Ürün kimliği korundu; eksik alanlar erişilemedi olarak işaretlenecek.</x:v>
      </x:c>
    </x:row>
    <x:row r="853" ht="40" customHeight="1">
      <x:c r="A853" s="16" t="str">
        <x:v>Kahve Dünyası</x:v>
      </x:c>
      <x:c r="B853" s="16" t="str">
        <x:v>İstanbul</x:v>
      </x:c>
      <x:c r="C853" s="16" t="str">
        <x:v>Doğrulandı</x:v>
      </x:c>
      <x:c r="D853" s="16" t="str">
        <x:v>Ürün kaydı</x:v>
      </x:c>
      <x:c r="E853" s="16" t="str">
        <x:v>Espresso Kilitli 250g</x:v>
      </x:c>
      <x:c r="F853" s="16" t="str">
        <x:v>Menşe belirtilmemiş</x:v>
      </x:c>
      <x:c r="G853" s="17" t="n">
        <x:v>250</x:v>
      </x:c>
      <x:c r="H853" s="16" t="str">
        <x:v>Erişildi</x:v>
      </x:c>
      <x:c r="I853" s="18" t="n">
        <x:v>1250</x:v>
      </x:c>
      <x:c r="J853" s="18" t="str">
        <x:v>Erişildi</x:v>
      </x:c>
      <x:c r="K853" s="18" t="n">
        <x:f>IF(AND(ISNUMBER(G853),ISNUMBER(I853)),I853/G853*1000,"Erişilemedi")</x:f>
        <x:v>5000</x:v>
      </x:c>
      <x:c r="L853" s="16" t="str">
        <x:v>Belirsiz</x:v>
      </x:c>
      <x:c r="M853" s="16" t="str">
        <x:v>Tek köken/ürün</x:v>
      </x:c>
      <x:c r="N853" s="16" t="str">
        <x:v>Site haritası + HTML ürün kartı</x:v>
      </x:c>
      <x:c r="O853" s="16" t="str">
        <x:v>Düşük</x:v>
      </x:c>
      <x:c r="P853" s="19" t="n">
        <x:v>46245</x:v>
      </x:c>
      <x:c r="Q853" s="20" t="str">
        <x:v>https://www.kahvedunyasi.com/urun/espresso-kilitli-250g-p-2421</x:v>
      </x:c>
      <x:c r="R853" s="20" t="str">
        <x:v>Başlık/açıklama ve görünür fiyat deseninden çıkarıldı; manuel örnek kontrolü önerilir.</x:v>
      </x:c>
    </x:row>
    <x:row r="854" ht="40" customHeight="1">
      <x:c r="A854" s="16" t="str">
        <x:v>Kahve Dünyası</x:v>
      </x:c>
      <x:c r="B854" s="16" t="str">
        <x:v>İstanbul</x:v>
      </x:c>
      <x:c r="C854" s="16" t="str">
        <x:v>Doğrulandı</x:v>
      </x:c>
      <x:c r="D854" s="16" t="str">
        <x:v>Ürün kaydı</x:v>
      </x:c>
      <x:c r="E854" s="16" t="str">
        <x:v>Etiyopya Kapsül Kahve 10&amp;#x27;&amp;#x27;lu Kutu</x:v>
      </x:c>
      <x:c r="F854" s="16" t="str">
        <x:v>Etiyopya</x:v>
      </x:c>
      <x:c r="G854" s="17" t="str">
        <x:v>Erişilemedi</x:v>
      </x:c>
      <x:c r="H854" s="16" t="str">
        <x:v>Erişilemedi</x:v>
      </x:c>
      <x:c r="I854" s="18" t="n">
        <x:v>1250</x:v>
      </x:c>
      <x:c r="J854" s="18" t="str">
        <x:v>Erişildi</x:v>
      </x:c>
      <x:c r="K854" s="18" t="str">
        <x:f>IF(AND(ISNUMBER(G854),ISNUMBER(I854)),I854/G854*1000,"Erişilemedi")</x:f>
        <x:v>Erişilemedi</x:v>
      </x:c>
      <x:c r="L854" s="16" t="str">
        <x:v>Belirsiz</x:v>
      </x:c>
      <x:c r="M854" s="16" t="str">
        <x:v>Kahve ürünü</x:v>
      </x:c>
      <x:c r="N854" s="16" t="str">
        <x:v>Site haritası ürün sayfası</x:v>
      </x:c>
      <x:c r="O854" s="16" t="str">
        <x:v>Düşük</x:v>
      </x:c>
      <x:c r="P854" s="19" t="n">
        <x:v>46245</x:v>
      </x:c>
      <x:c r="Q854" s="20" t="str">
        <x:v>https://www.kahvedunyasi.com/urun/etiyopya-kapsul-kahve-10lu-kutu-p-295</x:v>
      </x:c>
      <x:c r="R854" s="20" t="str">
        <x:v>Ürün kimliği korundu; eksik alanlar erişilemedi olarak işaretlenecek.</x:v>
      </x:c>
    </x:row>
    <x:row r="855" ht="40" customHeight="1">
      <x:c r="A855" s="16" t="str">
        <x:v>Kahve Dünyası</x:v>
      </x:c>
      <x:c r="B855" s="16" t="str">
        <x:v>İstanbul</x:v>
      </x:c>
      <x:c r="C855" s="16" t="str">
        <x:v>Doğrulandı</x:v>
      </x:c>
      <x:c r="D855" s="16" t="str">
        <x:v>Ürün kaydı</x:v>
      </x:c>
      <x:c r="E855" s="16" t="str">
        <x:v>Fındık Aromalı Kapsül Kahve 10&amp;#x27;&amp;#x27;lu Kutu</x:v>
      </x:c>
      <x:c r="F855" s="16" t="str">
        <x:v>Menşe belirtilmemiş</x:v>
      </x:c>
      <x:c r="G855" s="17" t="str">
        <x:v>Erişilemedi</x:v>
      </x:c>
      <x:c r="H855" s="16" t="str">
        <x:v>Erişilemedi</x:v>
      </x:c>
      <x:c r="I855" s="18" t="n">
        <x:v>1250</x:v>
      </x:c>
      <x:c r="J855" s="18" t="str">
        <x:v>Erişildi</x:v>
      </x:c>
      <x:c r="K855" s="18" t="str">
        <x:f>IF(AND(ISNUMBER(G855),ISNUMBER(I855)),I855/G855*1000,"Erişilemedi")</x:f>
        <x:v>Erişilemedi</x:v>
      </x:c>
      <x:c r="L855" s="16" t="str">
        <x:v>Belirsiz</x:v>
      </x:c>
      <x:c r="M855" s="16" t="str">
        <x:v>Kahve ürünü</x:v>
      </x:c>
      <x:c r="N855" s="16" t="str">
        <x:v>Site haritası ürün sayfası</x:v>
      </x:c>
      <x:c r="O855" s="16" t="str">
        <x:v>Düşük</x:v>
      </x:c>
      <x:c r="P855" s="19" t="n">
        <x:v>46245</x:v>
      </x:c>
      <x:c r="Q855" s="20" t="str">
        <x:v>https://www.kahvedunyasi.com/urun/findik-aromali-kapsul-kahve-10lu-kutu-p-261</x:v>
      </x:c>
      <x:c r="R855" s="20" t="str">
        <x:v>Ürün kimliği korundu; eksik alanlar erişilemedi olarak işaretlenecek.</x:v>
      </x:c>
    </x:row>
    <x:row r="856" ht="40" customHeight="1">
      <x:c r="A856" s="16" t="str">
        <x:v>Kahve Dünyası</x:v>
      </x:c>
      <x:c r="B856" s="16" t="str">
        <x:v>İstanbul</x:v>
      </x:c>
      <x:c r="C856" s="16" t="str">
        <x:v>Doğrulandı</x:v>
      </x:c>
      <x:c r="D856" s="16" t="str">
        <x:v>Ürün kaydı</x:v>
      </x:c>
      <x:c r="E856" s="16" t="str">
        <x:v>Filtre Kahve Aromalı 3&amp;#x27;lü Set Kilitli 250 gr</x:v>
      </x:c>
      <x:c r="F856" s="16" t="str">
        <x:v>Menşe belirtilmemiş</x:v>
      </x:c>
      <x:c r="G856" s="17" t="n">
        <x:v>250</x:v>
      </x:c>
      <x:c r="H856" s="16" t="str">
        <x:v>Erişildi</x:v>
      </x:c>
      <x:c r="I856" s="18" t="n">
        <x:v>1250</x:v>
      </x:c>
      <x:c r="J856" s="18" t="str">
        <x:v>Erişildi</x:v>
      </x:c>
      <x:c r="K856" s="18" t="n">
        <x:f>IF(AND(ISNUMBER(G856),ISNUMBER(I856)),I856/G856*1000,"Erişilemedi")</x:f>
        <x:v>5000</x:v>
      </x:c>
      <x:c r="L856" s="16" t="str">
        <x:v>Belirsiz</x:v>
      </x:c>
      <x:c r="M856" s="16" t="str">
        <x:v>Kahve ürünü</x:v>
      </x:c>
      <x:c r="N856" s="16" t="str">
        <x:v>Site haritası ürün sayfası</x:v>
      </x:c>
      <x:c r="O856" s="16" t="str">
        <x:v>Orta</x:v>
      </x:c>
      <x:c r="P856" s="19" t="n">
        <x:v>46245</x:v>
      </x:c>
      <x:c r="Q856" s="20" t="str">
        <x:v>https://www.kahvedunyasi.com/urun/filtre-kahve-aromali-3lu-set-kilitli-250-gr-p-2374</x:v>
      </x:c>
      <x:c r="R856" s="20" t="str">
        <x:v>Ürün kimliği korundu; eksik alanlar erişilemedi olarak işaretlenecek.</x:v>
      </x:c>
    </x:row>
    <x:row r="857" ht="40" customHeight="1">
      <x:c r="A857" s="16" t="str">
        <x:v>Kahve Dünyası</x:v>
      </x:c>
      <x:c r="B857" s="16" t="str">
        <x:v>İstanbul</x:v>
      </x:c>
      <x:c r="C857" s="16" t="str">
        <x:v>Doğrulandı</x:v>
      </x:c>
      <x:c r="D857" s="16" t="str">
        <x:v>Ürün kaydı</x:v>
      </x:c>
      <x:c r="E857" s="16" t="str">
        <x:v>Filtre Kahve Çekirdek 1 Kg.</x:v>
      </x:c>
      <x:c r="F857" s="16" t="str">
        <x:v>Harman – menşe belirtilmemiş</x:v>
      </x:c>
      <x:c r="G857" s="17" t="n">
        <x:v>1000</x:v>
      </x:c>
      <x:c r="H857" s="16" t="str">
        <x:v>Erişildi</x:v>
      </x:c>
      <x:c r="I857" s="18" t="n">
        <x:v>1250</x:v>
      </x:c>
      <x:c r="J857" s="18" t="str">
        <x:v>Erişildi</x:v>
      </x:c>
      <x:c r="K857" s="18" t="n">
        <x:f>IF(AND(ISNUMBER(G857),ISNUMBER(I857)),I857/G857*1000,"Erişilemedi")</x:f>
        <x:v>1250</x:v>
      </x:c>
      <x:c r="L857" s="16" t="str">
        <x:v>Belirsiz</x:v>
      </x:c>
      <x:c r="M857" s="16" t="str">
        <x:v>Harman</x:v>
      </x:c>
      <x:c r="N857" s="16" t="str">
        <x:v>Site haritası + HTML ürün kartı</x:v>
      </x:c>
      <x:c r="O857" s="16" t="str">
        <x:v>Düşük</x:v>
      </x:c>
      <x:c r="P857" s="19" t="n">
        <x:v>46245</x:v>
      </x:c>
      <x:c r="Q857" s="20" t="str">
        <x:v>https://www.kahvedunyasi.com/urun/filtre-kahve-cekirdek-1-kg-p-165</x:v>
      </x:c>
      <x:c r="R857" s="20" t="str">
        <x:v>Başlık/açıklama ve görünür fiyat deseninden çıkarıldı; manuel örnek kontrolü önerilir.</x:v>
      </x:c>
    </x:row>
    <x:row r="858" ht="40" customHeight="1">
      <x:c r="A858" s="16" t="str">
        <x:v>Kahve Dünyası</x:v>
      </x:c>
      <x:c r="B858" s="16" t="str">
        <x:v>İstanbul</x:v>
      </x:c>
      <x:c r="C858" s="16" t="str">
        <x:v>Doğrulandı</x:v>
      </x:c>
      <x:c r="D858" s="16" t="str">
        <x:v>Ürün kaydı</x:v>
      </x:c>
      <x:c r="E858" s="16" t="str">
        <x:v>Guatemala Yöresel Filtre Kahve 200g-Kağıt Filtre</x:v>
      </x:c>
      <x:c r="F858" s="16" t="str">
        <x:v>Guatemala</x:v>
      </x:c>
      <x:c r="G858" s="17" t="n">
        <x:v>200</x:v>
      </x:c>
      <x:c r="H858" s="16" t="str">
        <x:v>Erişildi</x:v>
      </x:c>
      <x:c r="I858" s="18" t="n">
        <x:v>1250</x:v>
      </x:c>
      <x:c r="J858" s="18" t="str">
        <x:v>Erişildi</x:v>
      </x:c>
      <x:c r="K858" s="18" t="n">
        <x:f>IF(AND(ISNUMBER(G858),ISNUMBER(I858)),I858/G858*1000,"Erişilemedi")</x:f>
        <x:v>6250</x:v>
      </x:c>
      <x:c r="L858" s="16" t="str">
        <x:v>Belirsiz</x:v>
      </x:c>
      <x:c r="M858" s="16" t="str">
        <x:v>Tek köken/ürün</x:v>
      </x:c>
      <x:c r="N858" s="16" t="str">
        <x:v>Site haritası + HTML ürün kartı</x:v>
      </x:c>
      <x:c r="O858" s="16" t="str">
        <x:v>Düşük</x:v>
      </x:c>
      <x:c r="P858" s="19" t="n">
        <x:v>46245</x:v>
      </x:c>
      <x:c r="Q858" s="20" t="str">
        <x:v>https://www.kahvedunyasi.com/urun/guatemala-yoresel-filtre-kahve-200gkagit-filtre-p-217</x:v>
      </x:c>
      <x:c r="R858" s="20" t="str">
        <x:v>Başlık/açıklama ve görünür fiyat deseninden çıkarıldı; manuel örnek kontrolü önerilir.</x:v>
      </x:c>
    </x:row>
    <x:row r="859" ht="40" customHeight="1">
      <x:c r="A859" s="16" t="str">
        <x:v>Kahve Dünyası</x:v>
      </x:c>
      <x:c r="B859" s="16" t="str">
        <x:v>İstanbul</x:v>
      </x:c>
      <x:c r="C859" s="16" t="str">
        <x:v>Doğrulandı</x:v>
      </x:c>
      <x:c r="D859" s="16" t="str">
        <x:v>Ürün kaydı</x:v>
      </x:c>
      <x:c r="E859" s="16" t="str">
        <x:v>Karamel Aromalı Filtre Kahve Çekirdek 1 Kg.</x:v>
      </x:c>
      <x:c r="F859" s="16" t="str">
        <x:v>Menşe belirtilmemiş</x:v>
      </x:c>
      <x:c r="G859" s="17" t="n">
        <x:v>1000</x:v>
      </x:c>
      <x:c r="H859" s="16" t="str">
        <x:v>Erişildi</x:v>
      </x:c>
      <x:c r="I859" s="18" t="n">
        <x:v>1250</x:v>
      </x:c>
      <x:c r="J859" s="18" t="str">
        <x:v>Erişildi</x:v>
      </x:c>
      <x:c r="K859" s="18" t="n">
        <x:f>IF(AND(ISNUMBER(G859),ISNUMBER(I859)),I859/G859*1000,"Erişilemedi")</x:f>
        <x:v>1250</x:v>
      </x:c>
      <x:c r="L859" s="16" t="str">
        <x:v>Belirsiz</x:v>
      </x:c>
      <x:c r="M859" s="16" t="str">
        <x:v>Kahve ürünü</x:v>
      </x:c>
      <x:c r="N859" s="16" t="str">
        <x:v>Site haritası ürün sayfası</x:v>
      </x:c>
      <x:c r="O859" s="16" t="str">
        <x:v>Orta</x:v>
      </x:c>
      <x:c r="P859" s="19" t="n">
        <x:v>46245</x:v>
      </x:c>
      <x:c r="Q859" s="20" t="str">
        <x:v>https://www.kahvedunyasi.com/urun/karamel-aromali-filtre-kahve-cekirdek-1-kg-p-124</x:v>
      </x:c>
      <x:c r="R859" s="20" t="str">
        <x:v>Ürün kimliği korundu; eksik alanlar erişilemedi olarak işaretlenecek.</x:v>
      </x:c>
    </x:row>
    <x:row r="860" ht="40" customHeight="1">
      <x:c r="A860" s="16" t="str">
        <x:v>Kahve Dünyası</x:v>
      </x:c>
      <x:c r="B860" s="16" t="str">
        <x:v>İstanbul</x:v>
      </x:c>
      <x:c r="C860" s="16" t="str">
        <x:v>Doğrulandı</x:v>
      </x:c>
      <x:c r="D860" s="16" t="str">
        <x:v>Ürün kaydı</x:v>
      </x:c>
      <x:c r="E860" s="16" t="str">
        <x:v>Karamel Aromalı Filtre Kahve Kilitli 250g</x:v>
      </x:c>
      <x:c r="F860" s="16" t="str">
        <x:v>Menşe belirtilmemiş</x:v>
      </x:c>
      <x:c r="G860" s="17" t="n">
        <x:v>250</x:v>
      </x:c>
      <x:c r="H860" s="16" t="str">
        <x:v>Erişildi</x:v>
      </x:c>
      <x:c r="I860" s="18" t="n">
        <x:v>1250</x:v>
      </x:c>
      <x:c r="J860" s="18" t="str">
        <x:v>Erişildi</x:v>
      </x:c>
      <x:c r="K860" s="18" t="n">
        <x:f>IF(AND(ISNUMBER(G860),ISNUMBER(I860)),I860/G860*1000,"Erişilemedi")</x:f>
        <x:v>5000</x:v>
      </x:c>
      <x:c r="L860" s="16" t="str">
        <x:v>Belirsiz</x:v>
      </x:c>
      <x:c r="M860" s="16" t="str">
        <x:v>Kahve ürünü</x:v>
      </x:c>
      <x:c r="N860" s="16" t="str">
        <x:v>Site haritası ürün sayfası</x:v>
      </x:c>
      <x:c r="O860" s="16" t="str">
        <x:v>Orta</x:v>
      </x:c>
      <x:c r="P860" s="19" t="n">
        <x:v>46245</x:v>
      </x:c>
      <x:c r="Q860" s="20" t="str">
        <x:v>https://www.kahvedunyasi.com/urun/karamel-aromali-filtre-kahve-kilitli-250g-p-2372</x:v>
      </x:c>
      <x:c r="R860" s="20" t="str">
        <x:v>Ürün kimliği korundu; eksik alanlar erişilemedi olarak işaretlenecek.</x:v>
      </x:c>
    </x:row>
    <x:row r="861" ht="40" customHeight="1">
      <x:c r="A861" s="16" t="str">
        <x:v>Kahve Dünyası</x:v>
      </x:c>
      <x:c r="B861" s="16" t="str">
        <x:v>İstanbul</x:v>
      </x:c>
      <x:c r="C861" s="16" t="str">
        <x:v>Doğrulandı</x:v>
      </x:c>
      <x:c r="D861" s="16" t="str">
        <x:v>Ürün kaydı</x:v>
      </x:c>
      <x:c r="E861" s="16" t="str">
        <x:v>Karamel Aromalı Kapsül Kahve 10&amp;#x27;&amp;#x27;lu Kutu</x:v>
      </x:c>
      <x:c r="F861" s="16" t="str">
        <x:v>Menşe belirtilmemiş</x:v>
      </x:c>
      <x:c r="G861" s="17" t="str">
        <x:v>Erişilemedi</x:v>
      </x:c>
      <x:c r="H861" s="16" t="str">
        <x:v>Erişilemedi</x:v>
      </x:c>
      <x:c r="I861" s="18" t="n">
        <x:v>1250</x:v>
      </x:c>
      <x:c r="J861" s="18" t="str">
        <x:v>Erişildi</x:v>
      </x:c>
      <x:c r="K861" s="18" t="str">
        <x:f>IF(AND(ISNUMBER(G861),ISNUMBER(I861)),I861/G861*1000,"Erişilemedi")</x:f>
        <x:v>Erişilemedi</x:v>
      </x:c>
      <x:c r="L861" s="16" t="str">
        <x:v>Belirsiz</x:v>
      </x:c>
      <x:c r="M861" s="16" t="str">
        <x:v>Kahve ürünü</x:v>
      </x:c>
      <x:c r="N861" s="16" t="str">
        <x:v>Site haritası ürün sayfası</x:v>
      </x:c>
      <x:c r="O861" s="16" t="str">
        <x:v>Düşük</x:v>
      </x:c>
      <x:c r="P861" s="19" t="n">
        <x:v>46245</x:v>
      </x:c>
      <x:c r="Q861" s="20" t="str">
        <x:v>https://www.kahvedunyasi.com/urun/karamel-aromali-kapsul-kahve-10lu-kutu-p-267</x:v>
      </x:c>
      <x:c r="R861" s="20" t="str">
        <x:v>Ürün kimliği korundu; eksik alanlar erişilemedi olarak işaretlenecek.</x:v>
      </x:c>
    </x:row>
    <x:row r="862" ht="40" customHeight="1">
      <x:c r="A862" s="16" t="str">
        <x:v>Kahve Dünyası</x:v>
      </x:c>
      <x:c r="B862" s="16" t="str">
        <x:v>İstanbul</x:v>
      </x:c>
      <x:c r="C862" s="16" t="str">
        <x:v>Doğrulandı</x:v>
      </x:c>
      <x:c r="D862" s="16" t="str">
        <x:v>Ürün kaydı</x:v>
      </x:c>
      <x:c r="E862" s="16" t="str">
        <x:v>Kolombiya Filtre Kahve Kilitli 250g</x:v>
      </x:c>
      <x:c r="F862" s="16" t="str">
        <x:v>Kolombiya</x:v>
      </x:c>
      <x:c r="G862" s="17" t="n">
        <x:v>250</x:v>
      </x:c>
      <x:c r="H862" s="16" t="str">
        <x:v>Erişildi</x:v>
      </x:c>
      <x:c r="I862" s="18" t="n">
        <x:v>1250</x:v>
      </x:c>
      <x:c r="J862" s="18" t="str">
        <x:v>Erişildi</x:v>
      </x:c>
      <x:c r="K862" s="18" t="n">
        <x:f>IF(AND(ISNUMBER(G862),ISNUMBER(I862)),I862/G862*1000,"Erişilemedi")</x:f>
        <x:v>5000</x:v>
      </x:c>
      <x:c r="L862" s="16" t="str">
        <x:v>Belirsiz</x:v>
      </x:c>
      <x:c r="M862" s="16" t="str">
        <x:v>Kahve ürünü</x:v>
      </x:c>
      <x:c r="N862" s="16" t="str">
        <x:v>Site haritası ürün sayfası</x:v>
      </x:c>
      <x:c r="O862" s="16" t="str">
        <x:v>Orta</x:v>
      </x:c>
      <x:c r="P862" s="19" t="n">
        <x:v>46245</x:v>
      </x:c>
      <x:c r="Q862" s="20" t="str">
        <x:v>https://www.kahvedunyasi.com/urun/kolombiya-filtre-kahve-kilitli-250g-p-2424</x:v>
      </x:c>
      <x:c r="R862" s="20" t="str">
        <x:v>Ürün kimliği korundu; eksik alanlar erişilemedi olarak işaretlenecek.</x:v>
      </x:c>
    </x:row>
    <x:row r="863" ht="40" customHeight="1">
      <x:c r="A863" s="16" t="str">
        <x:v>Kahve Dünyası</x:v>
      </x:c>
      <x:c r="B863" s="16" t="str">
        <x:v>İstanbul</x:v>
      </x:c>
      <x:c r="C863" s="16" t="str">
        <x:v>Doğrulandı</x:v>
      </x:c>
      <x:c r="D863" s="16" t="str">
        <x:v>Ürün kaydı</x:v>
      </x:c>
      <x:c r="E863" s="16" t="str">
        <x:v>Madlen Sütlü-Bitter Çikolata Büyük Boy 572g</x:v>
      </x:c>
      <x:c r="F863" s="16" t="str">
        <x:v>Menşe belirtilmemiş</x:v>
      </x:c>
      <x:c r="G863" s="17" t="n">
        <x:v>572</x:v>
      </x:c>
      <x:c r="H863" s="16" t="str">
        <x:v>Erişildi</x:v>
      </x:c>
      <x:c r="I863" s="18" t="n">
        <x:v>1250</x:v>
      </x:c>
      <x:c r="J863" s="18" t="str">
        <x:v>Erişildi</x:v>
      </x:c>
      <x:c r="K863" s="18" t="n">
        <x:f>IF(AND(ISNUMBER(G863),ISNUMBER(I863)),I863/G863*1000,"Erişilemedi")</x:f>
        <x:v>2185.3146853146854</x:v>
      </x:c>
      <x:c r="L863" s="16" t="str">
        <x:v>Belirsiz</x:v>
      </x:c>
      <x:c r="M863" s="16" t="str">
        <x:v>Kahve ürünü</x:v>
      </x:c>
      <x:c r="N863" s="16" t="str">
        <x:v>Site haritası ürün sayfası</x:v>
      </x:c>
      <x:c r="O863" s="16" t="str">
        <x:v>Orta</x:v>
      </x:c>
      <x:c r="P863" s="19" t="n">
        <x:v>46245</x:v>
      </x:c>
      <x:c r="Q863" s="20" t="str">
        <x:v>https://www.kahvedunyasi.com/urun/madlen-sutlubitter-cikolata-buyuk-boy-572g-p-315</x:v>
      </x:c>
      <x:c r="R863" s="20" t="str">
        <x:v>Ürün kimliği korundu; eksik alanlar erişilemedi olarak işaretlenecek.</x:v>
      </x:c>
    </x:row>
    <x:row r="864" ht="40" customHeight="1">
      <x:c r="A864" s="16" t="str">
        <x:v>Kahve Dünyası</x:v>
      </x:c>
      <x:c r="B864" s="16" t="str">
        <x:v>İstanbul</x:v>
      </x:c>
      <x:c r="C864" s="16" t="str">
        <x:v>Doğrulandı</x:v>
      </x:c>
      <x:c r="D864" s="16" t="str">
        <x:v>Ürün kaydı</x:v>
      </x:c>
      <x:c r="E864" s="16" t="str">
        <x:v>Orijin Çikolata Ekvador 100g</x:v>
      </x:c>
      <x:c r="F864" s="16" t="str">
        <x:v>Menşe belirtilmemiş</x:v>
      </x:c>
      <x:c r="G864" s="17" t="n">
        <x:v>100</x:v>
      </x:c>
      <x:c r="H864" s="16" t="str">
        <x:v>Erişildi</x:v>
      </x:c>
      <x:c r="I864" s="18" t="n">
        <x:v>1250</x:v>
      </x:c>
      <x:c r="J864" s="18" t="str">
        <x:v>Erişildi</x:v>
      </x:c>
      <x:c r="K864" s="18" t="n">
        <x:f>IF(AND(ISNUMBER(G864),ISNUMBER(I864)),I864/G864*1000,"Erişilemedi")</x:f>
        <x:v>12500</x:v>
      </x:c>
      <x:c r="L864" s="16" t="str">
        <x:v>Belirsiz</x:v>
      </x:c>
      <x:c r="M864" s="16" t="str">
        <x:v>Kahve ürünü</x:v>
      </x:c>
      <x:c r="N864" s="16" t="str">
        <x:v>Site haritası ürün sayfası</x:v>
      </x:c>
      <x:c r="O864" s="16" t="str">
        <x:v>Orta</x:v>
      </x:c>
      <x:c r="P864" s="19" t="n">
        <x:v>46245</x:v>
      </x:c>
      <x:c r="Q864" s="20" t="str">
        <x:v>https://www.kahvedunyasi.com/urun/orijin-cikolata-ekvador-100g-p-36</x:v>
      </x:c>
      <x:c r="R864" s="20" t="str">
        <x:v>Ürün kimliği korundu; eksik alanlar erişilemedi olarak işaretlenecek.</x:v>
      </x:c>
    </x:row>
    <x:row r="865" ht="40" customHeight="1">
      <x:c r="A865" s="16" t="str">
        <x:v>Kahve Dünyası</x:v>
      </x:c>
      <x:c r="B865" s="16" t="str">
        <x:v>İstanbul</x:v>
      </x:c>
      <x:c r="C865" s="16" t="str">
        <x:v>Doğrulandı</x:v>
      </x:c>
      <x:c r="D865" s="16" t="str">
        <x:v>Ürün kaydı</x:v>
      </x:c>
      <x:c r="E865" s="16" t="str">
        <x:v>Orijin Çikolata Tanzanya 100g</x:v>
      </x:c>
      <x:c r="F865" s="16" t="str">
        <x:v>Tanzanya</x:v>
      </x:c>
      <x:c r="G865" s="17" t="n">
        <x:v>100</x:v>
      </x:c>
      <x:c r="H865" s="16" t="str">
        <x:v>Erişildi</x:v>
      </x:c>
      <x:c r="I865" s="18" t="n">
        <x:v>1250</x:v>
      </x:c>
      <x:c r="J865" s="18" t="str">
        <x:v>Erişildi</x:v>
      </x:c>
      <x:c r="K865" s="18" t="n">
        <x:f>IF(AND(ISNUMBER(G865),ISNUMBER(I865)),I865/G865*1000,"Erişilemedi")</x:f>
        <x:v>12500</x:v>
      </x:c>
      <x:c r="L865" s="16" t="str">
        <x:v>Belirsiz</x:v>
      </x:c>
      <x:c r="M865" s="16" t="str">
        <x:v>Kahve ürünü</x:v>
      </x:c>
      <x:c r="N865" s="16" t="str">
        <x:v>Site haritası ürün sayfası</x:v>
      </x:c>
      <x:c r="O865" s="16" t="str">
        <x:v>Orta</x:v>
      </x:c>
      <x:c r="P865" s="19" t="n">
        <x:v>46245</x:v>
      </x:c>
      <x:c r="Q865" s="20" t="str">
        <x:v>https://www.kahvedunyasi.com/urun/orijin-cikolata-tanzanya-100g-p-39</x:v>
      </x:c>
      <x:c r="R865" s="20" t="str">
        <x:v>Ürün kimliği korundu; eksik alanlar erişilemedi olarak işaretlenecek.</x:v>
      </x:c>
    </x:row>
    <x:row r="866" ht="40" customHeight="1">
      <x:c r="A866" s="16" t="str">
        <x:v>Kahve Dünyası</x:v>
      </x:c>
      <x:c r="B866" s="16" t="str">
        <x:v>İstanbul</x:v>
      </x:c>
      <x:c r="C866" s="16" t="str">
        <x:v>Doğrulandı</x:v>
      </x:c>
      <x:c r="D866" s="16" t="str">
        <x:v>Ürün kaydı</x:v>
      </x:c>
      <x:c r="E866" s="16" t="str">
        <x:v>Orta Kavrulmuş Türk Kahvesi 100g</x:v>
      </x:c>
      <x:c r="F866" s="16" t="str">
        <x:v>Brezilya</x:v>
      </x:c>
      <x:c r="G866" s="17" t="n">
        <x:v>100</x:v>
      </x:c>
      <x:c r="H866" s="16" t="str">
        <x:v>Erişildi</x:v>
      </x:c>
      <x:c r="I866" s="18" t="n">
        <x:v>1250</x:v>
      </x:c>
      <x:c r="J866" s="18" t="str">
        <x:v>Erişildi</x:v>
      </x:c>
      <x:c r="K866" s="18" t="n">
        <x:f>IF(AND(ISNUMBER(G866),ISNUMBER(I866)),I866/G866*1000,"Erişilemedi")</x:f>
        <x:v>12500</x:v>
      </x:c>
      <x:c r="L866" s="16" t="str">
        <x:v>Belirsiz</x:v>
      </x:c>
      <x:c r="M866" s="16" t="str">
        <x:v>Tek köken/ürün</x:v>
      </x:c>
      <x:c r="N866" s="16" t="str">
        <x:v>Site haritası + HTML ürün kartı</x:v>
      </x:c>
      <x:c r="O866" s="16" t="str">
        <x:v>Düşük</x:v>
      </x:c>
      <x:c r="P866" s="19" t="n">
        <x:v>46245</x:v>
      </x:c>
      <x:c r="Q866" s="20" t="str">
        <x:v>https://www.kahvedunyasi.com/urun/orta-kavrulmus-turk-kahvesi-100g-p-106</x:v>
      </x:c>
      <x:c r="R866" s="20" t="str">
        <x:v>Başlık/açıklama ve görünür fiyat deseninden çıkarıldı; manuel örnek kontrolü önerilir.</x:v>
      </x:c>
    </x:row>
    <x:row r="867" ht="40" customHeight="1">
      <x:c r="A867" s="16" t="str">
        <x:v>Kahve Dünyası</x:v>
      </x:c>
      <x:c r="B867" s="16" t="str">
        <x:v>İstanbul</x:v>
      </x:c>
      <x:c r="C867" s="16" t="str">
        <x:v>Doğrulandı</x:v>
      </x:c>
      <x:c r="D867" s="16" t="str">
        <x:v>Ürün kaydı</x:v>
      </x:c>
      <x:c r="E867" s="16" t="str">
        <x:v>Roche Fıstıklı Bitter Çikolata 250g</x:v>
      </x:c>
      <x:c r="F867" s="16" t="str">
        <x:v>Menşe belirtilmemiş</x:v>
      </x:c>
      <x:c r="G867" s="17" t="n">
        <x:v>250</x:v>
      </x:c>
      <x:c r="H867" s="16" t="str">
        <x:v>Erişildi</x:v>
      </x:c>
      <x:c r="I867" s="18" t="n">
        <x:v>1250</x:v>
      </x:c>
      <x:c r="J867" s="18" t="str">
        <x:v>Erişildi</x:v>
      </x:c>
      <x:c r="K867" s="18" t="n">
        <x:f>IF(AND(ISNUMBER(G867),ISNUMBER(I867)),I867/G867*1000,"Erişilemedi")</x:f>
        <x:v>5000</x:v>
      </x:c>
      <x:c r="L867" s="16" t="str">
        <x:v>Belirsiz</x:v>
      </x:c>
      <x:c r="M867" s="16" t="str">
        <x:v>Tek köken/ürün</x:v>
      </x:c>
      <x:c r="N867" s="16" t="str">
        <x:v>Site haritası + HTML ürün kartı</x:v>
      </x:c>
      <x:c r="O867" s="16" t="str">
        <x:v>Düşük</x:v>
      </x:c>
      <x:c r="P867" s="19" t="n">
        <x:v>46245</x:v>
      </x:c>
      <x:c r="Q867" s="20" t="str">
        <x:v>https://www.kahvedunyasi.com/urun/roche-fistikli-bitter-cikolata-250g-p-118</x:v>
      </x:c>
      <x:c r="R867" s="20" t="str">
        <x:v>Başlık/açıklama ve görünür fiyat deseninden çıkarıldı; manuel örnek kontrolü önerilir.</x:v>
      </x:c>
    </x:row>
    <x:row r="868" ht="40" customHeight="1">
      <x:c r="A868" s="16" t="str">
        <x:v>Kahve Dünyası</x:v>
      </x:c>
      <x:c r="B868" s="16" t="str">
        <x:v>İstanbul</x:v>
      </x:c>
      <x:c r="C868" s="16" t="str">
        <x:v>Doğrulandı</x:v>
      </x:c>
      <x:c r="D868" s="16" t="str">
        <x:v>Ürün kaydı</x:v>
      </x:c>
      <x:c r="E868" s="16" t="str">
        <x:v>Spesiyal Çikolata Büyük Kutu 418g</x:v>
      </x:c>
      <x:c r="F868" s="16" t="str">
        <x:v>Hindistan</x:v>
      </x:c>
      <x:c r="G868" s="17" t="n">
        <x:v>418</x:v>
      </x:c>
      <x:c r="H868" s="16" t="str">
        <x:v>Erişildi</x:v>
      </x:c>
      <x:c r="I868" s="18" t="n">
        <x:v>1250</x:v>
      </x:c>
      <x:c r="J868" s="18" t="str">
        <x:v>Erişildi</x:v>
      </x:c>
      <x:c r="K868" s="18" t="n">
        <x:f>IF(AND(ISNUMBER(G868),ISNUMBER(I868)),I868/G868*1000,"Erişilemedi")</x:f>
        <x:v>2990.4306220095696</x:v>
      </x:c>
      <x:c r="L868" s="16" t="str">
        <x:v>Belirsiz</x:v>
      </x:c>
      <x:c r="M868" s="16" t="str">
        <x:v>Tek köken/ürün</x:v>
      </x:c>
      <x:c r="N868" s="16" t="str">
        <x:v>Site haritası + HTML ürün kartı</x:v>
      </x:c>
      <x:c r="O868" s="16" t="str">
        <x:v>Düşük</x:v>
      </x:c>
      <x:c r="P868" s="19" t="n">
        <x:v>46245</x:v>
      </x:c>
      <x:c r="Q868" s="20" t="str">
        <x:v>https://www.kahvedunyasi.com/urun/spesiyal-cikolata-buyuk-kutu-418g-p-2399</x:v>
      </x:c>
      <x:c r="R868" s="20" t="str">
        <x:v>Başlık/açıklama ve görünür fiyat deseninden çıkarıldı; manuel örnek kontrolü önerilir.</x:v>
      </x:c>
    </x:row>
    <x:row r="869" ht="40" customHeight="1">
      <x:c r="A869" s="16" t="str">
        <x:v>Kahve Dünyası</x:v>
      </x:c>
      <x:c r="B869" s="16" t="str">
        <x:v>İstanbul</x:v>
      </x:c>
      <x:c r="C869" s="16" t="str">
        <x:v>Doğrulandı</x:v>
      </x:c>
      <x:c r="D869" s="16" t="str">
        <x:v>Ürün kaydı</x:v>
      </x:c>
      <x:c r="E869" s="16" t="str">
        <x:v>Sürpriz Kahverengi Hediye Kutusu</x:v>
      </x:c>
      <x:c r="F869" s="16" t="str">
        <x:v>Menşe belirtilmemiş</x:v>
      </x:c>
      <x:c r="G869" s="17" t="str">
        <x:v>Erişilemedi</x:v>
      </x:c>
      <x:c r="H869" s="16" t="str">
        <x:v>Erişilemedi</x:v>
      </x:c>
      <x:c r="I869" s="18" t="n">
        <x:v>1250</x:v>
      </x:c>
      <x:c r="J869" s="18" t="str">
        <x:v>Erişildi</x:v>
      </x:c>
      <x:c r="K869" s="18" t="str">
        <x:f>IF(AND(ISNUMBER(G869),ISNUMBER(I869)),I869/G869*1000,"Erişilemedi")</x:f>
        <x:v>Erişilemedi</x:v>
      </x:c>
      <x:c r="L869" s="16" t="str">
        <x:v>Belirsiz</x:v>
      </x:c>
      <x:c r="M869" s="16" t="str">
        <x:v>Kahve ürünü</x:v>
      </x:c>
      <x:c r="N869" s="16" t="str">
        <x:v>Site haritası ürün sayfası</x:v>
      </x:c>
      <x:c r="O869" s="16" t="str">
        <x:v>Düşük</x:v>
      </x:c>
      <x:c r="P869" s="19" t="n">
        <x:v>46245</x:v>
      </x:c>
      <x:c r="Q869" s="20" t="str">
        <x:v>https://www.kahvedunyasi.com/urun/surpriz-kahverengi-hediye-kutusu-p-10</x:v>
      </x:c>
      <x:c r="R869" s="20" t="str">
        <x:v>Ürün kimliği korundu; eksik alanlar erişilemedi olarak işaretlenecek.</x:v>
      </x:c>
    </x:row>
    <x:row r="870" ht="40" customHeight="1">
      <x:c r="A870" s="16" t="str">
        <x:v>Kahve Dünyası</x:v>
      </x:c>
      <x:c r="B870" s="16" t="str">
        <x:v>İstanbul</x:v>
      </x:c>
      <x:c r="C870" s="16" t="str">
        <x:v>Doğrulandı</x:v>
      </x:c>
      <x:c r="D870" s="16" t="str">
        <x:v>Ürün kaydı</x:v>
      </x:c>
      <x:c r="E870" s="16" t="str">
        <x:v>Taze Çekilmiş Türk Kahvesi Çok Kavrulmuş 200g</x:v>
      </x:c>
      <x:c r="F870" s="16" t="str">
        <x:v>Menşe belirtilmemiş</x:v>
      </x:c>
      <x:c r="G870" s="17" t="n">
        <x:v>200</x:v>
      </x:c>
      <x:c r="H870" s="16" t="str">
        <x:v>Erişildi</x:v>
      </x:c>
      <x:c r="I870" s="18" t="n">
        <x:v>1250</x:v>
      </x:c>
      <x:c r="J870" s="18" t="str">
        <x:v>Erişildi</x:v>
      </x:c>
      <x:c r="K870" s="18" t="n">
        <x:f>IF(AND(ISNUMBER(G870),ISNUMBER(I870)),I870/G870*1000,"Erişilemedi")</x:f>
        <x:v>6250</x:v>
      </x:c>
      <x:c r="L870" s="16" t="str">
        <x:v>Belirsiz</x:v>
      </x:c>
      <x:c r="M870" s="16" t="str">
        <x:v>Tek köken/ürün</x:v>
      </x:c>
      <x:c r="N870" s="16" t="str">
        <x:v>Site haritası + HTML ürün kartı</x:v>
      </x:c>
      <x:c r="O870" s="16" t="str">
        <x:v>Düşük</x:v>
      </x:c>
      <x:c r="P870" s="19" t="n">
        <x:v>46245</x:v>
      </x:c>
      <x:c r="Q870" s="20" t="str">
        <x:v>https://www.kahvedunyasi.com/urun/taze-cekilmis-turk-kahvesi-cok-kavrulmus-200g-p-255</x:v>
      </x:c>
      <x:c r="R870" s="20" t="str">
        <x:v>Başlık/açıklama ve görünür fiyat deseninden çıkarıldı; manuel örnek kontrolü önerilir.</x:v>
      </x:c>
    </x:row>
    <x:row r="871" ht="40" customHeight="1">
      <x:c r="A871" s="16" t="str">
        <x:v>Kahve Dünyası</x:v>
      </x:c>
      <x:c r="B871" s="16" t="str">
        <x:v>İstanbul</x:v>
      </x:c>
      <x:c r="C871" s="16" t="str">
        <x:v>Doğrulandı</x:v>
      </x:c>
      <x:c r="D871" s="16" t="str">
        <x:v>Ürün kaydı</x:v>
      </x:c>
      <x:c r="E871" s="16" t="str">
        <x:v>Taze Çekilmiş Türk Kahvesi Orta Kavrulmuş 200g</x:v>
      </x:c>
      <x:c r="F871" s="16" t="str">
        <x:v>Menşe belirtilmemiş</x:v>
      </x:c>
      <x:c r="G871" s="17" t="n">
        <x:v>200</x:v>
      </x:c>
      <x:c r="H871" s="16" t="str">
        <x:v>Erişildi</x:v>
      </x:c>
      <x:c r="I871" s="18" t="n">
        <x:v>1250</x:v>
      </x:c>
      <x:c r="J871" s="18" t="str">
        <x:v>Erişildi</x:v>
      </x:c>
      <x:c r="K871" s="18" t="n">
        <x:f>IF(AND(ISNUMBER(G871),ISNUMBER(I871)),I871/G871*1000,"Erişilemedi")</x:f>
        <x:v>6250</x:v>
      </x:c>
      <x:c r="L871" s="16" t="str">
        <x:v>Belirsiz</x:v>
      </x:c>
      <x:c r="M871" s="16" t="str">
        <x:v>Tek köken/ürün</x:v>
      </x:c>
      <x:c r="N871" s="16" t="str">
        <x:v>Site haritası + HTML ürün kartı</x:v>
      </x:c>
      <x:c r="O871" s="16" t="str">
        <x:v>Düşük</x:v>
      </x:c>
      <x:c r="P871" s="19" t="n">
        <x:v>46245</x:v>
      </x:c>
      <x:c r="Q871" s="20" t="str">
        <x:v>https://www.kahvedunyasi.com/urun/taze-cekilmis-turk-kahvesi-orta-kavrulmus-200g-p-216</x:v>
      </x:c>
      <x:c r="R871" s="20" t="str">
        <x:v>Başlık/açıklama ve görünür fiyat deseninden çıkarıldı; manuel örnek kontrolü önerilir.</x:v>
      </x:c>
    </x:row>
    <x:row r="872" ht="40" customHeight="1">
      <x:c r="A872" s="16" t="str">
        <x:v>Kahve Dünyası</x:v>
      </x:c>
      <x:c r="B872" s="16" t="str">
        <x:v>İstanbul</x:v>
      </x:c>
      <x:c r="C872" s="16" t="str">
        <x:v>Doğrulandı</x:v>
      </x:c>
      <x:c r="D872" s="16" t="str">
        <x:v>Ürün kaydı</x:v>
      </x:c>
      <x:c r="E872" s="16" t="str">
        <x:v>Vanilya Aromalı Filtre Kahve Kilitli 250g</x:v>
      </x:c>
      <x:c r="F872" s="16" t="str">
        <x:v>Harman – menşe belirtilmemiş</x:v>
      </x:c>
      <x:c r="G872" s="17" t="n">
        <x:v>250</x:v>
      </x:c>
      <x:c r="H872" s="16" t="str">
        <x:v>Erişildi</x:v>
      </x:c>
      <x:c r="I872" s="18" t="n">
        <x:v>1250</x:v>
      </x:c>
      <x:c r="J872" s="18" t="str">
        <x:v>Erişildi</x:v>
      </x:c>
      <x:c r="K872" s="18" t="n">
        <x:f>IF(AND(ISNUMBER(G872),ISNUMBER(I872)),I872/G872*1000,"Erişilemedi")</x:f>
        <x:v>5000</x:v>
      </x:c>
      <x:c r="L872" s="16" t="str">
        <x:v>Belirsiz</x:v>
      </x:c>
      <x:c r="M872" s="16" t="str">
        <x:v>Harman</x:v>
      </x:c>
      <x:c r="N872" s="16" t="str">
        <x:v>Site haritası ürün sayfası</x:v>
      </x:c>
      <x:c r="O872" s="16" t="str">
        <x:v>Orta</x:v>
      </x:c>
      <x:c r="P872" s="19" t="n">
        <x:v>46245</x:v>
      </x:c>
      <x:c r="Q872" s="20" t="str">
        <x:v>https://www.kahvedunyasi.com/urun/vanilya-aromali-filtre-kahve-kilitli-250g-p-2373</x:v>
      </x:c>
      <x:c r="R872" s="20" t="str">
        <x:v>Ürün kimliği korundu; eksik alanlar erişilemedi olarak işaretlenecek.</x:v>
      </x:c>
    </x:row>
    <x:row r="873" ht="40" customHeight="1">
      <x:c r="A873" s="16" t="str">
        <x:v>Kahve Dünyası</x:v>
      </x:c>
      <x:c r="B873" s="16" t="str">
        <x:v>İstanbul</x:v>
      </x:c>
      <x:c r="C873" s="16" t="str">
        <x:v>Doğrulandı</x:v>
      </x:c>
      <x:c r="D873" s="16" t="str">
        <x:v>Ürün kaydı</x:v>
      </x:c>
      <x:c r="E873" s="16" t="str">
        <x:v>Vanilya Aromalı Kapsül Kahve 10&amp;#x27;&amp;#x27;lu Kutu</x:v>
      </x:c>
      <x:c r="F873" s="16" t="str">
        <x:v>Menşe belirtilmemiş</x:v>
      </x:c>
      <x:c r="G873" s="17" t="str">
        <x:v>Erişilemedi</x:v>
      </x:c>
      <x:c r="H873" s="16" t="str">
        <x:v>Erişilemedi</x:v>
      </x:c>
      <x:c r="I873" s="18" t="n">
        <x:v>1250</x:v>
      </x:c>
      <x:c r="J873" s="18" t="str">
        <x:v>Erişildi</x:v>
      </x:c>
      <x:c r="K873" s="18" t="str">
        <x:f>IF(AND(ISNUMBER(G873),ISNUMBER(I873)),I873/G873*1000,"Erişilemedi")</x:f>
        <x:v>Erişilemedi</x:v>
      </x:c>
      <x:c r="L873" s="16" t="str">
        <x:v>Belirsiz</x:v>
      </x:c>
      <x:c r="M873" s="16" t="str">
        <x:v>Kahve ürünü</x:v>
      </x:c>
      <x:c r="N873" s="16" t="str">
        <x:v>Site haritası ürün sayfası</x:v>
      </x:c>
      <x:c r="O873" s="16" t="str">
        <x:v>Düşük</x:v>
      </x:c>
      <x:c r="P873" s="19" t="n">
        <x:v>46245</x:v>
      </x:c>
      <x:c r="Q873" s="20" t="str">
        <x:v>https://www.kahvedunyasi.com/urun/vanilya-aromali-kapsul-kahve-10lu-kutu-p-268</x:v>
      </x:c>
      <x:c r="R873" s="20" t="str">
        <x:v>Ürün kimliği korundu; eksik alanlar erişilemedi olarak işaretlenecek.</x:v>
      </x:c>
    </x:row>
    <x:row r="874" ht="40" customHeight="1">
      <x:c r="A874" s="16" t="str">
        <x:v>Kahve Fabrikası</x:v>
      </x:c>
      <x:c r="B874" s="16" t="str">
        <x:v>İstanbul</x:v>
      </x:c>
      <x:c r="C874" s="16" t="str">
        <x:v>Doğrulandı</x:v>
      </x:c>
      <x:c r="D874" s="16" t="str">
        <x:v>Katalog takip kaydı</x:v>
      </x:c>
      <x:c r="E874" s="16" t="str">
        <x:v>Ürün kataloğu — ayrıntılı ürün verisine erişilemedi</x:v>
      </x:c>
      <x:c r="F874" s="16" t="str">
        <x:v>Erişilemedi</x:v>
      </x:c>
      <x:c r="G874" s="17" t="str">
        <x:v>Erişilemedi</x:v>
      </x:c>
      <x:c r="H874" s="16" t="str">
        <x:v>Erişilemedi</x:v>
      </x:c>
      <x:c r="I874" s="18" t="str">
        <x:v>Erişilemedi</x:v>
      </x:c>
      <x:c r="J874" s="18" t="str">
        <x:v>Erişilemedi</x:v>
      </x:c>
      <x:c r="K874" s="18" t="str">
        <x:f>IF(AND(ISNUMBER(G874),ISNUMBER(I874)),I874/G874*1000,"Erişilemedi")</x:f>
        <x:v>Erişilemedi</x:v>
      </x:c>
      <x:c r="L874" s="16" t="str">
        <x:v>Erişilemedi</x:v>
      </x:c>
      <x:c r="M874" s="16" t="str">
        <x:v>Katalog/takip kaydı</x:v>
      </x:c>
      <x:c r="N874" s="16" t="str">
        <x:v>Mağaza/katalog bağlantısı</x:v>
      </x:c>
      <x:c r="O874" s="16" t="str">
        <x:v>Takip gerekli</x:v>
      </x:c>
      <x:c r="P874" s="19" t="n">
        <x:v>46245</x:v>
      </x:c>
      <x:c r="Q874" s="20" t="str">
        <x:v>https://www.kahvefabrikasi.com/kahve</x:v>
      </x:c>
      <x:c r="R874" s="20" t="str">
        <x:v>Ürün adı, gramaj ve fiyat birlikte çıkarılamadı. Bağlantı manuel inceleme için korundu.</x:v>
      </x:c>
    </x:row>
    <x:row r="875" ht="40" customHeight="1">
      <x:c r="A875" s="16" t="str">
        <x:v>Kahve.com / Moliendo</x:v>
      </x:c>
      <x:c r="B875" s="16" t="str"/>
      <x:c r="C875" s="16" t="str">
        <x:v>Doğrulandı</x:v>
      </x:c>
      <x:c r="D875" s="16" t="str">
        <x:v>Ürün kaydı</x:v>
      </x:c>
      <x:c r="E875" s="16" t="str">
        <x:v>Hario Soğuk Demleme Filtreli Şişe Mocca</x:v>
      </x:c>
      <x:c r="F875" s="16" t="str">
        <x:v>Menşe belirtilmemiş</x:v>
      </x:c>
      <x:c r="G875" s="17" t="str">
        <x:v>Erişilemedi</x:v>
      </x:c>
      <x:c r="H875" s="16" t="str">
        <x:v>Erişilemedi</x:v>
      </x:c>
      <x:c r="I875" s="18" t="n">
        <x:v>131</x:v>
      </x:c>
      <x:c r="J875" s="18" t="str">
        <x:v>Erişildi</x:v>
      </x:c>
      <x:c r="K875" s="18" t="str">
        <x:f>IF(AND(ISNUMBER(G875),ISNUMBER(I875)),I875/G875*1000,"Erişilemedi")</x:f>
        <x:v>Erişilemedi</x:v>
      </x:c>
      <x:c r="L875" s="16" t="str">
        <x:v>Belirsiz</x:v>
      </x:c>
      <x:c r="M875" s="16" t="str">
        <x:v>Kahve ürünü</x:v>
      </x:c>
      <x:c r="N875" s="16" t="str">
        <x:v>Site haritası ürün sayfası</x:v>
      </x:c>
      <x:c r="O875" s="16" t="str">
        <x:v>Düşük</x:v>
      </x:c>
      <x:c r="P875" s="19" t="n">
        <x:v>46245</x:v>
      </x:c>
      <x:c r="Q875" s="20" t="str">
        <x:v>https://www.kahve.com/urun/hario-soguk-demleme-filtreli-sise-mocca</x:v>
      </x:c>
      <x:c r="R875" s="20" t="str">
        <x:v>Ürün kimliği korundu; eksik alanlar erişilemedi olarak işaretlenecek.</x:v>
      </x:c>
    </x:row>
    <x:row r="876" ht="40" customHeight="1">
      <x:c r="A876" s="16" t="str">
        <x:v>Kahve.com / Moliendo</x:v>
      </x:c>
      <x:c r="B876" s="16" t="str"/>
      <x:c r="C876" s="16" t="str">
        <x:v>Doğrulandı</x:v>
      </x:c>
      <x:c r="D876" s="16" t="str">
        <x:v>Ürün kaydı</x:v>
      </x:c>
      <x:c r="E876" s="16" t="str">
        <x:v>Moliendo Australia Skybury Yöresel Kahve</x:v>
      </x:c>
      <x:c r="F876" s="16" t="str">
        <x:v>Menşe belirtilmemiş</x:v>
      </x:c>
      <x:c r="G876" s="17" t="str">
        <x:v>Erişilemedi</x:v>
      </x:c>
      <x:c r="H876" s="16" t="str">
        <x:v>Erişilemedi</x:v>
      </x:c>
      <x:c r="I876" s="18" t="n">
        <x:v>131</x:v>
      </x:c>
      <x:c r="J876" s="18" t="str">
        <x:v>Erişildi</x:v>
      </x:c>
      <x:c r="K876" s="18" t="str">
        <x:f>IF(AND(ISNUMBER(G876),ISNUMBER(I876)),I876/G876*1000,"Erişilemedi")</x:f>
        <x:v>Erişilemedi</x:v>
      </x:c>
      <x:c r="L876" s="16" t="str">
        <x:v>Belirsiz</x:v>
      </x:c>
      <x:c r="M876" s="16" t="str">
        <x:v>Kahve ürünü</x:v>
      </x:c>
      <x:c r="N876" s="16" t="str">
        <x:v>Site haritası ürün sayfası</x:v>
      </x:c>
      <x:c r="O876" s="16" t="str">
        <x:v>Düşük</x:v>
      </x:c>
      <x:c r="P876" s="19" t="n">
        <x:v>46245</x:v>
      </x:c>
      <x:c r="Q876" s="20" t="str">
        <x:v>https://www.kahve.com/urun/moliendo-australia-skybury-yoresel-kahve</x:v>
      </x:c>
      <x:c r="R876" s="20" t="str">
        <x:v>Ürün kimliği korundu; eksik alanlar erişilemedi olarak işaretlenecek.</x:v>
      </x:c>
    </x:row>
    <x:row r="877" ht="40" customHeight="1">
      <x:c r="A877" s="16" t="str">
        <x:v>Kahve.com / Moliendo</x:v>
      </x:c>
      <x:c r="B877" s="16" t="str"/>
      <x:c r="C877" s="16" t="str">
        <x:v>Doğrulandı</x:v>
      </x:c>
      <x:c r="D877" s="16" t="str">
        <x:v>Ürün kaydı</x:v>
      </x:c>
      <x:c r="E877" s="16" t="str">
        <x:v>Moliendo Brasil Bossa Nova Yöresel Kahve</x:v>
      </x:c>
      <x:c r="F877" s="16" t="str">
        <x:v>Brezilya</x:v>
      </x:c>
      <x:c r="G877" s="17" t="str">
        <x:v>Erişilemedi</x:v>
      </x:c>
      <x:c r="H877" s="16" t="str">
        <x:v>Erişilemedi</x:v>
      </x:c>
      <x:c r="I877" s="18" t="n">
        <x:v>131</x:v>
      </x:c>
      <x:c r="J877" s="18" t="str">
        <x:v>Erişildi</x:v>
      </x:c>
      <x:c r="K877" s="18" t="str">
        <x:f>IF(AND(ISNUMBER(G877),ISNUMBER(I877)),I877/G877*1000,"Erişilemedi")</x:f>
        <x:v>Erişilemedi</x:v>
      </x:c>
      <x:c r="L877" s="16" t="str">
        <x:v>Belirsiz</x:v>
      </x:c>
      <x:c r="M877" s="16" t="str">
        <x:v>Kahve ürünü</x:v>
      </x:c>
      <x:c r="N877" s="16" t="str">
        <x:v>Site haritası ürün sayfası</x:v>
      </x:c>
      <x:c r="O877" s="16" t="str">
        <x:v>Düşük</x:v>
      </x:c>
      <x:c r="P877" s="19" t="n">
        <x:v>46245</x:v>
      </x:c>
      <x:c r="Q877" s="20" t="str">
        <x:v>https://www.kahve.com/urun/moliendo-brasil-bossa-nova-yoresel-kahve</x:v>
      </x:c>
      <x:c r="R877" s="20" t="str">
        <x:v>Ürün kimliği korundu; eksik alanlar erişilemedi olarak işaretlenecek.</x:v>
      </x:c>
    </x:row>
    <x:row r="878" ht="40" customHeight="1">
      <x:c r="A878" s="16" t="str">
        <x:v>Kahve.com / Moliendo</x:v>
      </x:c>
      <x:c r="B878" s="16" t="str"/>
      <x:c r="C878" s="16" t="str">
        <x:v>Doğrulandı</x:v>
      </x:c>
      <x:c r="D878" s="16" t="str">
        <x:v>Ürün kaydı</x:v>
      </x:c>
      <x:c r="E878" s="16" t="str">
        <x:v>Moliendo Brasil Cerrado Yöresel Kahve</x:v>
      </x:c>
      <x:c r="F878" s="16" t="str">
        <x:v>Brezilya</x:v>
      </x:c>
      <x:c r="G878" s="17" t="str">
        <x:v>Erişilemedi</x:v>
      </x:c>
      <x:c r="H878" s="16" t="str">
        <x:v>Erişilemedi</x:v>
      </x:c>
      <x:c r="I878" s="18" t="n">
        <x:v>131</x:v>
      </x:c>
      <x:c r="J878" s="18" t="str">
        <x:v>Erişildi</x:v>
      </x:c>
      <x:c r="K878" s="18" t="str">
        <x:f>IF(AND(ISNUMBER(G878),ISNUMBER(I878)),I878/G878*1000,"Erişilemedi")</x:f>
        <x:v>Erişilemedi</x:v>
      </x:c>
      <x:c r="L878" s="16" t="str">
        <x:v>Belirsiz</x:v>
      </x:c>
      <x:c r="M878" s="16" t="str">
        <x:v>Kahve ürünü</x:v>
      </x:c>
      <x:c r="N878" s="16" t="str">
        <x:v>Site haritası ürün sayfası</x:v>
      </x:c>
      <x:c r="O878" s="16" t="str">
        <x:v>Düşük</x:v>
      </x:c>
      <x:c r="P878" s="19" t="n">
        <x:v>46245</x:v>
      </x:c>
      <x:c r="Q878" s="20" t="str">
        <x:v>https://www.kahve.com/urun/moliendo-brasil-cerrado-yoresel-kahve</x:v>
      </x:c>
      <x:c r="R878" s="20" t="str">
        <x:v>Ürün kimliği korundu; eksik alanlar erişilemedi olarak işaretlenecek.</x:v>
      </x:c>
    </x:row>
    <x:row r="879" ht="40" customHeight="1">
      <x:c r="A879" s="16" t="str">
        <x:v>Kahve.com / Moliendo</x:v>
      </x:c>
      <x:c r="B879" s="16" t="str"/>
      <x:c r="C879" s="16" t="str">
        <x:v>Doğrulandı</x:v>
      </x:c>
      <x:c r="D879" s="16" t="str">
        <x:v>Ürün kaydı</x:v>
      </x:c>
      <x:c r="E879" s="16" t="str">
        <x:v>Moliendo Brasil Fazenda Yellow Bourbon Yöresel Kahve</x:v>
      </x:c>
      <x:c r="F879" s="16" t="str">
        <x:v>Brezilya</x:v>
      </x:c>
      <x:c r="G879" s="17" t="str">
        <x:v>Erişilemedi</x:v>
      </x:c>
      <x:c r="H879" s="16" t="str">
        <x:v>Erişilemedi</x:v>
      </x:c>
      <x:c r="I879" s="18" t="n">
        <x:v>131</x:v>
      </x:c>
      <x:c r="J879" s="18" t="str">
        <x:v>Erişildi</x:v>
      </x:c>
      <x:c r="K879" s="18" t="str">
        <x:f>IF(AND(ISNUMBER(G879),ISNUMBER(I879)),I879/G879*1000,"Erişilemedi")</x:f>
        <x:v>Erişilemedi</x:v>
      </x:c>
      <x:c r="L879" s="16" t="str">
        <x:v>Belirsiz</x:v>
      </x:c>
      <x:c r="M879" s="16" t="str">
        <x:v>Kahve ürünü</x:v>
      </x:c>
      <x:c r="N879" s="16" t="str">
        <x:v>Site haritası ürün sayfası</x:v>
      </x:c>
      <x:c r="O879" s="16" t="str">
        <x:v>Düşük</x:v>
      </x:c>
      <x:c r="P879" s="19" t="n">
        <x:v>46245</x:v>
      </x:c>
      <x:c r="Q879" s="20" t="str">
        <x:v>https://www.kahve.com/urun/moliendo-brasil-fazenda-yellow-bourbon-yoresel-kahve</x:v>
      </x:c>
      <x:c r="R879" s="20" t="str">
        <x:v>Ürün kimliği korundu; eksik alanlar erişilemedi olarak işaretlenecek.</x:v>
      </x:c>
    </x:row>
    <x:row r="880" ht="40" customHeight="1">
      <x:c r="A880" s="16" t="str">
        <x:v>Kahve.com / Moliendo</x:v>
      </x:c>
      <x:c r="B880" s="16" t="str"/>
      <x:c r="C880" s="16" t="str">
        <x:v>Doğrulandı</x:v>
      </x:c>
      <x:c r="D880" s="16" t="str">
        <x:v>Ürün kaydı</x:v>
      </x:c>
      <x:c r="E880" s="16" t="str">
        <x:v>Moliendo Burundi Yöresel Kahve</x:v>
      </x:c>
      <x:c r="F880" s="16" t="str">
        <x:v>Burundi</x:v>
      </x:c>
      <x:c r="G880" s="17" t="str">
        <x:v>Erişilemedi</x:v>
      </x:c>
      <x:c r="H880" s="16" t="str">
        <x:v>Erişilemedi</x:v>
      </x:c>
      <x:c r="I880" s="18" t="n">
        <x:v>131</x:v>
      </x:c>
      <x:c r="J880" s="18" t="str">
        <x:v>Erişildi</x:v>
      </x:c>
      <x:c r="K880" s="18" t="str">
        <x:f>IF(AND(ISNUMBER(G880),ISNUMBER(I880)),I880/G880*1000,"Erişilemedi")</x:f>
        <x:v>Erişilemedi</x:v>
      </x:c>
      <x:c r="L880" s="16" t="str">
        <x:v>Belirsiz</x:v>
      </x:c>
      <x:c r="M880" s="16" t="str">
        <x:v>Kahve ürünü</x:v>
      </x:c>
      <x:c r="N880" s="16" t="str">
        <x:v>Site haritası ürün sayfası</x:v>
      </x:c>
      <x:c r="O880" s="16" t="str">
        <x:v>Düşük</x:v>
      </x:c>
      <x:c r="P880" s="19" t="n">
        <x:v>46245</x:v>
      </x:c>
      <x:c r="Q880" s="20" t="str">
        <x:v>https://www.kahve.com/urun/moliendo-burundi-yoresel-kahve</x:v>
      </x:c>
      <x:c r="R880" s="20" t="str">
        <x:v>Ürün kimliği korundu; eksik alanlar erişilemedi olarak işaretlenecek.</x:v>
      </x:c>
    </x:row>
    <x:row r="881" ht="40" customHeight="1">
      <x:c r="A881" s="16" t="str">
        <x:v>Kahve.com / Moliendo</x:v>
      </x:c>
      <x:c r="B881" s="16" t="str"/>
      <x:c r="C881" s="16" t="str">
        <x:v>Doğrulandı</x:v>
      </x:c>
      <x:c r="D881" s="16" t="str">
        <x:v>Ürün kaydı</x:v>
      </x:c>
      <x:c r="E881" s="16" t="str">
        <x:v>Moliendo Colombia Altamira Excelso Yöresel Kahve</x:v>
      </x:c>
      <x:c r="F881" s="16" t="str">
        <x:v>Kolombiya</x:v>
      </x:c>
      <x:c r="G881" s="17" t="str">
        <x:v>Erişilemedi</x:v>
      </x:c>
      <x:c r="H881" s="16" t="str">
        <x:v>Erişilemedi</x:v>
      </x:c>
      <x:c r="I881" s="18" t="n">
        <x:v>131</x:v>
      </x:c>
      <x:c r="J881" s="18" t="str">
        <x:v>Erişildi</x:v>
      </x:c>
      <x:c r="K881" s="18" t="str">
        <x:f>IF(AND(ISNUMBER(G881),ISNUMBER(I881)),I881/G881*1000,"Erişilemedi")</x:f>
        <x:v>Erişilemedi</x:v>
      </x:c>
      <x:c r="L881" s="16" t="str">
        <x:v>Belirsiz</x:v>
      </x:c>
      <x:c r="M881" s="16" t="str">
        <x:v>Kahve ürünü</x:v>
      </x:c>
      <x:c r="N881" s="16" t="str">
        <x:v>Site haritası ürün sayfası</x:v>
      </x:c>
      <x:c r="O881" s="16" t="str">
        <x:v>Düşük</x:v>
      </x:c>
      <x:c r="P881" s="19" t="n">
        <x:v>46245</x:v>
      </x:c>
      <x:c r="Q881" s="20" t="str">
        <x:v>https://www.kahve.com/urun/moliendo-colombia-altamira-excelso-yoresel-kahve</x:v>
      </x:c>
      <x:c r="R881" s="20" t="str">
        <x:v>Ürün kimliği korundu; eksik alanlar erişilemedi olarak işaretlenecek.</x:v>
      </x:c>
    </x:row>
    <x:row r="882" ht="40" customHeight="1">
      <x:c r="A882" s="16" t="str">
        <x:v>Kahve.com / Moliendo</x:v>
      </x:c>
      <x:c r="B882" s="16" t="str"/>
      <x:c r="C882" s="16" t="str">
        <x:v>Doğrulandı</x:v>
      </x:c>
      <x:c r="D882" s="16" t="str">
        <x:v>Ürün kaydı</x:v>
      </x:c>
      <x:c r="E882" s="16" t="str">
        <x:v>Moliendo Colombia Supremo Huila Yöresel Kahve</x:v>
      </x:c>
      <x:c r="F882" s="16" t="str">
        <x:v>Kolombiya</x:v>
      </x:c>
      <x:c r="G882" s="17" t="str">
        <x:v>Erişilemedi</x:v>
      </x:c>
      <x:c r="H882" s="16" t="str">
        <x:v>Erişilemedi</x:v>
      </x:c>
      <x:c r="I882" s="18" t="n">
        <x:v>131</x:v>
      </x:c>
      <x:c r="J882" s="18" t="str">
        <x:v>Erişildi</x:v>
      </x:c>
      <x:c r="K882" s="18" t="str">
        <x:f>IF(AND(ISNUMBER(G882),ISNUMBER(I882)),I882/G882*1000,"Erişilemedi")</x:f>
        <x:v>Erişilemedi</x:v>
      </x:c>
      <x:c r="L882" s="16" t="str">
        <x:v>Belirsiz</x:v>
      </x:c>
      <x:c r="M882" s="16" t="str">
        <x:v>Kahve ürünü</x:v>
      </x:c>
      <x:c r="N882" s="16" t="str">
        <x:v>Site haritası ürün sayfası</x:v>
      </x:c>
      <x:c r="O882" s="16" t="str">
        <x:v>Düşük</x:v>
      </x:c>
      <x:c r="P882" s="19" t="n">
        <x:v>46245</x:v>
      </x:c>
      <x:c r="Q882" s="20" t="str">
        <x:v>https://www.kahve.com/urun/moliendo-colombia-supremo-huila-yoresel-kahve</x:v>
      </x:c>
      <x:c r="R882" s="20" t="str">
        <x:v>Ürün kimliği korundu; eksik alanlar erişilemedi olarak işaretlenecek.</x:v>
      </x:c>
    </x:row>
    <x:row r="883" ht="40" customHeight="1">
      <x:c r="A883" s="16" t="str">
        <x:v>Kahve.com / Moliendo</x:v>
      </x:c>
      <x:c r="B883" s="16" t="str"/>
      <x:c r="C883" s="16" t="str">
        <x:v>Doğrulandı</x:v>
      </x:c>
      <x:c r="D883" s="16" t="str">
        <x:v>Ürün kaydı</x:v>
      </x:c>
      <x:c r="E883" s="16" t="str">
        <x:v>Moliendo Costa Rica Tarrazu Yöresel Kahve</x:v>
      </x:c>
      <x:c r="F883" s="16" t="str">
        <x:v>Kosta Rika</x:v>
      </x:c>
      <x:c r="G883" s="17" t="str">
        <x:v>Erişilemedi</x:v>
      </x:c>
      <x:c r="H883" s="16" t="str">
        <x:v>Erişilemedi</x:v>
      </x:c>
      <x:c r="I883" s="18" t="n">
        <x:v>131</x:v>
      </x:c>
      <x:c r="J883" s="18" t="str">
        <x:v>Erişildi</x:v>
      </x:c>
      <x:c r="K883" s="18" t="str">
        <x:f>IF(AND(ISNUMBER(G883),ISNUMBER(I883)),I883/G883*1000,"Erişilemedi")</x:f>
        <x:v>Erişilemedi</x:v>
      </x:c>
      <x:c r="L883" s="16" t="str">
        <x:v>Belirsiz</x:v>
      </x:c>
      <x:c r="M883" s="16" t="str">
        <x:v>Kahve ürünü</x:v>
      </x:c>
      <x:c r="N883" s="16" t="str">
        <x:v>Site haritası ürün sayfası</x:v>
      </x:c>
      <x:c r="O883" s="16" t="str">
        <x:v>Düşük</x:v>
      </x:c>
      <x:c r="P883" s="19" t="n">
        <x:v>46245</x:v>
      </x:c>
      <x:c r="Q883" s="20" t="str">
        <x:v>https://www.kahve.com/urun/moliendo-costa-rica-tarrazu-yoresel-kahve</x:v>
      </x:c>
      <x:c r="R883" s="20" t="str">
        <x:v>Ürün kimliği korundu; eksik alanlar erişilemedi olarak işaretlenecek.</x:v>
      </x:c>
    </x:row>
    <x:row r="884" ht="40" customHeight="1">
      <x:c r="A884" s="16" t="str">
        <x:v>Kahve.com / Moliendo</x:v>
      </x:c>
      <x:c r="B884" s="16" t="str"/>
      <x:c r="C884" s="16" t="str">
        <x:v>Doğrulandı</x:v>
      </x:c>
      <x:c r="D884" s="16" t="str">
        <x:v>Ürün kaydı</x:v>
      </x:c>
      <x:c r="E884" s="16" t="str">
        <x:v>Moliendo Ecuador Loja Yöresel Kahve</x:v>
      </x:c>
      <x:c r="F884" s="16" t="str">
        <x:v>Menşe belirtilmemiş</x:v>
      </x:c>
      <x:c r="G884" s="17" t="str">
        <x:v>Erişilemedi</x:v>
      </x:c>
      <x:c r="H884" s="16" t="str">
        <x:v>Erişilemedi</x:v>
      </x:c>
      <x:c r="I884" s="18" t="n">
        <x:v>131</x:v>
      </x:c>
      <x:c r="J884" s="18" t="str">
        <x:v>Erişildi</x:v>
      </x:c>
      <x:c r="K884" s="18" t="str">
        <x:f>IF(AND(ISNUMBER(G884),ISNUMBER(I884)),I884/G884*1000,"Erişilemedi")</x:f>
        <x:v>Erişilemedi</x:v>
      </x:c>
      <x:c r="L884" s="16" t="str">
        <x:v>Belirsiz</x:v>
      </x:c>
      <x:c r="M884" s="16" t="str">
        <x:v>Kahve ürünü</x:v>
      </x:c>
      <x:c r="N884" s="16" t="str">
        <x:v>Site haritası ürün sayfası</x:v>
      </x:c>
      <x:c r="O884" s="16" t="str">
        <x:v>Düşük</x:v>
      </x:c>
      <x:c r="P884" s="19" t="n">
        <x:v>46245</x:v>
      </x:c>
      <x:c r="Q884" s="20" t="str">
        <x:v>https://www.kahve.com/urun/moliendo-ecuador-loja-yoresel-kahve</x:v>
      </x:c>
      <x:c r="R884" s="20" t="str">
        <x:v>Ürün kimliği korundu; eksik alanlar erişilemedi olarak işaretlenecek.</x:v>
      </x:c>
    </x:row>
    <x:row r="885" ht="40" customHeight="1">
      <x:c r="A885" s="16" t="str">
        <x:v>Kahve.com / Moliendo</x:v>
      </x:c>
      <x:c r="B885" s="16" t="str"/>
      <x:c r="C885" s="16" t="str">
        <x:v>Doğrulandı</x:v>
      </x:c>
      <x:c r="D885" s="16" t="str">
        <x:v>Ürün kaydı</x:v>
      </x:c>
      <x:c r="E885" s="16" t="str">
        <x:v>Moliendo El Salvador SGH Finca La Joya Yöresel Kahve</x:v>
      </x:c>
      <x:c r="F885" s="16" t="str">
        <x:v>El Salvador</x:v>
      </x:c>
      <x:c r="G885" s="17" t="str">
        <x:v>Erişilemedi</x:v>
      </x:c>
      <x:c r="H885" s="16" t="str">
        <x:v>Erişilemedi</x:v>
      </x:c>
      <x:c r="I885" s="18" t="n">
        <x:v>131</x:v>
      </x:c>
      <x:c r="J885" s="18" t="str">
        <x:v>Erişildi</x:v>
      </x:c>
      <x:c r="K885" s="18" t="str">
        <x:f>IF(AND(ISNUMBER(G885),ISNUMBER(I885)),I885/G885*1000,"Erişilemedi")</x:f>
        <x:v>Erişilemedi</x:v>
      </x:c>
      <x:c r="L885" s="16" t="str">
        <x:v>Belirsiz</x:v>
      </x:c>
      <x:c r="M885" s="16" t="str">
        <x:v>Kahve ürünü</x:v>
      </x:c>
      <x:c r="N885" s="16" t="str">
        <x:v>Site haritası ürün sayfası</x:v>
      </x:c>
      <x:c r="O885" s="16" t="str">
        <x:v>Düşük</x:v>
      </x:c>
      <x:c r="P885" s="19" t="n">
        <x:v>46245</x:v>
      </x:c>
      <x:c r="Q885" s="20" t="str">
        <x:v>https://www.kahve.com/urun/moliendo-el-salvador-sgh-finca-la-joya-yoresel-kahve</x:v>
      </x:c>
      <x:c r="R885" s="20" t="str">
        <x:v>Ürün kimliği korundu; eksik alanlar erişilemedi olarak işaretlenecek.</x:v>
      </x:c>
    </x:row>
    <x:row r="886" ht="40" customHeight="1">
      <x:c r="A886" s="16" t="str">
        <x:v>Kahve.com / Moliendo</x:v>
      </x:c>
      <x:c r="B886" s="16" t="str"/>
      <x:c r="C886" s="16" t="str">
        <x:v>Doğrulandı</x:v>
      </x:c>
      <x:c r="D886" s="16" t="str">
        <x:v>Ürün kaydı</x:v>
      </x:c>
      <x:c r="E886" s="16" t="str">
        <x:v>Moliendo Ethiopia Djimmah Yöresel Kahve</x:v>
      </x:c>
      <x:c r="F886" s="16" t="str">
        <x:v>Etiyopya</x:v>
      </x:c>
      <x:c r="G886" s="17" t="str">
        <x:v>Erişilemedi</x:v>
      </x:c>
      <x:c r="H886" s="16" t="str">
        <x:v>Erişilemedi</x:v>
      </x:c>
      <x:c r="I886" s="18" t="n">
        <x:v>131</x:v>
      </x:c>
      <x:c r="J886" s="18" t="str">
        <x:v>Erişildi</x:v>
      </x:c>
      <x:c r="K886" s="18" t="str">
        <x:f>IF(AND(ISNUMBER(G886),ISNUMBER(I886)),I886/G886*1000,"Erişilemedi")</x:f>
        <x:v>Erişilemedi</x:v>
      </x:c>
      <x:c r="L886" s="16" t="str">
        <x:v>Belirsiz</x:v>
      </x:c>
      <x:c r="M886" s="16" t="str">
        <x:v>Kahve ürünü</x:v>
      </x:c>
      <x:c r="N886" s="16" t="str">
        <x:v>Site haritası ürün sayfası</x:v>
      </x:c>
      <x:c r="O886" s="16" t="str">
        <x:v>Düşük</x:v>
      </x:c>
      <x:c r="P886" s="19" t="n">
        <x:v>46245</x:v>
      </x:c>
      <x:c r="Q886" s="20" t="str">
        <x:v>https://www.kahve.com/urun/moliendo-ethiopia-djimmah-yoresel-kahve</x:v>
      </x:c>
      <x:c r="R886" s="20" t="str">
        <x:v>Ürün kimliği korundu; eksik alanlar erişilemedi olarak işaretlenecek.</x:v>
      </x:c>
    </x:row>
    <x:row r="887" ht="40" customHeight="1">
      <x:c r="A887" s="16" t="str">
        <x:v>Kahve.com / Moliendo</x:v>
      </x:c>
      <x:c r="B887" s="16" t="str"/>
      <x:c r="C887" s="16" t="str">
        <x:v>Doğrulandı</x:v>
      </x:c>
      <x:c r="D887" s="16" t="str">
        <x:v>Ürün kaydı</x:v>
      </x:c>
      <x:c r="E887" s="16" t="str">
        <x:v>Moliendo Ethiopia Harrar Yöresel Kahve</x:v>
      </x:c>
      <x:c r="F887" s="16" t="str">
        <x:v>Etiyopya</x:v>
      </x:c>
      <x:c r="G887" s="17" t="str">
        <x:v>Erişilemedi</x:v>
      </x:c>
      <x:c r="H887" s="16" t="str">
        <x:v>Erişilemedi</x:v>
      </x:c>
      <x:c r="I887" s="18" t="n">
        <x:v>131</x:v>
      </x:c>
      <x:c r="J887" s="18" t="str">
        <x:v>Erişildi</x:v>
      </x:c>
      <x:c r="K887" s="18" t="str">
        <x:f>IF(AND(ISNUMBER(G887),ISNUMBER(I887)),I887/G887*1000,"Erişilemedi")</x:f>
        <x:v>Erişilemedi</x:v>
      </x:c>
      <x:c r="L887" s="16" t="str">
        <x:v>Belirsiz</x:v>
      </x:c>
      <x:c r="M887" s="16" t="str">
        <x:v>Kahve ürünü</x:v>
      </x:c>
      <x:c r="N887" s="16" t="str">
        <x:v>Site haritası ürün sayfası</x:v>
      </x:c>
      <x:c r="O887" s="16" t="str">
        <x:v>Düşük</x:v>
      </x:c>
      <x:c r="P887" s="19" t="n">
        <x:v>46245</x:v>
      </x:c>
      <x:c r="Q887" s="20" t="str">
        <x:v>https://www.kahve.com/urun/moliendo-ethiopia-harrar-yoresel-kahve</x:v>
      </x:c>
      <x:c r="R887" s="20" t="str">
        <x:v>Ürün kimliği korundu; eksik alanlar erişilemedi olarak işaretlenecek.</x:v>
      </x:c>
    </x:row>
    <x:row r="888" ht="40" customHeight="1">
      <x:c r="A888" s="16" t="str">
        <x:v>Kahve.com / Moliendo</x:v>
      </x:c>
      <x:c r="B888" s="16" t="str"/>
      <x:c r="C888" s="16" t="str">
        <x:v>Doğrulandı</x:v>
      </x:c>
      <x:c r="D888" s="16" t="str">
        <x:v>Ürün kaydı</x:v>
      </x:c>
      <x:c r="E888" s="16" t="str">
        <x:v>Moliendo Ethiopia Sidamo Gr 2 Yıkanmış Yöresel Kahve</x:v>
      </x:c>
      <x:c r="F888" s="16" t="str">
        <x:v>Etiyopya</x:v>
      </x:c>
      <x:c r="G888" s="17" t="str">
        <x:v>Erişilemedi</x:v>
      </x:c>
      <x:c r="H888" s="16" t="str">
        <x:v>Erişilemedi</x:v>
      </x:c>
      <x:c r="I888" s="18" t="n">
        <x:v>131</x:v>
      </x:c>
      <x:c r="J888" s="18" t="str">
        <x:v>Erişildi</x:v>
      </x:c>
      <x:c r="K888" s="18" t="str">
        <x:f>IF(AND(ISNUMBER(G888),ISNUMBER(I888)),I888/G888*1000,"Erişilemedi")</x:f>
        <x:v>Erişilemedi</x:v>
      </x:c>
      <x:c r="L888" s="16" t="str">
        <x:v>Belirsiz</x:v>
      </x:c>
      <x:c r="M888" s="16" t="str">
        <x:v>Kahve ürünü</x:v>
      </x:c>
      <x:c r="N888" s="16" t="str">
        <x:v>Site haritası ürün sayfası</x:v>
      </x:c>
      <x:c r="O888" s="16" t="str">
        <x:v>Düşük</x:v>
      </x:c>
      <x:c r="P888" s="19" t="n">
        <x:v>46245</x:v>
      </x:c>
      <x:c r="Q888" s="20" t="str">
        <x:v>https://www.kahve.com/urun/moliendo-ethiopia-sidamo-gr-2-yikanmis-yoresel-kahve</x:v>
      </x:c>
      <x:c r="R888" s="20" t="str">
        <x:v>Ürün kimliği korundu; eksik alanlar erişilemedi olarak işaretlenecek.</x:v>
      </x:c>
    </x:row>
    <x:row r="889" ht="40" customHeight="1">
      <x:c r="A889" s="16" t="str">
        <x:v>Kahve.com / Moliendo</x:v>
      </x:c>
      <x:c r="B889" s="16" t="str"/>
      <x:c r="C889" s="16" t="str">
        <x:v>Doğrulandı</x:v>
      </x:c>
      <x:c r="D889" s="16" t="str">
        <x:v>Ürün kaydı</x:v>
      </x:c>
      <x:c r="E889" s="16" t="str">
        <x:v>Moliendo Ethiopia Sidamo Gr 4 Kuru İşleme Yöresel Kahve</x:v>
      </x:c>
      <x:c r="F889" s="16" t="str">
        <x:v>Etiyopya</x:v>
      </x:c>
      <x:c r="G889" s="17" t="str">
        <x:v>Erişilemedi</x:v>
      </x:c>
      <x:c r="H889" s="16" t="str">
        <x:v>Erişilemedi</x:v>
      </x:c>
      <x:c r="I889" s="18" t="n">
        <x:v>131</x:v>
      </x:c>
      <x:c r="J889" s="18" t="str">
        <x:v>Erişildi</x:v>
      </x:c>
      <x:c r="K889" s="18" t="str">
        <x:f>IF(AND(ISNUMBER(G889),ISNUMBER(I889)),I889/G889*1000,"Erişilemedi")</x:f>
        <x:v>Erişilemedi</x:v>
      </x:c>
      <x:c r="L889" s="16" t="str">
        <x:v>Belirsiz</x:v>
      </x:c>
      <x:c r="M889" s="16" t="str">
        <x:v>Kahve ürünü</x:v>
      </x:c>
      <x:c r="N889" s="16" t="str">
        <x:v>Site haritası ürün sayfası</x:v>
      </x:c>
      <x:c r="O889" s="16" t="str">
        <x:v>Düşük</x:v>
      </x:c>
      <x:c r="P889" s="19" t="n">
        <x:v>46245</x:v>
      </x:c>
      <x:c r="Q889" s="20" t="str">
        <x:v>https://www.kahve.com/urun/moliendo-ethiopia-sidamo-gr-4-kuru-isleme-yoresel-kahve</x:v>
      </x:c>
      <x:c r="R889" s="20" t="str">
        <x:v>Ürün kimliği korundu; eksik alanlar erişilemedi olarak işaretlenecek.</x:v>
      </x:c>
    </x:row>
    <x:row r="890" ht="40" customHeight="1">
      <x:c r="A890" s="16" t="str">
        <x:v>Kahve.com / Moliendo</x:v>
      </x:c>
      <x:c r="B890" s="16" t="str"/>
      <x:c r="C890" s="16" t="str">
        <x:v>Doğrulandı</x:v>
      </x:c>
      <x:c r="D890" s="16" t="str">
        <x:v>Ürün kaydı</x:v>
      </x:c>
      <x:c r="E890" s="16" t="str">
        <x:v>Moliendo Ethiopia Yirgacheffe Yöresel Kahve</x:v>
      </x:c>
      <x:c r="F890" s="16" t="str">
        <x:v>Etiyopya</x:v>
      </x:c>
      <x:c r="G890" s="17" t="str">
        <x:v>Erişilemedi</x:v>
      </x:c>
      <x:c r="H890" s="16" t="str">
        <x:v>Erişilemedi</x:v>
      </x:c>
      <x:c r="I890" s="18" t="n">
        <x:v>131</x:v>
      </x:c>
      <x:c r="J890" s="18" t="str">
        <x:v>Erişildi</x:v>
      </x:c>
      <x:c r="K890" s="18" t="str">
        <x:f>IF(AND(ISNUMBER(G890),ISNUMBER(I890)),I890/G890*1000,"Erişilemedi")</x:f>
        <x:v>Erişilemedi</x:v>
      </x:c>
      <x:c r="L890" s="16" t="str">
        <x:v>Belirsiz</x:v>
      </x:c>
      <x:c r="M890" s="16" t="str">
        <x:v>Kahve ürünü</x:v>
      </x:c>
      <x:c r="N890" s="16" t="str">
        <x:v>Site haritası ürün sayfası</x:v>
      </x:c>
      <x:c r="O890" s="16" t="str">
        <x:v>Düşük</x:v>
      </x:c>
      <x:c r="P890" s="19" t="n">
        <x:v>46245</x:v>
      </x:c>
      <x:c r="Q890" s="20" t="str">
        <x:v>https://www.kahve.com/urun/moliendo-ethiopia-yirgacheffe-yoresel-kahve</x:v>
      </x:c>
      <x:c r="R890" s="20" t="str">
        <x:v>Ürün kimliği korundu; eksik alanlar erişilemedi olarak işaretlenecek.</x:v>
      </x:c>
    </x:row>
    <x:row r="891" ht="40" customHeight="1">
      <x:c r="A891" s="16" t="str">
        <x:v>Kahve.com / Moliendo</x:v>
      </x:c>
      <x:c r="B891" s="16" t="str"/>
      <x:c r="C891" s="16" t="str">
        <x:v>Doğrulandı</x:v>
      </x:c>
      <x:c r="D891" s="16" t="str">
        <x:v>Ürün kaydı</x:v>
      </x:c>
      <x:c r="E891" s="16" t="str">
        <x:v>Moliendo Guatemala Antigua Yöresel Kahve</x:v>
      </x:c>
      <x:c r="F891" s="16" t="str">
        <x:v>Guatemala</x:v>
      </x:c>
      <x:c r="G891" s="17" t="str">
        <x:v>Erişilemedi</x:v>
      </x:c>
      <x:c r="H891" s="16" t="str">
        <x:v>Erişilemedi</x:v>
      </x:c>
      <x:c r="I891" s="18" t="n">
        <x:v>131</x:v>
      </x:c>
      <x:c r="J891" s="18" t="str">
        <x:v>Erişildi</x:v>
      </x:c>
      <x:c r="K891" s="18" t="str">
        <x:f>IF(AND(ISNUMBER(G891),ISNUMBER(I891)),I891/G891*1000,"Erişilemedi")</x:f>
        <x:v>Erişilemedi</x:v>
      </x:c>
      <x:c r="L891" s="16" t="str">
        <x:v>Belirsiz</x:v>
      </x:c>
      <x:c r="M891" s="16" t="str">
        <x:v>Kahve ürünü</x:v>
      </x:c>
      <x:c r="N891" s="16" t="str">
        <x:v>Site haritası ürün sayfası</x:v>
      </x:c>
      <x:c r="O891" s="16" t="str">
        <x:v>Düşük</x:v>
      </x:c>
      <x:c r="P891" s="19" t="n">
        <x:v>46245</x:v>
      </x:c>
      <x:c r="Q891" s="20" t="str">
        <x:v>https://www.kahve.com/urun/moliendo-guatemala-antigua-yoresel-kahve</x:v>
      </x:c>
      <x:c r="R891" s="20" t="str">
        <x:v>Ürün kimliği korundu; eksik alanlar erişilemedi olarak işaretlenecek.</x:v>
      </x:c>
    </x:row>
    <x:row r="892" ht="40" customHeight="1">
      <x:c r="A892" s="16" t="str">
        <x:v>Kahve.com / Moliendo</x:v>
      </x:c>
      <x:c r="B892" s="16" t="str"/>
      <x:c r="C892" s="16" t="str">
        <x:v>Doğrulandı</x:v>
      </x:c>
      <x:c r="D892" s="16" t="str">
        <x:v>Ürün kaydı</x:v>
      </x:c>
      <x:c r="E892" s="16" t="str">
        <x:v>Moliendo Hawaii Kona Prime Yöresel Kahve</x:v>
      </x:c>
      <x:c r="F892" s="16" t="str">
        <x:v>Menşe belirtilmemiş</x:v>
      </x:c>
      <x:c r="G892" s="17" t="str">
        <x:v>Erişilemedi</x:v>
      </x:c>
      <x:c r="H892" s="16" t="str">
        <x:v>Erişilemedi</x:v>
      </x:c>
      <x:c r="I892" s="18" t="n">
        <x:v>131</x:v>
      </x:c>
      <x:c r="J892" s="18" t="str">
        <x:v>Erişildi</x:v>
      </x:c>
      <x:c r="K892" s="18" t="str">
        <x:f>IF(AND(ISNUMBER(G892),ISNUMBER(I892)),I892/G892*1000,"Erişilemedi")</x:f>
        <x:v>Erişilemedi</x:v>
      </x:c>
      <x:c r="L892" s="16" t="str">
        <x:v>Belirsiz</x:v>
      </x:c>
      <x:c r="M892" s="16" t="str">
        <x:v>Kahve ürünü</x:v>
      </x:c>
      <x:c r="N892" s="16" t="str">
        <x:v>Site haritası ürün sayfası</x:v>
      </x:c>
      <x:c r="O892" s="16" t="str">
        <x:v>Düşük</x:v>
      </x:c>
      <x:c r="P892" s="19" t="n">
        <x:v>46245</x:v>
      </x:c>
      <x:c r="Q892" s="20" t="str">
        <x:v>https://www.kahve.com/urun/moliendo-hawaii-kona-prime-yoresel-kahve</x:v>
      </x:c>
      <x:c r="R892" s="20" t="str">
        <x:v>Ürün kimliği korundu; eksik alanlar erişilemedi olarak işaretlenecek.</x:v>
      </x:c>
    </x:row>
    <x:row r="893" ht="40" customHeight="1">
      <x:c r="A893" s="16" t="str">
        <x:v>Kahve.com / Moliendo</x:v>
      </x:c>
      <x:c r="B893" s="16" t="str"/>
      <x:c r="C893" s="16" t="str">
        <x:v>Doğrulandı</x:v>
      </x:c>
      <x:c r="D893" s="16" t="str">
        <x:v>Ürün kaydı</x:v>
      </x:c>
      <x:c r="E893" s="16" t="str">
        <x:v>Moliendo Honduras Finca Beatrice Micro-Lot Yöresel Kahve</x:v>
      </x:c>
      <x:c r="F893" s="16" t="str">
        <x:v>Honduras</x:v>
      </x:c>
      <x:c r="G893" s="17" t="str">
        <x:v>Erişilemedi</x:v>
      </x:c>
      <x:c r="H893" s="16" t="str">
        <x:v>Erişilemedi</x:v>
      </x:c>
      <x:c r="I893" s="18" t="n">
        <x:v>131</x:v>
      </x:c>
      <x:c r="J893" s="18" t="str">
        <x:v>Erişildi</x:v>
      </x:c>
      <x:c r="K893" s="18" t="str">
        <x:f>IF(AND(ISNUMBER(G893),ISNUMBER(I893)),I893/G893*1000,"Erişilemedi")</x:f>
        <x:v>Erişilemedi</x:v>
      </x:c>
      <x:c r="L893" s="16" t="str">
        <x:v>Belirsiz</x:v>
      </x:c>
      <x:c r="M893" s="16" t="str">
        <x:v>Kahve ürünü</x:v>
      </x:c>
      <x:c r="N893" s="16" t="str">
        <x:v>Site haritası ürün sayfası</x:v>
      </x:c>
      <x:c r="O893" s="16" t="str">
        <x:v>Düşük</x:v>
      </x:c>
      <x:c r="P893" s="19" t="n">
        <x:v>46245</x:v>
      </x:c>
      <x:c r="Q893" s="20" t="str">
        <x:v>https://www.kahve.com/urun/moliendo-honduras-finca-beatrice-micro-lot-yoresel-kahve</x:v>
      </x:c>
      <x:c r="R893" s="20" t="str">
        <x:v>Ürün kimliği korundu; eksik alanlar erişilemedi olarak işaretlenecek.</x:v>
      </x:c>
    </x:row>
    <x:row r="894" ht="40" customHeight="1">
      <x:c r="A894" s="16" t="str">
        <x:v>Kahve.com / Moliendo</x:v>
      </x:c>
      <x:c r="B894" s="16" t="str"/>
      <x:c r="C894" s="16" t="str">
        <x:v>Doğrulandı</x:v>
      </x:c>
      <x:c r="D894" s="16" t="str">
        <x:v>Ürün kaydı</x:v>
      </x:c>
      <x:c r="E894" s="16" t="str">
        <x:v>Moliendo Honduras Finca Cerro Azul Yöresel Kahve</x:v>
      </x:c>
      <x:c r="F894" s="16" t="str">
        <x:v>Honduras</x:v>
      </x:c>
      <x:c r="G894" s="17" t="str">
        <x:v>Erişilemedi</x:v>
      </x:c>
      <x:c r="H894" s="16" t="str">
        <x:v>Erişilemedi</x:v>
      </x:c>
      <x:c r="I894" s="18" t="n">
        <x:v>131</x:v>
      </x:c>
      <x:c r="J894" s="18" t="str">
        <x:v>Erişildi</x:v>
      </x:c>
      <x:c r="K894" s="18" t="str">
        <x:f>IF(AND(ISNUMBER(G894),ISNUMBER(I894)),I894/G894*1000,"Erişilemedi")</x:f>
        <x:v>Erişilemedi</x:v>
      </x:c>
      <x:c r="L894" s="16" t="str">
        <x:v>Belirsiz</x:v>
      </x:c>
      <x:c r="M894" s="16" t="str">
        <x:v>Kahve ürünü</x:v>
      </x:c>
      <x:c r="N894" s="16" t="str">
        <x:v>Site haritası ürün sayfası</x:v>
      </x:c>
      <x:c r="O894" s="16" t="str">
        <x:v>Düşük</x:v>
      </x:c>
      <x:c r="P894" s="19" t="n">
        <x:v>46245</x:v>
      </x:c>
      <x:c r="Q894" s="20" t="str">
        <x:v>https://www.kahve.com/urun/moliendo-honduras-finca-cerro-azul-yoresel-kahve</x:v>
      </x:c>
      <x:c r="R894" s="20" t="str">
        <x:v>Ürün kimliği korundu; eksik alanlar erişilemedi olarak işaretlenecek.</x:v>
      </x:c>
    </x:row>
    <x:row r="895" ht="40" customHeight="1">
      <x:c r="A895" s="16" t="str">
        <x:v>Kahve.com / Moliendo</x:v>
      </x:c>
      <x:c r="B895" s="16" t="str"/>
      <x:c r="C895" s="16" t="str">
        <x:v>Doğrulandı</x:v>
      </x:c>
      <x:c r="D895" s="16" t="str">
        <x:v>Ürün kaydı</x:v>
      </x:c>
      <x:c r="E895" s="16" t="str">
        <x:v>Moliendo Honduras Pacamara Finca Monte Cristo Yöresel Kahve</x:v>
      </x:c>
      <x:c r="F895" s="16" t="str">
        <x:v>Honduras</x:v>
      </x:c>
      <x:c r="G895" s="17" t="str">
        <x:v>Erişilemedi</x:v>
      </x:c>
      <x:c r="H895" s="16" t="str">
        <x:v>Erişilemedi</x:v>
      </x:c>
      <x:c r="I895" s="18" t="n">
        <x:v>131</x:v>
      </x:c>
      <x:c r="J895" s="18" t="str">
        <x:v>Erişildi</x:v>
      </x:c>
      <x:c r="K895" s="18" t="str">
        <x:f>IF(AND(ISNUMBER(G895),ISNUMBER(I895)),I895/G895*1000,"Erişilemedi")</x:f>
        <x:v>Erişilemedi</x:v>
      </x:c>
      <x:c r="L895" s="16" t="str">
        <x:v>Belirsiz</x:v>
      </x:c>
      <x:c r="M895" s="16" t="str">
        <x:v>Kahve ürünü</x:v>
      </x:c>
      <x:c r="N895" s="16" t="str">
        <x:v>Site haritası ürün sayfası</x:v>
      </x:c>
      <x:c r="O895" s="16" t="str">
        <x:v>Düşük</x:v>
      </x:c>
      <x:c r="P895" s="19" t="n">
        <x:v>46245</x:v>
      </x:c>
      <x:c r="Q895" s="20" t="str">
        <x:v>https://www.kahve.com/urun/moliendo-honduras-pacamara-finca-monte-cristo-yoresel-kahve</x:v>
      </x:c>
      <x:c r="R895" s="20" t="str">
        <x:v>Ürün kimliği korundu; eksik alanlar erişilemedi olarak işaretlenecek.</x:v>
      </x:c>
    </x:row>
    <x:row r="896" ht="40" customHeight="1">
      <x:c r="A896" s="16" t="str">
        <x:v>Kahve.com / Moliendo</x:v>
      </x:c>
      <x:c r="B896" s="16" t="str"/>
      <x:c r="C896" s="16" t="str">
        <x:v>Doğrulandı</x:v>
      </x:c>
      <x:c r="D896" s="16" t="str">
        <x:v>Ürün kaydı</x:v>
      </x:c>
      <x:c r="E896" s="16" t="str">
        <x:v>Moliendo Honduras San Marcos SHG Yöresel Kahve</x:v>
      </x:c>
      <x:c r="F896" s="16" t="str">
        <x:v>Honduras</x:v>
      </x:c>
      <x:c r="G896" s="17" t="str">
        <x:v>Erişilemedi</x:v>
      </x:c>
      <x:c r="H896" s="16" t="str">
        <x:v>Erişilemedi</x:v>
      </x:c>
      <x:c r="I896" s="18" t="n">
        <x:v>131</x:v>
      </x:c>
      <x:c r="J896" s="18" t="str">
        <x:v>Erişildi</x:v>
      </x:c>
      <x:c r="K896" s="18" t="str">
        <x:f>IF(AND(ISNUMBER(G896),ISNUMBER(I896)),I896/G896*1000,"Erişilemedi")</x:f>
        <x:v>Erişilemedi</x:v>
      </x:c>
      <x:c r="L896" s="16" t="str">
        <x:v>Belirsiz</x:v>
      </x:c>
      <x:c r="M896" s="16" t="str">
        <x:v>Kahve ürünü</x:v>
      </x:c>
      <x:c r="N896" s="16" t="str">
        <x:v>Site haritası ürün sayfası</x:v>
      </x:c>
      <x:c r="O896" s="16" t="str">
        <x:v>Düşük</x:v>
      </x:c>
      <x:c r="P896" s="19" t="n">
        <x:v>46245</x:v>
      </x:c>
      <x:c r="Q896" s="20" t="str">
        <x:v>https://www.kahve.com/urun/moliendo-honduras-san-marcos-shg-yoresel-kahve</x:v>
      </x:c>
      <x:c r="R896" s="20" t="str">
        <x:v>Ürün kimliği korundu; eksik alanlar erişilemedi olarak işaretlenecek.</x:v>
      </x:c>
    </x:row>
    <x:row r="897" ht="40" customHeight="1">
      <x:c r="A897" s="16" t="str">
        <x:v>Kahve.com / Moliendo</x:v>
      </x:c>
      <x:c r="B897" s="16" t="str"/>
      <x:c r="C897" s="16" t="str">
        <x:v>Doğrulandı</x:v>
      </x:c>
      <x:c r="D897" s="16" t="str">
        <x:v>Ürün kaydı</x:v>
      </x:c>
      <x:c r="E897" s="16" t="str">
        <x:v>Moliendo Honduras SHB Honey Micro-Lot Yöresel Kahve</x:v>
      </x:c>
      <x:c r="F897" s="16" t="str">
        <x:v>Honduras</x:v>
      </x:c>
      <x:c r="G897" s="17" t="str">
        <x:v>Erişilemedi</x:v>
      </x:c>
      <x:c r="H897" s="16" t="str">
        <x:v>Erişilemedi</x:v>
      </x:c>
      <x:c r="I897" s="18" t="n">
        <x:v>131</x:v>
      </x:c>
      <x:c r="J897" s="18" t="str">
        <x:v>Erişildi</x:v>
      </x:c>
      <x:c r="K897" s="18" t="str">
        <x:f>IF(AND(ISNUMBER(G897),ISNUMBER(I897)),I897/G897*1000,"Erişilemedi")</x:f>
        <x:v>Erişilemedi</x:v>
      </x:c>
      <x:c r="L897" s="16" t="str">
        <x:v>Belirsiz</x:v>
      </x:c>
      <x:c r="M897" s="16" t="str">
        <x:v>Kahve ürünü</x:v>
      </x:c>
      <x:c r="N897" s="16" t="str">
        <x:v>Site haritası ürün sayfası</x:v>
      </x:c>
      <x:c r="O897" s="16" t="str">
        <x:v>Düşük</x:v>
      </x:c>
      <x:c r="P897" s="19" t="n">
        <x:v>46245</x:v>
      </x:c>
      <x:c r="Q897" s="20" t="str">
        <x:v>https://www.kahve.com/urun/moliendo-honduras-shb-honey-micro-lot-yoresel-kahve</x:v>
      </x:c>
      <x:c r="R897" s="20" t="str">
        <x:v>Ürün kimliği korundu; eksik alanlar erişilemedi olarak işaretlenecek.</x:v>
      </x:c>
    </x:row>
    <x:row r="898" ht="40" customHeight="1">
      <x:c r="A898" s="16" t="str">
        <x:v>Kahve.com / Moliendo</x:v>
      </x:c>
      <x:c r="B898" s="16" t="str"/>
      <x:c r="C898" s="16" t="str">
        <x:v>Doğrulandı</x:v>
      </x:c>
      <x:c r="D898" s="16" t="str">
        <x:v>Ürün kaydı</x:v>
      </x:c>
      <x:c r="E898" s="16" t="str">
        <x:v>Moliendo Indonesia Java Pancoer Yöresel Kahve</x:v>
      </x:c>
      <x:c r="F898" s="16" t="str">
        <x:v>Endonezya</x:v>
      </x:c>
      <x:c r="G898" s="17" t="str">
        <x:v>Erişilemedi</x:v>
      </x:c>
      <x:c r="H898" s="16" t="str">
        <x:v>Erişilemedi</x:v>
      </x:c>
      <x:c r="I898" s="18" t="n">
        <x:v>131</x:v>
      </x:c>
      <x:c r="J898" s="18" t="str">
        <x:v>Erişildi</x:v>
      </x:c>
      <x:c r="K898" s="18" t="str">
        <x:f>IF(AND(ISNUMBER(G898),ISNUMBER(I898)),I898/G898*1000,"Erişilemedi")</x:f>
        <x:v>Erişilemedi</x:v>
      </x:c>
      <x:c r="L898" s="16" t="str">
        <x:v>Belirsiz</x:v>
      </x:c>
      <x:c r="M898" s="16" t="str">
        <x:v>Kahve ürünü</x:v>
      </x:c>
      <x:c r="N898" s="16" t="str">
        <x:v>Site haritası ürün sayfası</x:v>
      </x:c>
      <x:c r="O898" s="16" t="str">
        <x:v>Düşük</x:v>
      </x:c>
      <x:c r="P898" s="19" t="n">
        <x:v>46245</x:v>
      </x:c>
      <x:c r="Q898" s="20" t="str">
        <x:v>https://www.kahve.com/urun/moliendo-indonesia-java-pancoer-yoresel-kahve</x:v>
      </x:c>
      <x:c r="R898" s="20" t="str">
        <x:v>Ürün kimliği korundu; eksik alanlar erişilemedi olarak işaretlenecek.</x:v>
      </x:c>
    </x:row>
    <x:row r="899" ht="40" customHeight="1">
      <x:c r="A899" s="16" t="str">
        <x:v>Kahve.com / Moliendo</x:v>
      </x:c>
      <x:c r="B899" s="16" t="str"/>
      <x:c r="C899" s="16" t="str">
        <x:v>Doğrulandı</x:v>
      </x:c>
      <x:c r="D899" s="16" t="str">
        <x:v>Ürün kaydı</x:v>
      </x:c>
      <x:c r="E899" s="16" t="str">
        <x:v>Moliendo Mexico Esmeralda Yöresel Kahve</x:v>
      </x:c>
      <x:c r="F899" s="16" t="str">
        <x:v>Meksika</x:v>
      </x:c>
      <x:c r="G899" s="17" t="str">
        <x:v>Erişilemedi</x:v>
      </x:c>
      <x:c r="H899" s="16" t="str">
        <x:v>Erişilemedi</x:v>
      </x:c>
      <x:c r="I899" s="18" t="n">
        <x:v>131</x:v>
      </x:c>
      <x:c r="J899" s="18" t="str">
        <x:v>Erişildi</x:v>
      </x:c>
      <x:c r="K899" s="18" t="str">
        <x:f>IF(AND(ISNUMBER(G899),ISNUMBER(I899)),I899/G899*1000,"Erişilemedi")</x:f>
        <x:v>Erişilemedi</x:v>
      </x:c>
      <x:c r="L899" s="16" t="str">
        <x:v>Belirsiz</x:v>
      </x:c>
      <x:c r="M899" s="16" t="str">
        <x:v>Kahve ürünü</x:v>
      </x:c>
      <x:c r="N899" s="16" t="str">
        <x:v>Site haritası ürün sayfası</x:v>
      </x:c>
      <x:c r="O899" s="16" t="str">
        <x:v>Düşük</x:v>
      </x:c>
      <x:c r="P899" s="19" t="n">
        <x:v>46245</x:v>
      </x:c>
      <x:c r="Q899" s="20" t="str">
        <x:v>https://www.kahve.com/urun/moliendo-mexico-esmeralda-yoresel-kahve</x:v>
      </x:c>
      <x:c r="R899" s="20" t="str">
        <x:v>Ürün kimliği korundu; eksik alanlar erişilemedi olarak işaretlenecek.</x:v>
      </x:c>
    </x:row>
    <x:row r="900" ht="40" customHeight="1">
      <x:c r="A900" s="16" t="str">
        <x:v>Kahve.com / Moliendo</x:v>
      </x:c>
      <x:c r="B900" s="16" t="str"/>
      <x:c r="C900" s="16" t="str">
        <x:v>Doğrulandı</x:v>
      </x:c>
      <x:c r="D900" s="16" t="str">
        <x:v>Ürün kaydı</x:v>
      </x:c>
      <x:c r="E900" s="16" t="str">
        <x:v>Moliendo New Year Blend 250 g</x:v>
      </x:c>
      <x:c r="F900" s="16" t="str">
        <x:v>Harman – menşe belirtilmemiş</x:v>
      </x:c>
      <x:c r="G900" s="17" t="n">
        <x:v>250</x:v>
      </x:c>
      <x:c r="H900" s="16" t="str">
        <x:v>Erişildi</x:v>
      </x:c>
      <x:c r="I900" s="18" t="n">
        <x:v>131</x:v>
      </x:c>
      <x:c r="J900" s="18" t="str">
        <x:v>Erişildi</x:v>
      </x:c>
      <x:c r="K900" s="18" t="n">
        <x:f>IF(AND(ISNUMBER(G900),ISNUMBER(I900)),I900/G900*1000,"Erişilemedi")</x:f>
        <x:v>524</x:v>
      </x:c>
      <x:c r="L900" s="16" t="str">
        <x:v>Belirsiz</x:v>
      </x:c>
      <x:c r="M900" s="16" t="str">
        <x:v>Harman</x:v>
      </x:c>
      <x:c r="N900" s="16" t="str">
        <x:v>Site haritası ürün sayfası</x:v>
      </x:c>
      <x:c r="O900" s="16" t="str">
        <x:v>Orta</x:v>
      </x:c>
      <x:c r="P900" s="19" t="n">
        <x:v>46245</x:v>
      </x:c>
      <x:c r="Q900" s="20" t="str">
        <x:v>https://www.kahve.com/urun/moliendo-new-year-blend-250-g</x:v>
      </x:c>
      <x:c r="R900" s="20" t="str">
        <x:v>Ürün kimliği korundu; eksik alanlar erişilemedi olarak işaretlenecek.</x:v>
      </x:c>
    </x:row>
    <x:row r="901" ht="40" customHeight="1">
      <x:c r="A901" s="16" t="str">
        <x:v>Kahve.com / Moliendo</x:v>
      </x:c>
      <x:c r="B901" s="16" t="str"/>
      <x:c r="C901" s="16" t="str">
        <x:v>Doğrulandı</x:v>
      </x:c>
      <x:c r="D901" s="16" t="str">
        <x:v>Ürün kaydı</x:v>
      </x:c>
      <x:c r="E901" s="16" t="str">
        <x:v>Moliendo Papua New Guinea Sigri AA Yöresel Kahve</x:v>
      </x:c>
      <x:c r="F901" s="16" t="str">
        <x:v>Menşe belirtilmemiş</x:v>
      </x:c>
      <x:c r="G901" s="17" t="str">
        <x:v>Erişilemedi</x:v>
      </x:c>
      <x:c r="H901" s="16" t="str">
        <x:v>Erişilemedi</x:v>
      </x:c>
      <x:c r="I901" s="18" t="n">
        <x:v>131</x:v>
      </x:c>
      <x:c r="J901" s="18" t="str">
        <x:v>Erişildi</x:v>
      </x:c>
      <x:c r="K901" s="18" t="str">
        <x:f>IF(AND(ISNUMBER(G901),ISNUMBER(I901)),I901/G901*1000,"Erişilemedi")</x:f>
        <x:v>Erişilemedi</x:v>
      </x:c>
      <x:c r="L901" s="16" t="str">
        <x:v>Belirsiz</x:v>
      </x:c>
      <x:c r="M901" s="16" t="str">
        <x:v>Kahve ürünü</x:v>
      </x:c>
      <x:c r="N901" s="16" t="str">
        <x:v>Site haritası ürün sayfası</x:v>
      </x:c>
      <x:c r="O901" s="16" t="str">
        <x:v>Düşük</x:v>
      </x:c>
      <x:c r="P901" s="19" t="n">
        <x:v>46245</x:v>
      </x:c>
      <x:c r="Q901" s="20" t="str">
        <x:v>https://www.kahve.com/urun/moliendo-papua-new-guinea-sigri-aa-yoresel-kahve</x:v>
      </x:c>
      <x:c r="R901" s="20" t="str">
        <x:v>Ürün kimliği korundu; eksik alanlar erişilemedi olarak işaretlenecek.</x:v>
      </x:c>
    </x:row>
    <x:row r="902" ht="40" customHeight="1">
      <x:c r="A902" s="16" t="str">
        <x:v>Kahve.com / Moliendo</x:v>
      </x:c>
      <x:c r="B902" s="16" t="str"/>
      <x:c r="C902" s="16" t="str">
        <x:v>Doğrulandı</x:v>
      </x:c>
      <x:c r="D902" s="16" t="str">
        <x:v>Ürün kaydı</x:v>
      </x:c>
      <x:c r="E902" s="16" t="str">
        <x:v>Moliendo Peru Chanchamayo Yöresel Kahve</x:v>
      </x:c>
      <x:c r="F902" s="16" t="str">
        <x:v>Peru</x:v>
      </x:c>
      <x:c r="G902" s="17" t="str">
        <x:v>Erişilemedi</x:v>
      </x:c>
      <x:c r="H902" s="16" t="str">
        <x:v>Erişilemedi</x:v>
      </x:c>
      <x:c r="I902" s="18" t="n">
        <x:v>131</x:v>
      </x:c>
      <x:c r="J902" s="18" t="str">
        <x:v>Erişildi</x:v>
      </x:c>
      <x:c r="K902" s="18" t="str">
        <x:f>IF(AND(ISNUMBER(G902),ISNUMBER(I902)),I902/G902*1000,"Erişilemedi")</x:f>
        <x:v>Erişilemedi</x:v>
      </x:c>
      <x:c r="L902" s="16" t="str">
        <x:v>Belirsiz</x:v>
      </x:c>
      <x:c r="M902" s="16" t="str">
        <x:v>Kahve ürünü</x:v>
      </x:c>
      <x:c r="N902" s="16" t="str">
        <x:v>Site haritası ürün sayfası</x:v>
      </x:c>
      <x:c r="O902" s="16" t="str">
        <x:v>Düşük</x:v>
      </x:c>
      <x:c r="P902" s="19" t="n">
        <x:v>46245</x:v>
      </x:c>
      <x:c r="Q902" s="20" t="str">
        <x:v>https://www.kahve.com/urun/moliendo-peru-chanchamayo-yoresel-kahve</x:v>
      </x:c>
      <x:c r="R902" s="20" t="str">
        <x:v>Ürün kimliği korundu; eksik alanlar erişilemedi olarak işaretlenecek.</x:v>
      </x:c>
    </x:row>
    <x:row r="903" ht="40" customHeight="1">
      <x:c r="A903" s="16" t="str">
        <x:v>Kahve.com / Moliendo</x:v>
      </x:c>
      <x:c r="B903" s="16" t="str"/>
      <x:c r="C903" s="16" t="str">
        <x:v>Doğrulandı</x:v>
      </x:c>
      <x:c r="D903" s="16" t="str">
        <x:v>Ürün kaydı</x:v>
      </x:c>
      <x:c r="E903" s="16" t="str">
        <x:v>Moliendo Positano Espresso Blend Kahve</x:v>
      </x:c>
      <x:c r="F903" s="16" t="str">
        <x:v>Harman – menşe belirtilmemiş</x:v>
      </x:c>
      <x:c r="G903" s="17" t="str">
        <x:v>Erişilemedi</x:v>
      </x:c>
      <x:c r="H903" s="16" t="str">
        <x:v>Erişilemedi</x:v>
      </x:c>
      <x:c r="I903" s="18" t="n">
        <x:v>131</x:v>
      </x:c>
      <x:c r="J903" s="18" t="str">
        <x:v>Erişildi</x:v>
      </x:c>
      <x:c r="K903" s="18" t="str">
        <x:f>IF(AND(ISNUMBER(G903),ISNUMBER(I903)),I903/G903*1000,"Erişilemedi")</x:f>
        <x:v>Erişilemedi</x:v>
      </x:c>
      <x:c r="L903" s="16" t="str">
        <x:v>Belirsiz</x:v>
      </x:c>
      <x:c r="M903" s="16" t="str">
        <x:v>Harman</x:v>
      </x:c>
      <x:c r="N903" s="16" t="str">
        <x:v>Site haritası ürün sayfası</x:v>
      </x:c>
      <x:c r="O903" s="16" t="str">
        <x:v>Düşük</x:v>
      </x:c>
      <x:c r="P903" s="19" t="n">
        <x:v>46245</x:v>
      </x:c>
      <x:c r="Q903" s="20" t="str">
        <x:v>https://www.kahve.com/urun/moliendo-positano-espresso-blend-kahve</x:v>
      </x:c>
      <x:c r="R903" s="20" t="str">
        <x:v>Ürün kimliği korundu; eksik alanlar erişilemedi olarak işaretlenecek.</x:v>
      </x:c>
    </x:row>
    <x:row r="904" ht="40" customHeight="1">
      <x:c r="A904" s="16" t="str">
        <x:v>Kahve.com / Moliendo</x:v>
      </x:c>
      <x:c r="B904" s="16" t="str"/>
      <x:c r="C904" s="16" t="str">
        <x:v>Doğrulandı</x:v>
      </x:c>
      <x:c r="D904" s="16" t="str">
        <x:v>Ürün kaydı</x:v>
      </x:c>
      <x:c r="E904" s="16" t="str">
        <x:v>Moliendo Salerno Espresso Blend Kahve</x:v>
      </x:c>
      <x:c r="F904" s="16" t="str">
        <x:v>Harman – menşe belirtilmemiş</x:v>
      </x:c>
      <x:c r="G904" s="17" t="str">
        <x:v>Erişilemedi</x:v>
      </x:c>
      <x:c r="H904" s="16" t="str">
        <x:v>Erişilemedi</x:v>
      </x:c>
      <x:c r="I904" s="18" t="n">
        <x:v>131</x:v>
      </x:c>
      <x:c r="J904" s="18" t="str">
        <x:v>Erişildi</x:v>
      </x:c>
      <x:c r="K904" s="18" t="str">
        <x:f>IF(AND(ISNUMBER(G904),ISNUMBER(I904)),I904/G904*1000,"Erişilemedi")</x:f>
        <x:v>Erişilemedi</x:v>
      </x:c>
      <x:c r="L904" s="16" t="str">
        <x:v>Belirsiz</x:v>
      </x:c>
      <x:c r="M904" s="16" t="str">
        <x:v>Harman</x:v>
      </x:c>
      <x:c r="N904" s="16" t="str">
        <x:v>Site haritası ürün sayfası</x:v>
      </x:c>
      <x:c r="O904" s="16" t="str">
        <x:v>Düşük</x:v>
      </x:c>
      <x:c r="P904" s="19" t="n">
        <x:v>46245</x:v>
      </x:c>
      <x:c r="Q904" s="20" t="str">
        <x:v>https://www.kahve.com/urun/moliendo-salerno-espresso-blend-kahve</x:v>
      </x:c>
      <x:c r="R904" s="20" t="str">
        <x:v>Ürün kimliği korundu; eksik alanlar erişilemedi olarak işaretlenecek.</x:v>
      </x:c>
    </x:row>
    <x:row r="905" ht="40" customHeight="1">
      <x:c r="A905" s="16" t="str">
        <x:v>Kahve.com / Moliendo</x:v>
      </x:c>
      <x:c r="B905" s="16" t="str"/>
      <x:c r="C905" s="16" t="str">
        <x:v>Doğrulandı</x:v>
      </x:c>
      <x:c r="D905" s="16" t="str">
        <x:v>Ürün kaydı</x:v>
      </x:c>
      <x:c r="E905" s="16" t="str">
        <x:v>Moliendo Yemen Mocha Yöresel Kahve</x:v>
      </x:c>
      <x:c r="F905" s="16" t="str">
        <x:v>Yemen</x:v>
      </x:c>
      <x:c r="G905" s="17" t="str">
        <x:v>Erişilemedi</x:v>
      </x:c>
      <x:c r="H905" s="16" t="str">
        <x:v>Erişilemedi</x:v>
      </x:c>
      <x:c r="I905" s="18" t="n">
        <x:v>131</x:v>
      </x:c>
      <x:c r="J905" s="18" t="str">
        <x:v>Erişildi</x:v>
      </x:c>
      <x:c r="K905" s="18" t="str">
        <x:f>IF(AND(ISNUMBER(G905),ISNUMBER(I905)),I905/G905*1000,"Erişilemedi")</x:f>
        <x:v>Erişilemedi</x:v>
      </x:c>
      <x:c r="L905" s="16" t="str">
        <x:v>Belirsiz</x:v>
      </x:c>
      <x:c r="M905" s="16" t="str">
        <x:v>Kahve ürünü</x:v>
      </x:c>
      <x:c r="N905" s="16" t="str">
        <x:v>Site haritası ürün sayfası</x:v>
      </x:c>
      <x:c r="O905" s="16" t="str">
        <x:v>Düşük</x:v>
      </x:c>
      <x:c r="P905" s="19" t="n">
        <x:v>46245</x:v>
      </x:c>
      <x:c r="Q905" s="20" t="str">
        <x:v>https://www.kahve.com/urun/moliendo-yemen-mocha-yoresel-kahve</x:v>
      </x:c>
      <x:c r="R905" s="20" t="str">
        <x:v>Ürün kimliği korundu; eksik alanlar erişilemedi olarak işaretlenecek.</x:v>
      </x:c>
    </x:row>
    <x:row r="906" ht="40" customHeight="1">
      <x:c r="A906" s="16" t="str">
        <x:v>Kakule Kahve</x:v>
      </x:c>
      <x:c r="B906" s="16" t="str">
        <x:v>Ankara</x:v>
      </x:c>
      <x:c r="C906" s="16" t="str">
        <x:v>Kısmi doğrulama</x:v>
      </x:c>
      <x:c r="D906" s="16" t="str">
        <x:v>Katalog takip kaydı</x:v>
      </x:c>
      <x:c r="E906" s="16" t="str">
        <x:v>Ürün kataloğu — ayrıntılı ürün verisine erişilemedi</x:v>
      </x:c>
      <x:c r="F906" s="16" t="str">
        <x:v>Erişilemedi</x:v>
      </x:c>
      <x:c r="G906" s="17" t="str">
        <x:v>Erişilemedi</x:v>
      </x:c>
      <x:c r="H906" s="16" t="str">
        <x:v>Erişilemedi</x:v>
      </x:c>
      <x:c r="I906" s="18" t="str">
        <x:v>Erişilemedi</x:v>
      </x:c>
      <x:c r="J906" s="18" t="str">
        <x:v>Erişilemedi</x:v>
      </x:c>
      <x:c r="K906" s="18" t="str">
        <x:f>IF(AND(ISNUMBER(G906),ISNUMBER(I906)),I906/G906*1000,"Erişilemedi")</x:f>
        <x:v>Erişilemedi</x:v>
      </x:c>
      <x:c r="L906" s="16" t="str">
        <x:v>Erişilemedi</x:v>
      </x:c>
      <x:c r="M906" s="16" t="str">
        <x:v>Katalog/takip kaydı</x:v>
      </x:c>
      <x:c r="N906" s="16" t="str">
        <x:v>Instagram veya mevcut kaynak</x:v>
      </x:c>
      <x:c r="O906" s="16" t="str">
        <x:v>Takip gerekli</x:v>
      </x:c>
      <x:c r="P906" s="19" t="n">
        <x:v>46245</x:v>
      </x:c>
      <x:c r="Q906" s="20" t="str">
        <x:v>Erişilemedi</x:v>
      </x:c>
      <x:c r="R906" s="20" t="str">
        <x:v>Ürün adı, gramaj ve fiyat birlikte çıkarılamadı. Bağlantı manuel inceleme için korundu.</x:v>
      </x:c>
    </x:row>
    <x:row r="907" ht="40" customHeight="1">
      <x:c r="A907" s="16" t="str">
        <x:v>Kava Coffee</x:v>
      </x:c>
      <x:c r="B907" s="16" t="str">
        <x:v>İstanbul</x:v>
      </x:c>
      <x:c r="C907" s="16" t="str">
        <x:v>Kısmi doğrulama</x:v>
      </x:c>
      <x:c r="D907" s="16" t="str">
        <x:v>Katalog takip kaydı</x:v>
      </x:c>
      <x:c r="E907" s="16" t="str">
        <x:v>Ürün kataloğu — ayrıntılı ürün verisine erişilemedi</x:v>
      </x:c>
      <x:c r="F907" s="16" t="str">
        <x:v>Erişilemedi</x:v>
      </x:c>
      <x:c r="G907" s="17" t="str">
        <x:v>Erişilemedi</x:v>
      </x:c>
      <x:c r="H907" s="16" t="str">
        <x:v>Erişilemedi</x:v>
      </x:c>
      <x:c r="I907" s="18" t="str">
        <x:v>Erişilemedi</x:v>
      </x:c>
      <x:c r="J907" s="18" t="str">
        <x:v>Erişilemedi</x:v>
      </x:c>
      <x:c r="K907" s="18" t="str">
        <x:f>IF(AND(ISNUMBER(G907),ISNUMBER(I907)),I907/G907*1000,"Erişilemedi")</x:f>
        <x:v>Erişilemedi</x:v>
      </x:c>
      <x:c r="L907" s="16" t="str">
        <x:v>Erişilemedi</x:v>
      </x:c>
      <x:c r="M907" s="16" t="str">
        <x:v>Katalog/takip kaydı</x:v>
      </x:c>
      <x:c r="N907" s="16" t="str">
        <x:v>Instagram veya mevcut kaynak</x:v>
      </x:c>
      <x:c r="O907" s="16" t="str">
        <x:v>Takip gerekli</x:v>
      </x:c>
      <x:c r="P907" s="19" t="n">
        <x:v>46245</x:v>
      </x:c>
      <x:c r="Q907" s="20" t="str">
        <x:v>Erişilemedi</x:v>
      </x:c>
      <x:c r="R907" s="20" t="str">
        <x:v>Ürün adı, gramaj ve fiyat birlikte çıkarılamadı. Bağlantı manuel inceleme için korundu.</x:v>
      </x:c>
    </x:row>
    <x:row r="908" ht="40" customHeight="1">
      <x:c r="A908" s="16" t="str">
        <x:v>Keçi Coffee Roastery</x:v>
      </x:c>
      <x:c r="B908" s="16" t="str">
        <x:v>Eskişehir</x:v>
      </x:c>
      <x:c r="C908" s="16" t="str">
        <x:v>Kısmi doğrulama</x:v>
      </x:c>
      <x:c r="D908" s="16" t="str">
        <x:v>Katalog takip kaydı</x:v>
      </x:c>
      <x:c r="E908" s="16" t="str">
        <x:v>Ürün kataloğu — ayrıntılı ürün verisine erişilemedi</x:v>
      </x:c>
      <x:c r="F908" s="16" t="str">
        <x:v>Erişilemedi</x:v>
      </x:c>
      <x:c r="G908" s="17" t="str">
        <x:v>Erişilemedi</x:v>
      </x:c>
      <x:c r="H908" s="16" t="str">
        <x:v>Erişilemedi</x:v>
      </x:c>
      <x:c r="I908" s="18" t="str">
        <x:v>Erişilemedi</x:v>
      </x:c>
      <x:c r="J908" s="18" t="str">
        <x:v>Erişilemedi</x:v>
      </x:c>
      <x:c r="K908" s="18" t="str">
        <x:f>IF(AND(ISNUMBER(G908),ISNUMBER(I908)),I908/G908*1000,"Erişilemedi")</x:f>
        <x:v>Erişilemedi</x:v>
      </x:c>
      <x:c r="L908" s="16" t="str">
        <x:v>Erişilemedi</x:v>
      </x:c>
      <x:c r="M908" s="16" t="str">
        <x:v>Katalog/takip kaydı</x:v>
      </x:c>
      <x:c r="N908" s="16" t="str">
        <x:v>Instagram veya mevcut kaynak</x:v>
      </x:c>
      <x:c r="O908" s="16" t="str">
        <x:v>Takip gerekli</x:v>
      </x:c>
      <x:c r="P908" s="19" t="n">
        <x:v>46245</x:v>
      </x:c>
      <x:c r="Q908" s="20" t="str">
        <x:v>Erişilemedi</x:v>
      </x:c>
      <x:c r="R908" s="20" t="str">
        <x:v>Ürün adı, gramaj ve fiyat birlikte çıkarılamadı. Bağlantı manuel inceleme için korundu.</x:v>
      </x:c>
    </x:row>
    <x:row r="909" ht="40" customHeight="1">
      <x:c r="A909" s="16" t="str">
        <x:v>Keobs Coffee Roastery</x:v>
      </x:c>
      <x:c r="B909" s="16" t="str">
        <x:v>İstanbul</x:v>
      </x:c>
      <x:c r="C909" s="16" t="str">
        <x:v>Doğrulandı</x:v>
      </x:c>
      <x:c r="D909" s="16" t="str">
        <x:v>Ürün kaydı</x:v>
      </x:c>
      <x:c r="E909" s="16" t="str">
        <x:v>Brezilya · Mogiana</x:v>
      </x:c>
      <x:c r="F909" s="16" t="str">
        <x:v>Brezilya</x:v>
      </x:c>
      <x:c r="G909" s="17" t="str">
        <x:v>Erişilemedi</x:v>
      </x:c>
      <x:c r="H909" s="16" t="str">
        <x:v>Erişilemedi</x:v>
      </x:c>
      <x:c r="I909" s="18" t="n">
        <x:v>400</x:v>
      </x:c>
      <x:c r="J909" s="18" t="str">
        <x:v>Erişildi</x:v>
      </x:c>
      <x:c r="K909" s="18" t="str">
        <x:f>IF(AND(ISNUMBER(G909),ISNUMBER(I909)),I909/G909*1000,"Erişilemedi")</x:f>
        <x:v>Erişilemedi</x:v>
      </x:c>
      <x:c r="L909" s="16" t="str">
        <x:v>Belirsiz</x:v>
      </x:c>
      <x:c r="M909" s="16" t="str">
        <x:v>Kahve ürünü</x:v>
      </x:c>
      <x:c r="N909" s="16" t="str">
        <x:v>Site haritası ürün sayfası</x:v>
      </x:c>
      <x:c r="O909" s="16" t="str">
        <x:v>Düşük</x:v>
      </x:c>
      <x:c r="P909" s="19" t="n">
        <x:v>46245</x:v>
      </x:c>
      <x:c r="Q909" s="20" t="str">
        <x:v>https://keobs.com.tr/urun/brezilya-mogiana</x:v>
      </x:c>
      <x:c r="R909" s="20" t="str">
        <x:v>Ürün kimliği korundu; eksik alanlar erişilemedi olarak işaretlenecek.</x:v>
      </x:c>
    </x:row>
    <x:row r="910" ht="40" customHeight="1">
      <x:c r="A910" s="16" t="str">
        <x:v>Keobs Coffee Roastery</x:v>
      </x:c>
      <x:c r="B910" s="16" t="str">
        <x:v>İstanbul</x:v>
      </x:c>
      <x:c r="C910" s="16" t="str">
        <x:v>Doğrulandı</x:v>
      </x:c>
      <x:c r="D910" s="16" t="str">
        <x:v>Ürün kaydı</x:v>
      </x:c>
      <x:c r="E910" s="16" t="str">
        <x:v>Cold Brew: Yaz Aylarının Kahvesi</x:v>
      </x:c>
      <x:c r="F910" s="16" t="str">
        <x:v>Menşe belirtilmemiş</x:v>
      </x:c>
      <x:c r="G910" s="17" t="str">
        <x:v>Erişilemedi</x:v>
      </x:c>
      <x:c r="H910" s="16" t="str">
        <x:v>Erişilemedi</x:v>
      </x:c>
      <x:c r="I910" s="18" t="str">
        <x:v>Erişilemedi</x:v>
      </x:c>
      <x:c r="J910" s="18" t="str">
        <x:v>Erişilemedi</x:v>
      </x:c>
      <x:c r="K910" s="18" t="str">
        <x:f>IF(AND(ISNUMBER(G910),ISNUMBER(I910)),I910/G910*1000,"Erişilemedi")</x:f>
        <x:v>Erişilemedi</x:v>
      </x:c>
      <x:c r="L910" s="16" t="str">
        <x:v>Belirsiz</x:v>
      </x:c>
      <x:c r="M910" s="16" t="str">
        <x:v>Kahve ürünü</x:v>
      </x:c>
      <x:c r="N910" s="16" t="str">
        <x:v>Site haritası ürün sayfası</x:v>
      </x:c>
      <x:c r="O910" s="16" t="str">
        <x:v>Düşük</x:v>
      </x:c>
      <x:c r="P910" s="19" t="n">
        <x:v>46245</x:v>
      </x:c>
      <x:c r="Q910" s="20" t="str">
        <x:v>https://keobs.com.tr/blog/cold-brew-yaz-aylarinin-kahvesi</x:v>
      </x:c>
      <x:c r="R910" s="20" t="str">
        <x:v>Ürün kimliği korundu; eksik alanlar erişilemedi olarak işaretlenecek.</x:v>
      </x:c>
    </x:row>
    <x:row r="911" ht="40" customHeight="1">
      <x:c r="A911" s="16" t="str">
        <x:v>Keobs Coffee Roastery</x:v>
      </x:c>
      <x:c r="B911" s="16" t="str">
        <x:v>İstanbul</x:v>
      </x:c>
      <x:c r="C911" s="16" t="str">
        <x:v>Doğrulandı</x:v>
      </x:c>
      <x:c r="D911" s="16" t="str">
        <x:v>Ürün kaydı</x:v>
      </x:c>
      <x:c r="E911" s="16" t="str">
        <x:v>Çekirdeği Saklamanın Doğru Yolu</x:v>
      </x:c>
      <x:c r="F911" s="16" t="str">
        <x:v>Menşe belirtilmemiş</x:v>
      </x:c>
      <x:c r="G911" s="17" t="str">
        <x:v>Erişilemedi</x:v>
      </x:c>
      <x:c r="H911" s="16" t="str">
        <x:v>Erişilemedi</x:v>
      </x:c>
      <x:c r="I911" s="18" t="str">
        <x:v>Erişilemedi</x:v>
      </x:c>
      <x:c r="J911" s="18" t="str">
        <x:v>Erişilemedi</x:v>
      </x:c>
      <x:c r="K911" s="18" t="str">
        <x:f>IF(AND(ISNUMBER(G911),ISNUMBER(I911)),I911/G911*1000,"Erişilemedi")</x:f>
        <x:v>Erişilemedi</x:v>
      </x:c>
      <x:c r="L911" s="16" t="str">
        <x:v>Belirsiz</x:v>
      </x:c>
      <x:c r="M911" s="16" t="str">
        <x:v>Kahve ürünü</x:v>
      </x:c>
      <x:c r="N911" s="16" t="str">
        <x:v>Site haritası ürün sayfası</x:v>
      </x:c>
      <x:c r="O911" s="16" t="str">
        <x:v>Düşük</x:v>
      </x:c>
      <x:c r="P911" s="19" t="n">
        <x:v>46245</x:v>
      </x:c>
      <x:c r="Q911" s="20" t="str">
        <x:v>https://keobs.com.tr/blog/kahve-saklama-tazeligi-korumak</x:v>
      </x:c>
      <x:c r="R911" s="20" t="str">
        <x:v>Ürün kimliği korundu; eksik alanlar erişilemedi olarak işaretlenecek.</x:v>
      </x:c>
    </x:row>
    <x:row r="912" ht="40" customHeight="1">
      <x:c r="A912" s="16" t="str">
        <x:v>Keobs Coffee Roastery</x:v>
      </x:c>
      <x:c r="B912" s="16" t="str">
        <x:v>İstanbul</x:v>
      </x:c>
      <x:c r="C912" s="16" t="str">
        <x:v>Doğrulandı</x:v>
      </x:c>
      <x:c r="D912" s="16" t="str">
        <x:v>Ürün kaydı</x:v>
      </x:c>
      <x:c r="E912" s="16" t="str">
        <x:v>El Salvador · Shasta EP</x:v>
      </x:c>
      <x:c r="F912" s="16" t="str">
        <x:v>El Salvador</x:v>
      </x:c>
      <x:c r="G912" s="17" t="str">
        <x:v>Erişilemedi</x:v>
      </x:c>
      <x:c r="H912" s="16" t="str">
        <x:v>Erişilemedi</x:v>
      </x:c>
      <x:c r="I912" s="18" t="n">
        <x:v>430</x:v>
      </x:c>
      <x:c r="J912" s="18" t="str">
        <x:v>Erişildi</x:v>
      </x:c>
      <x:c r="K912" s="18" t="str">
        <x:f>IF(AND(ISNUMBER(G912),ISNUMBER(I912)),I912/G912*1000,"Erişilemedi")</x:f>
        <x:v>Erişilemedi</x:v>
      </x:c>
      <x:c r="L912" s="16" t="str">
        <x:v>Belirsiz</x:v>
      </x:c>
      <x:c r="M912" s="16" t="str">
        <x:v>Kahve ürünü</x:v>
      </x:c>
      <x:c r="N912" s="16" t="str">
        <x:v>Site haritası ürün sayfası</x:v>
      </x:c>
      <x:c r="O912" s="16" t="str">
        <x:v>Düşük</x:v>
      </x:c>
      <x:c r="P912" s="19" t="n">
        <x:v>46245</x:v>
      </x:c>
      <x:c r="Q912" s="20" t="str">
        <x:v>https://keobs.com.tr/urun/el-salvador-shasta-ep</x:v>
      </x:c>
      <x:c r="R912" s="20" t="str">
        <x:v>Ürün kimliği korundu; eksik alanlar erişilemedi olarak işaretlenecek.</x:v>
      </x:c>
    </x:row>
    <x:row r="913" ht="40" customHeight="1">
      <x:c r="A913" s="16" t="str">
        <x:v>Keobs Coffee Roastery</x:v>
      </x:c>
      <x:c r="B913" s="16" t="str">
        <x:v>İstanbul</x:v>
      </x:c>
      <x:c r="C913" s="16" t="str">
        <x:v>Doğrulandı</x:v>
      </x:c>
      <x:c r="D913" s="16" t="str">
        <x:v>Ürün kaydı</x:v>
      </x:c>
      <x:c r="E913" s="16" t="str">
        <x:v>Etiyopya · Sidamo</x:v>
      </x:c>
      <x:c r="F913" s="16" t="str">
        <x:v>Etiyopya</x:v>
      </x:c>
      <x:c r="G913" s="17" t="str">
        <x:v>Erişilemedi</x:v>
      </x:c>
      <x:c r="H913" s="16" t="str">
        <x:v>Erişilemedi</x:v>
      </x:c>
      <x:c r="I913" s="18" t="n">
        <x:v>490</x:v>
      </x:c>
      <x:c r="J913" s="18" t="str">
        <x:v>Erişildi</x:v>
      </x:c>
      <x:c r="K913" s="18" t="str">
        <x:f>IF(AND(ISNUMBER(G913),ISNUMBER(I913)),I913/G913*1000,"Erişilemedi")</x:f>
        <x:v>Erişilemedi</x:v>
      </x:c>
      <x:c r="L913" s="16" t="str">
        <x:v>Belirsiz</x:v>
      </x:c>
      <x:c r="M913" s="16" t="str">
        <x:v>Kahve ürünü</x:v>
      </x:c>
      <x:c r="N913" s="16" t="str">
        <x:v>Site haritası ürün sayfası</x:v>
      </x:c>
      <x:c r="O913" s="16" t="str">
        <x:v>Düşük</x:v>
      </x:c>
      <x:c r="P913" s="19" t="n">
        <x:v>46245</x:v>
      </x:c>
      <x:c r="Q913" s="20" t="str">
        <x:v>https://keobs.com.tr/urun/etiyopya-sidamo</x:v>
      </x:c>
      <x:c r="R913" s="20" t="str">
        <x:v>Ürün kimliği korundu; eksik alanlar erişilemedi olarak işaretlenecek.</x:v>
      </x:c>
    </x:row>
    <x:row r="914" ht="40" customHeight="1">
      <x:c r="A914" s="16" t="str">
        <x:v>Keobs Coffee Roastery</x:v>
      </x:c>
      <x:c r="B914" s="16" t="str">
        <x:v>İstanbul</x:v>
      </x:c>
      <x:c r="C914" s="16" t="str">
        <x:v>Doğrulandı</x:v>
      </x:c>
      <x:c r="D914" s="16" t="str">
        <x:v>Ürün kaydı</x:v>
      </x:c>
      <x:c r="E914" s="16" t="str">
        <x:v>Etiyopya Sidamo · Specialty</x:v>
      </x:c>
      <x:c r="F914" s="16" t="str">
        <x:v>Etiyopya</x:v>
      </x:c>
      <x:c r="G914" s="17" t="str">
        <x:v>Erişilemedi</x:v>
      </x:c>
      <x:c r="H914" s="16" t="str">
        <x:v>Erişilemedi</x:v>
      </x:c>
      <x:c r="I914" s="18" t="n">
        <x:v>490</x:v>
      </x:c>
      <x:c r="J914" s="18" t="str">
        <x:v>Erişildi</x:v>
      </x:c>
      <x:c r="K914" s="18" t="str">
        <x:f>IF(AND(ISNUMBER(G914),ISNUMBER(I914)),I914/G914*1000,"Erişilemedi")</x:f>
        <x:v>Erişilemedi</x:v>
      </x:c>
      <x:c r="L914" s="16" t="str">
        <x:v>Belirsiz</x:v>
      </x:c>
      <x:c r="M914" s="16" t="str">
        <x:v>Kahve ürünü</x:v>
      </x:c>
      <x:c r="N914" s="16" t="str">
        <x:v>Site haritası ürün sayfası</x:v>
      </x:c>
      <x:c r="O914" s="16" t="str">
        <x:v>Düşük</x:v>
      </x:c>
      <x:c r="P914" s="19" t="n">
        <x:v>46245</x:v>
      </x:c>
      <x:c r="Q914" s="20" t="str">
        <x:v>https://keobs.com.tr/urun/etiyopya-sidamo-specialty</x:v>
      </x:c>
      <x:c r="R914" s="20" t="str">
        <x:v>Ürün kimliği korundu; eksik alanlar erişilemedi olarak işaretlenecek.</x:v>
      </x:c>
    </x:row>
    <x:row r="915" ht="40" customHeight="1">
      <x:c r="A915" s="16" t="str">
        <x:v>Keobs Coffee Roastery</x:v>
      </x:c>
      <x:c r="B915" s="16" t="str">
        <x:v>İstanbul</x:v>
      </x:c>
      <x:c r="C915" s="16" t="str">
        <x:v>Doğrulandı</x:v>
      </x:c>
      <x:c r="D915" s="16" t="str">
        <x:v>Ürün kaydı</x:v>
      </x:c>
      <x:c r="E915" s="16" t="str">
        <x:v>Filtre Blend</x:v>
      </x:c>
      <x:c r="F915" s="16" t="str">
        <x:v>Harman – menşe belirtilmemiş</x:v>
      </x:c>
      <x:c r="G915" s="17" t="str">
        <x:v>Erişilemedi</x:v>
      </x:c>
      <x:c r="H915" s="16" t="str">
        <x:v>Erişilemedi</x:v>
      </x:c>
      <x:c r="I915" s="18" t="n">
        <x:v>350</x:v>
      </x:c>
      <x:c r="J915" s="18" t="str">
        <x:v>Erişildi</x:v>
      </x:c>
      <x:c r="K915" s="18" t="str">
        <x:f>IF(AND(ISNUMBER(G915),ISNUMBER(I915)),I915/G915*1000,"Erişilemedi")</x:f>
        <x:v>Erişilemedi</x:v>
      </x:c>
      <x:c r="L915" s="16" t="str">
        <x:v>Belirsiz</x:v>
      </x:c>
      <x:c r="M915" s="16" t="str">
        <x:v>Harman</x:v>
      </x:c>
      <x:c r="N915" s="16" t="str">
        <x:v>Site haritası ürün sayfası</x:v>
      </x:c>
      <x:c r="O915" s="16" t="str">
        <x:v>Düşük</x:v>
      </x:c>
      <x:c r="P915" s="19" t="n">
        <x:v>46245</x:v>
      </x:c>
      <x:c r="Q915" s="20" t="str">
        <x:v>https://keobs.com.tr/urun/filtre-blend</x:v>
      </x:c>
      <x:c r="R915" s="20" t="str">
        <x:v>Ürün kimliği korundu; eksik alanlar erişilemedi olarak işaretlenecek.</x:v>
      </x:c>
    </x:row>
    <x:row r="916" ht="40" customHeight="1">
      <x:c r="A916" s="16" t="str">
        <x:v>Keobs Coffee Roastery</x:v>
      </x:c>
      <x:c r="B916" s="16" t="str">
        <x:v>İstanbul</x:v>
      </x:c>
      <x:c r="C916" s="16" t="str">
        <x:v>Doğrulandı</x:v>
      </x:c>
      <x:c r="D916" s="16" t="str">
        <x:v>Ürün kaydı</x:v>
      </x:c>
      <x:c r="E916" s="16" t="str">
        <x:v>Guatemala · El Jaguar</x:v>
      </x:c>
      <x:c r="F916" s="16" t="str">
        <x:v>Guatemala</x:v>
      </x:c>
      <x:c r="G916" s="17" t="str">
        <x:v>Erişilemedi</x:v>
      </x:c>
      <x:c r="H916" s="16" t="str">
        <x:v>Erişilemedi</x:v>
      </x:c>
      <x:c r="I916" s="18" t="n">
        <x:v>400</x:v>
      </x:c>
      <x:c r="J916" s="18" t="str">
        <x:v>Erişildi</x:v>
      </x:c>
      <x:c r="K916" s="18" t="str">
        <x:f>IF(AND(ISNUMBER(G916),ISNUMBER(I916)),I916/G916*1000,"Erişilemedi")</x:f>
        <x:v>Erişilemedi</x:v>
      </x:c>
      <x:c r="L916" s="16" t="str">
        <x:v>Belirsiz</x:v>
      </x:c>
      <x:c r="M916" s="16" t="str">
        <x:v>Kahve ürünü</x:v>
      </x:c>
      <x:c r="N916" s="16" t="str">
        <x:v>Site haritası ürün sayfası</x:v>
      </x:c>
      <x:c r="O916" s="16" t="str">
        <x:v>Düşük</x:v>
      </x:c>
      <x:c r="P916" s="19" t="n">
        <x:v>46245</x:v>
      </x:c>
      <x:c r="Q916" s="20" t="str">
        <x:v>https://keobs.com.tr/urun/guatemala-el-jaguar</x:v>
      </x:c>
      <x:c r="R916" s="20" t="str">
        <x:v>Ürün kimliği korundu; eksik alanlar erişilemedi olarak işaretlenecek.</x:v>
      </x:c>
    </x:row>
    <x:row r="917" ht="40" customHeight="1">
      <x:c r="A917" s="16" t="str">
        <x:v>Keobs Coffee Roastery</x:v>
      </x:c>
      <x:c r="B917" s="16" t="str">
        <x:v>İstanbul</x:v>
      </x:c>
      <x:c r="C917" s="16" t="str">
        <x:v>Doğrulandı</x:v>
      </x:c>
      <x:c r="D917" s="16" t="str">
        <x:v>Ürün kaydı</x:v>
      </x:c>
      <x:c r="E917" s="16" t="str">
        <x:v>Honduras · Marcala</x:v>
      </x:c>
      <x:c r="F917" s="16" t="str">
        <x:v>Honduras</x:v>
      </x:c>
      <x:c r="G917" s="17" t="str">
        <x:v>Erişilemedi</x:v>
      </x:c>
      <x:c r="H917" s="16" t="str">
        <x:v>Erişilemedi</x:v>
      </x:c>
      <x:c r="I917" s="18" t="n">
        <x:v>350</x:v>
      </x:c>
      <x:c r="J917" s="18" t="str">
        <x:v>Erişildi</x:v>
      </x:c>
      <x:c r="K917" s="18" t="str">
        <x:f>IF(AND(ISNUMBER(G917),ISNUMBER(I917)),I917/G917*1000,"Erişilemedi")</x:f>
        <x:v>Erişilemedi</x:v>
      </x:c>
      <x:c r="L917" s="16" t="str">
        <x:v>Belirsiz</x:v>
      </x:c>
      <x:c r="M917" s="16" t="str">
        <x:v>Kahve ürünü</x:v>
      </x:c>
      <x:c r="N917" s="16" t="str">
        <x:v>Site haritası ürün sayfası</x:v>
      </x:c>
      <x:c r="O917" s="16" t="str">
        <x:v>Düşük</x:v>
      </x:c>
      <x:c r="P917" s="19" t="n">
        <x:v>46245</x:v>
      </x:c>
      <x:c r="Q917" s="20" t="str">
        <x:v>https://keobs.com.tr/urun/honduras-marcala</x:v>
      </x:c>
      <x:c r="R917" s="20" t="str">
        <x:v>Ürün kimliği korundu; eksik alanlar erişilemedi olarak işaretlenecek.</x:v>
      </x:c>
    </x:row>
    <x:row r="918" ht="40" customHeight="1">
      <x:c r="A918" s="16" t="str">
        <x:v>Keobs Coffee Roastery</x:v>
      </x:c>
      <x:c r="B918" s="16" t="str">
        <x:v>İstanbul</x:v>
      </x:c>
      <x:c r="C918" s="16" t="str">
        <x:v>Doğrulandı</x:v>
      </x:c>
      <x:c r="D918" s="16" t="str">
        <x:v>Ürün kaydı</x:v>
      </x:c>
      <x:c r="E918" s="16" t="str">
        <x:v>Kenya Nyeri FAQ AA</x:v>
      </x:c>
      <x:c r="F918" s="16" t="str">
        <x:v>Kenya</x:v>
      </x:c>
      <x:c r="G918" s="17" t="str">
        <x:v>Erişilemedi</x:v>
      </x:c>
      <x:c r="H918" s="16" t="str">
        <x:v>Erişilemedi</x:v>
      </x:c>
      <x:c r="I918" s="18" t="n">
        <x:v>490</x:v>
      </x:c>
      <x:c r="J918" s="18" t="str">
        <x:v>Erişildi</x:v>
      </x:c>
      <x:c r="K918" s="18" t="str">
        <x:f>IF(AND(ISNUMBER(G918),ISNUMBER(I918)),I918/G918*1000,"Erişilemedi")</x:f>
        <x:v>Erişilemedi</x:v>
      </x:c>
      <x:c r="L918" s="16" t="str">
        <x:v>Belirsiz</x:v>
      </x:c>
      <x:c r="M918" s="16" t="str">
        <x:v>Kahve ürünü</x:v>
      </x:c>
      <x:c r="N918" s="16" t="str">
        <x:v>Site haritası ürün sayfası</x:v>
      </x:c>
      <x:c r="O918" s="16" t="str">
        <x:v>Düşük</x:v>
      </x:c>
      <x:c r="P918" s="19" t="n">
        <x:v>46245</x:v>
      </x:c>
      <x:c r="Q918" s="20" t="str">
        <x:v>https://keobs.com.tr/urun/kenya-nyeri-faq-aa</x:v>
      </x:c>
      <x:c r="R918" s="20" t="str">
        <x:v>Ürün kimliği korundu; eksik alanlar erişilemedi olarak işaretlenecek.</x:v>
      </x:c>
    </x:row>
    <x:row r="919" ht="40" customHeight="1">
      <x:c r="A919" s="16" t="str">
        <x:v>Keobs Coffee Roastery</x:v>
      </x:c>
      <x:c r="B919" s="16" t="str">
        <x:v>İstanbul</x:v>
      </x:c>
      <x:c r="C919" s="16" t="str">
        <x:v>Doğrulandı</x:v>
      </x:c>
      <x:c r="D919" s="16" t="str">
        <x:v>Ürün kaydı</x:v>
      </x:c>
      <x:c r="E919" s="16" t="str">
        <x:v>Kolombiya · Huila</x:v>
      </x:c>
      <x:c r="F919" s="16" t="str">
        <x:v>Kolombiya</x:v>
      </x:c>
      <x:c r="G919" s="17" t="str">
        <x:v>Erişilemedi</x:v>
      </x:c>
      <x:c r="H919" s="16" t="str">
        <x:v>Erişilemedi</x:v>
      </x:c>
      <x:c r="I919" s="18" t="n">
        <x:v>350</x:v>
      </x:c>
      <x:c r="J919" s="18" t="str">
        <x:v>Erişildi</x:v>
      </x:c>
      <x:c r="K919" s="18" t="str">
        <x:f>IF(AND(ISNUMBER(G919),ISNUMBER(I919)),I919/G919*1000,"Erişilemedi")</x:f>
        <x:v>Erişilemedi</x:v>
      </x:c>
      <x:c r="L919" s="16" t="str">
        <x:v>Belirsiz</x:v>
      </x:c>
      <x:c r="M919" s="16" t="str">
        <x:v>Kahve ürünü</x:v>
      </x:c>
      <x:c r="N919" s="16" t="str">
        <x:v>Site haritası ürün sayfası</x:v>
      </x:c>
      <x:c r="O919" s="16" t="str">
        <x:v>Düşük</x:v>
      </x:c>
      <x:c r="P919" s="19" t="n">
        <x:v>46245</x:v>
      </x:c>
      <x:c r="Q919" s="20" t="str">
        <x:v>https://keobs.com.tr/urun/colombia-huila</x:v>
      </x:c>
      <x:c r="R919" s="20" t="str">
        <x:v>Ürün kimliği korundu; eksik alanlar erişilemedi olarak işaretlenecek.</x:v>
      </x:c>
    </x:row>
    <x:row r="920" ht="40" customHeight="1">
      <x:c r="A920" s="16" t="str">
        <x:v>Keobs Coffee Roastery</x:v>
      </x:c>
      <x:c r="B920" s="16" t="str">
        <x:v>İstanbul</x:v>
      </x:c>
      <x:c r="C920" s="16" t="str">
        <x:v>Doğrulandı</x:v>
      </x:c>
      <x:c r="D920" s="16" t="str">
        <x:v>Ürün kaydı</x:v>
      </x:c>
      <x:c r="E920" s="16" t="str">
        <x:v>Premium Colombia Espresso 2x 200gr</x:v>
      </x:c>
      <x:c r="F920" s="16" t="str">
        <x:v>Kolombiya</x:v>
      </x:c>
      <x:c r="G920" s="17" t="n">
        <x:v>200</x:v>
      </x:c>
      <x:c r="H920" s="16" t="str">
        <x:v>Erişildi</x:v>
      </x:c>
      <x:c r="I920" s="18" t="n">
        <x:v>550</x:v>
      </x:c>
      <x:c r="J920" s="18" t="str">
        <x:v>Erişildi</x:v>
      </x:c>
      <x:c r="K920" s="18" t="n">
        <x:f>IF(AND(ISNUMBER(G920),ISNUMBER(I920)),I920/G920*1000,"Erişilemedi")</x:f>
        <x:v>2750</x:v>
      </x:c>
      <x:c r="L920" s="16" t="str">
        <x:v>Stokta</x:v>
      </x:c>
      <x:c r="M920" s="16" t="str">
        <x:v>Tek köken/ürün</x:v>
      </x:c>
      <x:c r="N920" s="16" t="str">
        <x:v>Site haritası + ürün JSON-LD</x:v>
      </x:c>
      <x:c r="O920" s="16" t="str">
        <x:v>Orta</x:v>
      </x:c>
      <x:c r="P920" s="19" t="n">
        <x:v>46245</x:v>
      </x:c>
      <x:c r="Q920" s="20" t="str">
        <x:v>https://keobs.com.tr/urun/premium-colombia-espresso-2x200gr</x:v>
      </x:c>
      <x:c r="R920" s="20" t="str">
        <x:v>Tekil ürün sayfasındaki yapılandırılmış veriden çıkarıldı.</x:v>
      </x:c>
    </x:row>
    <x:row r="921" ht="40" customHeight="1">
      <x:c r="A921" s="16" t="str">
        <x:v>Keobs Coffee Roastery</x:v>
      </x:c>
      <x:c r="B921" s="16" t="str">
        <x:v>İstanbul</x:v>
      </x:c>
      <x:c r="C921" s="16" t="str">
        <x:v>Doğrulandı</x:v>
      </x:c>
      <x:c r="D921" s="16" t="str">
        <x:v>Ürün kaydı</x:v>
      </x:c>
      <x:c r="E921" s="16" t="str">
        <x:v>Premium Espresso 2x 200gr</x:v>
      </x:c>
      <x:c r="F921" s="16" t="str">
        <x:v>Harman – menşe belirtilmemiş</x:v>
      </x:c>
      <x:c r="G921" s="17" t="n">
        <x:v>200</x:v>
      </x:c>
      <x:c r="H921" s="16" t="str">
        <x:v>Erişildi</x:v>
      </x:c>
      <x:c r="I921" s="18" t="n">
        <x:v>550</x:v>
      </x:c>
      <x:c r="J921" s="18" t="str">
        <x:v>Erişildi</x:v>
      </x:c>
      <x:c r="K921" s="18" t="n">
        <x:f>IF(AND(ISNUMBER(G921),ISNUMBER(I921)),I921/G921*1000,"Erişilemedi")</x:f>
        <x:v>2750</x:v>
      </x:c>
      <x:c r="L921" s="16" t="str">
        <x:v>Stokta</x:v>
      </x:c>
      <x:c r="M921" s="16" t="str">
        <x:v>Harman</x:v>
      </x:c>
      <x:c r="N921" s="16" t="str">
        <x:v>Site haritası + ürün JSON-LD</x:v>
      </x:c>
      <x:c r="O921" s="16" t="str">
        <x:v>Orta</x:v>
      </x:c>
      <x:c r="P921" s="19" t="n">
        <x:v>46245</x:v>
      </x:c>
      <x:c r="Q921" s="20" t="str">
        <x:v>https://keobs.com.tr/urun/premium-espresso-2x200gr</x:v>
      </x:c>
      <x:c r="R921" s="20" t="str">
        <x:v>Tekil ürün sayfasındaki yapılandırılmış veriden çıkarıldı.</x:v>
      </x:c>
    </x:row>
    <x:row r="922" ht="40" customHeight="1">
      <x:c r="A922" s="16" t="str">
        <x:v>Keobs Coffee Roastery</x:v>
      </x:c>
      <x:c r="B922" s="16" t="str">
        <x:v>İstanbul</x:v>
      </x:c>
      <x:c r="C922" s="16" t="str">
        <x:v>Doğrulandı</x:v>
      </x:c>
      <x:c r="D922" s="16" t="str">
        <x:v>Ürün kaydı</x:v>
      </x:c>
      <x:c r="E922" s="16" t="str">
        <x:v>Puly Caff Powder · Temizleme Tozu</x:v>
      </x:c>
      <x:c r="F922" s="16" t="str">
        <x:v>Menşe belirtilmemiş</x:v>
      </x:c>
      <x:c r="G922" s="17" t="str">
        <x:v>Erişilemedi</x:v>
      </x:c>
      <x:c r="H922" s="16" t="str">
        <x:v>Erişilemedi</x:v>
      </x:c>
      <x:c r="I922" s="18" t="n">
        <x:v>700</x:v>
      </x:c>
      <x:c r="J922" s="18" t="str">
        <x:v>Erişildi</x:v>
      </x:c>
      <x:c r="K922" s="18" t="str">
        <x:f>IF(AND(ISNUMBER(G922),ISNUMBER(I922)),I922/G922*1000,"Erişilemedi")</x:f>
        <x:v>Erişilemedi</x:v>
      </x:c>
      <x:c r="L922" s="16" t="str">
        <x:v>Belirsiz</x:v>
      </x:c>
      <x:c r="M922" s="16" t="str">
        <x:v>Kahve ürünü</x:v>
      </x:c>
      <x:c r="N922" s="16" t="str">
        <x:v>Site haritası ürün sayfası</x:v>
      </x:c>
      <x:c r="O922" s="16" t="str">
        <x:v>Düşük</x:v>
      </x:c>
      <x:c r="P922" s="19" t="n">
        <x:v>46245</x:v>
      </x:c>
      <x:c r="Q922" s="20" t="str">
        <x:v>https://keobs.com.tr/urun/puly-caff-powder-900gr</x:v>
      </x:c>
      <x:c r="R922" s="20" t="str">
        <x:v>Ürün kimliği korundu; eksik alanlar erişilemedi olarak işaretlenecek.</x:v>
      </x:c>
    </x:row>
    <x:row r="923" ht="40" customHeight="1">
      <x:c r="A923" s="16" t="str">
        <x:v>Keobs Coffee Roastery</x:v>
      </x:c>
      <x:c r="B923" s="16" t="str">
        <x:v>İstanbul</x:v>
      </x:c>
      <x:c r="C923" s="16" t="str">
        <x:v>Doğrulandı</x:v>
      </x:c>
      <x:c r="D923" s="16" t="str">
        <x:v>Ürün kaydı</x:v>
      </x:c>
      <x:c r="E923" s="16" t="str">
        <x:v>Sfenks Espresso Blend</x:v>
      </x:c>
      <x:c r="F923" s="16" t="str">
        <x:v>Harman – menşe belirtilmemiş</x:v>
      </x:c>
      <x:c r="G923" s="17" t="str">
        <x:v>Erişilemedi</x:v>
      </x:c>
      <x:c r="H923" s="16" t="str">
        <x:v>Erişilemedi</x:v>
      </x:c>
      <x:c r="I923" s="18" t="n">
        <x:v>350</x:v>
      </x:c>
      <x:c r="J923" s="18" t="str">
        <x:v>Erişildi</x:v>
      </x:c>
      <x:c r="K923" s="18" t="str">
        <x:f>IF(AND(ISNUMBER(G923),ISNUMBER(I923)),I923/G923*1000,"Erişilemedi")</x:f>
        <x:v>Erişilemedi</x:v>
      </x:c>
      <x:c r="L923" s="16" t="str">
        <x:v>Belirsiz</x:v>
      </x:c>
      <x:c r="M923" s="16" t="str">
        <x:v>Harman</x:v>
      </x:c>
      <x:c r="N923" s="16" t="str">
        <x:v>Site haritası ürün sayfası</x:v>
      </x:c>
      <x:c r="O923" s="16" t="str">
        <x:v>Düşük</x:v>
      </x:c>
      <x:c r="P923" s="19" t="n">
        <x:v>46245</x:v>
      </x:c>
      <x:c r="Q923" s="20" t="str">
        <x:v>https://keobs.com.tr/urun/sfenks-espresso-blend</x:v>
      </x:c>
      <x:c r="R923" s="20" t="str">
        <x:v>Ürün kimliği korundu; eksik alanlar erişilemedi olarak işaretlenecek.</x:v>
      </x:c>
    </x:row>
    <x:row r="924" ht="40" customHeight="1">
      <x:c r="A924" s="16" t="str">
        <x:v>Keobs Coffee Roastery</x:v>
      </x:c>
      <x:c r="B924" s="16" t="str">
        <x:v>İstanbul</x:v>
      </x:c>
      <x:c r="C924" s="16" t="str">
        <x:v>Doğrulandı</x:v>
      </x:c>
      <x:c r="D924" s="16" t="str">
        <x:v>Ürün kaydı</x:v>
      </x:c>
      <x:c r="E924" s="16" t="str">
        <x:v>Su Kalitesi: Kahvenin Gizli Karakteri</x:v>
      </x:c>
      <x:c r="F924" s="16" t="str">
        <x:v>Menşe belirtilmemiş</x:v>
      </x:c>
      <x:c r="G924" s="17" t="str">
        <x:v>Erişilemedi</x:v>
      </x:c>
      <x:c r="H924" s="16" t="str">
        <x:v>Erişilemedi</x:v>
      </x:c>
      <x:c r="I924" s="18" t="str">
        <x:v>Erişilemedi</x:v>
      </x:c>
      <x:c r="J924" s="18" t="str">
        <x:v>Erişilemedi</x:v>
      </x:c>
      <x:c r="K924" s="18" t="str">
        <x:f>IF(AND(ISNUMBER(G924),ISNUMBER(I924)),I924/G924*1000,"Erişilemedi")</x:f>
        <x:v>Erişilemedi</x:v>
      </x:c>
      <x:c r="L924" s="16" t="str">
        <x:v>Belirsiz</x:v>
      </x:c>
      <x:c r="M924" s="16" t="str">
        <x:v>Kahve ürünü</x:v>
      </x:c>
      <x:c r="N924" s="16" t="str">
        <x:v>Site haritası ürün sayfası</x:v>
      </x:c>
      <x:c r="O924" s="16" t="str">
        <x:v>Düşük</x:v>
      </x:c>
      <x:c r="P924" s="19" t="n">
        <x:v>46245</x:v>
      </x:c>
      <x:c r="Q924" s="20" t="str">
        <x:v>https://keobs.com.tr/blog/su-kalitesi-kahvenin-gizli-karakteri</x:v>
      </x:c>
      <x:c r="R924" s="20" t="str">
        <x:v>Ürün kimliği korundu; eksik alanlar erişilemedi olarak işaretlenecek.</x:v>
      </x:c>
    </x:row>
    <x:row r="925" ht="40" customHeight="1">
      <x:c r="A925" s="16" t="str">
        <x:v>Keobs Coffee Roastery</x:v>
      </x:c>
      <x:c r="B925" s="16" t="str">
        <x:v>İstanbul</x:v>
      </x:c>
      <x:c r="C925" s="16" t="str">
        <x:v>Doğrulandı</x:v>
      </x:c>
      <x:c r="D925" s="16" t="str">
        <x:v>Ürün kaydı</x:v>
      </x:c>
      <x:c r="E925" s="16" t="str">
        <x:v>Tek Köken Kahve: Bir Coğrafyanın İmzası</x:v>
      </x:c>
      <x:c r="F925" s="16" t="str">
        <x:v>Menşe belirtilmemiş</x:v>
      </x:c>
      <x:c r="G925" s="17" t="str">
        <x:v>Erişilemedi</x:v>
      </x:c>
      <x:c r="H925" s="16" t="str">
        <x:v>Erişilemedi</x:v>
      </x:c>
      <x:c r="I925" s="18" t="str">
        <x:v>Erişilemedi</x:v>
      </x:c>
      <x:c r="J925" s="18" t="str">
        <x:v>Erişilemedi</x:v>
      </x:c>
      <x:c r="K925" s="18" t="str">
        <x:f>IF(AND(ISNUMBER(G925),ISNUMBER(I925)),I925/G925*1000,"Erişilemedi")</x:f>
        <x:v>Erişilemedi</x:v>
      </x:c>
      <x:c r="L925" s="16" t="str">
        <x:v>Belirsiz</x:v>
      </x:c>
      <x:c r="M925" s="16" t="str">
        <x:v>Kahve ürünü</x:v>
      </x:c>
      <x:c r="N925" s="16" t="str">
        <x:v>Site haritası ürün sayfası</x:v>
      </x:c>
      <x:c r="O925" s="16" t="str">
        <x:v>Düşük</x:v>
      </x:c>
      <x:c r="P925" s="19" t="n">
        <x:v>46245</x:v>
      </x:c>
      <x:c r="Q925" s="20" t="str">
        <x:v>https://keobs.com.tr/blog/tek-koken-kahve-nedir</x:v>
      </x:c>
      <x:c r="R925" s="20" t="str">
        <x:v>Ürün kimliği korundu; eksik alanlar erişilemedi olarak işaretlenecek.</x:v>
      </x:c>
    </x:row>
    <x:row r="926" ht="40" customHeight="1">
      <x:c r="A926" s="16" t="str">
        <x:v>Keobs Coffee Roastery</x:v>
      </x:c>
      <x:c r="B926" s="16" t="str">
        <x:v>İstanbul</x:v>
      </x:c>
      <x:c r="C926" s="16" t="str">
        <x:v>Doğrulandı</x:v>
      </x:c>
      <x:c r="D926" s="16" t="str">
        <x:v>Ürün kaydı</x:v>
      </x:c>
      <x:c r="E926" s="16" t="str">
        <x:v>Tüm Kahveler · Koleksiyon · Keobs</x:v>
      </x:c>
      <x:c r="F926" s="16" t="str">
        <x:v>Menşe belirtilmemiş</x:v>
      </x:c>
      <x:c r="G926" s="17" t="str">
        <x:v>Erişilemedi</x:v>
      </x:c>
      <x:c r="H926" s="16" t="str">
        <x:v>Erişilemedi</x:v>
      </x:c>
      <x:c r="I926" s="18" t="str">
        <x:v>Erişilemedi</x:v>
      </x:c>
      <x:c r="J926" s="18" t="str">
        <x:v>Erişilemedi</x:v>
      </x:c>
      <x:c r="K926" s="18" t="str">
        <x:f>IF(AND(ISNUMBER(G926),ISNUMBER(I926)),I926/G926*1000,"Erişilemedi")</x:f>
        <x:v>Erişilemedi</x:v>
      </x:c>
      <x:c r="L926" s="16" t="str">
        <x:v>Belirsiz</x:v>
      </x:c>
      <x:c r="M926" s="16" t="str">
        <x:v>Kahve ürünü</x:v>
      </x:c>
      <x:c r="N926" s="16" t="str">
        <x:v>Site haritası ürün sayfası</x:v>
      </x:c>
      <x:c r="O926" s="16" t="str">
        <x:v>Düşük</x:v>
      </x:c>
      <x:c r="P926" s="19" t="n">
        <x:v>46245</x:v>
      </x:c>
      <x:c r="Q926" s="20" t="str">
        <x:v>https://keobs.com.tr/urunler?kategori=cleaning</x:v>
      </x:c>
      <x:c r="R926" s="20" t="str">
        <x:v>Ürün kimliği korundu; eksik alanlar erişilemedi olarak işaretlenecek.</x:v>
      </x:c>
    </x:row>
    <x:row r="927" ht="40" customHeight="1">
      <x:c r="A927" s="16" t="str">
        <x:v>Kernel Coffee</x:v>
      </x:c>
      <x:c r="B927" s="16" t="str">
        <x:v>İstanbul</x:v>
      </x:c>
      <x:c r="C927" s="16" t="str">
        <x:v>Kısmi doğrulama</x:v>
      </x:c>
      <x:c r="D927" s="16" t="str">
        <x:v>Ürün kaydı</x:v>
      </x:c>
      <x:c r="E927" s="16" t="str">
        <x:v>Brezilya Morango</x:v>
      </x:c>
      <x:c r="F927" s="16" t="str">
        <x:v>Brezilya</x:v>
      </x:c>
      <x:c r="G927" s="17" t="str">
        <x:v>Erişilemedi</x:v>
      </x:c>
      <x:c r="H927" s="16" t="str">
        <x:v>Erişilemedi</x:v>
      </x:c>
      <x:c r="I927" s="18" t="n">
        <x:v>1000</x:v>
      </x:c>
      <x:c r="J927" s="18" t="str">
        <x:v>Erişildi</x:v>
      </x:c>
      <x:c r="K927" s="18" t="str">
        <x:f>IF(AND(ISNUMBER(G927),ISNUMBER(I927)),I927/G927*1000,"Erişilemedi")</x:f>
        <x:v>Erişilemedi</x:v>
      </x:c>
      <x:c r="L927" s="16" t="str">
        <x:v>Belirsiz</x:v>
      </x:c>
      <x:c r="M927" s="16" t="str">
        <x:v>Kahve ürünü</x:v>
      </x:c>
      <x:c r="N927" s="16" t="str">
        <x:v>Site haritası ürün sayfası</x:v>
      </x:c>
      <x:c r="O927" s="16" t="str">
        <x:v>Düşük</x:v>
      </x:c>
      <x:c r="P927" s="19" t="n">
        <x:v>46245</x:v>
      </x:c>
      <x:c r="Q927" s="20" t="str">
        <x:v>https://kernelcoffee.co/brezilya-morango</x:v>
      </x:c>
      <x:c r="R927" s="20" t="str">
        <x:v>Ürün kimliği korundu; eksik alanlar erişilemedi olarak işaretlenecek.</x:v>
      </x:c>
    </x:row>
    <x:row r="928" ht="40" customHeight="1">
      <x:c r="A928" s="16" t="str">
        <x:v>Kernel Coffee</x:v>
      </x:c>
      <x:c r="B928" s="16" t="str">
        <x:v>İstanbul</x:v>
      </x:c>
      <x:c r="C928" s="16" t="str">
        <x:v>Kısmi doğrulama</x:v>
      </x:c>
      <x:c r="D928" s="16" t="str">
        <x:v>Ürün kaydı</x:v>
      </x:c>
      <x:c r="E928" s="16" t="str">
        <x:v>Brezilya Toucan</x:v>
      </x:c>
      <x:c r="F928" s="16" t="str">
        <x:v>Brezilya</x:v>
      </x:c>
      <x:c r="G928" s="17" t="str">
        <x:v>Erişilemedi</x:v>
      </x:c>
      <x:c r="H928" s="16" t="str">
        <x:v>Erişilemedi</x:v>
      </x:c>
      <x:c r="I928" s="18" t="n">
        <x:v>1000</x:v>
      </x:c>
      <x:c r="J928" s="18" t="str">
        <x:v>Erişildi</x:v>
      </x:c>
      <x:c r="K928" s="18" t="str">
        <x:f>IF(AND(ISNUMBER(G928),ISNUMBER(I928)),I928/G928*1000,"Erişilemedi")</x:f>
        <x:v>Erişilemedi</x:v>
      </x:c>
      <x:c r="L928" s="16" t="str">
        <x:v>Belirsiz</x:v>
      </x:c>
      <x:c r="M928" s="16" t="str">
        <x:v>Kahve ürünü</x:v>
      </x:c>
      <x:c r="N928" s="16" t="str">
        <x:v>Site haritası ürün sayfası</x:v>
      </x:c>
      <x:c r="O928" s="16" t="str">
        <x:v>Düşük</x:v>
      </x:c>
      <x:c r="P928" s="19" t="n">
        <x:v>46245</x:v>
      </x:c>
      <x:c r="Q928" s="20" t="str">
        <x:v>https://kernelcoffee.co/brezilya-toucan</x:v>
      </x:c>
      <x:c r="R928" s="20" t="str">
        <x:v>Ürün kimliği korundu; eksik alanlar erişilemedi olarak işaretlenecek.</x:v>
      </x:c>
    </x:row>
    <x:row r="929" ht="40" customHeight="1">
      <x:c r="A929" s="16" t="str">
        <x:v>Kernel Coffee</x:v>
      </x:c>
      <x:c r="B929" s="16" t="str">
        <x:v>İstanbul</x:v>
      </x:c>
      <x:c r="C929" s="16" t="str">
        <x:v>Kısmi doğrulama</x:v>
      </x:c>
      <x:c r="D929" s="16" t="str">
        <x:v>Ürün kaydı</x:v>
      </x:c>
      <x:c r="E929" s="16" t="str">
        <x:v>CAFEC TH-1</x:v>
      </x:c>
      <x:c r="F929" s="16" t="str">
        <x:v>Menşe belirtilmemiş</x:v>
      </x:c>
      <x:c r="G929" s="17" t="str">
        <x:v>Erişilemedi</x:v>
      </x:c>
      <x:c r="H929" s="16" t="str">
        <x:v>Erişilemedi</x:v>
      </x:c>
      <x:c r="I929" s="18" t="n">
        <x:v>1000</x:v>
      </x:c>
      <x:c r="J929" s="18" t="str">
        <x:v>Erişildi</x:v>
      </x:c>
      <x:c r="K929" s="18" t="str">
        <x:f>IF(AND(ISNUMBER(G929),ISNUMBER(I929)),I929/G929*1000,"Erişilemedi")</x:f>
        <x:v>Erişilemedi</x:v>
      </x:c>
      <x:c r="L929" s="16" t="str">
        <x:v>Belirsiz</x:v>
      </x:c>
      <x:c r="M929" s="16" t="str">
        <x:v>Kahve ürünü</x:v>
      </x:c>
      <x:c r="N929" s="16" t="str">
        <x:v>Site haritası ürün sayfası</x:v>
      </x:c>
      <x:c r="O929" s="16" t="str">
        <x:v>Düşük</x:v>
      </x:c>
      <x:c r="P929" s="19" t="n">
        <x:v>46245</x:v>
      </x:c>
      <x:c r="Q929" s="20" t="str">
        <x:v>https://kernelcoffee.co/cafec-th-1</x:v>
      </x:c>
      <x:c r="R929" s="20" t="str">
        <x:v>Ürün kimliği korundu; eksik alanlar erişilemedi olarak işaretlenecek.</x:v>
      </x:c>
    </x:row>
    <x:row r="930" ht="40" customHeight="1">
      <x:c r="A930" s="16" t="str">
        <x:v>Kernel Coffee</x:v>
      </x:c>
      <x:c r="B930" s="16" t="str">
        <x:v>İstanbul</x:v>
      </x:c>
      <x:c r="C930" s="16" t="str">
        <x:v>Kısmi doğrulama</x:v>
      </x:c>
      <x:c r="D930" s="16" t="str">
        <x:v>Ürün kaydı</x:v>
      </x:c>
      <x:c r="E930" s="16" t="str">
        <x:v>El Salvador Altamira</x:v>
      </x:c>
      <x:c r="F930" s="16" t="str">
        <x:v>El Salvador</x:v>
      </x:c>
      <x:c r="G930" s="17" t="str">
        <x:v>Erişilemedi</x:v>
      </x:c>
      <x:c r="H930" s="16" t="str">
        <x:v>Erişilemedi</x:v>
      </x:c>
      <x:c r="I930" s="18" t="n">
        <x:v>1000</x:v>
      </x:c>
      <x:c r="J930" s="18" t="str">
        <x:v>Erişildi</x:v>
      </x:c>
      <x:c r="K930" s="18" t="str">
        <x:f>IF(AND(ISNUMBER(G930),ISNUMBER(I930)),I930/G930*1000,"Erişilemedi")</x:f>
        <x:v>Erişilemedi</x:v>
      </x:c>
      <x:c r="L930" s="16" t="str">
        <x:v>Belirsiz</x:v>
      </x:c>
      <x:c r="M930" s="16" t="str">
        <x:v>Kahve ürünü</x:v>
      </x:c>
      <x:c r="N930" s="16" t="str">
        <x:v>Site haritası ürün sayfası</x:v>
      </x:c>
      <x:c r="O930" s="16" t="str">
        <x:v>Düşük</x:v>
      </x:c>
      <x:c r="P930" s="19" t="n">
        <x:v>46245</x:v>
      </x:c>
      <x:c r="Q930" s="20" t="str">
        <x:v>https://kernelcoffee.co/el-salvador-altamira</x:v>
      </x:c>
      <x:c r="R930" s="20" t="str">
        <x:v>Ürün kimliği korundu; eksik alanlar erişilemedi olarak işaretlenecek.</x:v>
      </x:c>
    </x:row>
    <x:row r="931" ht="40" customHeight="1">
      <x:c r="A931" s="16" t="str">
        <x:v>Kernel Coffee</x:v>
      </x:c>
      <x:c r="B931" s="16" t="str">
        <x:v>İstanbul</x:v>
      </x:c>
      <x:c r="C931" s="16" t="str">
        <x:v>Kısmi doğrulama</x:v>
      </x:c>
      <x:c r="D931" s="16" t="str">
        <x:v>Ürün kaydı</x:v>
      </x:c>
      <x:c r="E931" s="16" t="str">
        <x:v>Etiyopya Konga</x:v>
      </x:c>
      <x:c r="F931" s="16" t="str">
        <x:v>Etiyopya</x:v>
      </x:c>
      <x:c r="G931" s="17" t="str">
        <x:v>Erişilemedi</x:v>
      </x:c>
      <x:c r="H931" s="16" t="str">
        <x:v>Erişilemedi</x:v>
      </x:c>
      <x:c r="I931" s="18" t="n">
        <x:v>1000</x:v>
      </x:c>
      <x:c r="J931" s="18" t="str">
        <x:v>Erişildi</x:v>
      </x:c>
      <x:c r="K931" s="18" t="str">
        <x:f>IF(AND(ISNUMBER(G931),ISNUMBER(I931)),I931/G931*1000,"Erişilemedi")</x:f>
        <x:v>Erişilemedi</x:v>
      </x:c>
      <x:c r="L931" s="16" t="str">
        <x:v>Belirsiz</x:v>
      </x:c>
      <x:c r="M931" s="16" t="str">
        <x:v>Kahve ürünü</x:v>
      </x:c>
      <x:c r="N931" s="16" t="str">
        <x:v>Site haritası ürün sayfası</x:v>
      </x:c>
      <x:c r="O931" s="16" t="str">
        <x:v>Düşük</x:v>
      </x:c>
      <x:c r="P931" s="19" t="n">
        <x:v>46245</x:v>
      </x:c>
      <x:c r="Q931" s="20" t="str">
        <x:v>https://kernelcoffee.co/etiyopya-konga</x:v>
      </x:c>
      <x:c r="R931" s="20" t="str">
        <x:v>Ürün kimliği korundu; eksik alanlar erişilemedi olarak işaretlenecek.</x:v>
      </x:c>
    </x:row>
    <x:row r="932" ht="40" customHeight="1">
      <x:c r="A932" s="16" t="str">
        <x:v>Kernel Coffee</x:v>
      </x:c>
      <x:c r="B932" s="16" t="str">
        <x:v>İstanbul</x:v>
      </x:c>
      <x:c r="C932" s="16" t="str">
        <x:v>Kısmi doğrulama</x:v>
      </x:c>
      <x:c r="D932" s="16" t="str">
        <x:v>Ürün kaydı</x:v>
      </x:c>
      <x:c r="E932" s="16" t="str">
        <x:v>Kolombiya Carambolo</x:v>
      </x:c>
      <x:c r="F932" s="16" t="str">
        <x:v>Kolombiya</x:v>
      </x:c>
      <x:c r="G932" s="17" t="str">
        <x:v>Erişilemedi</x:v>
      </x:c>
      <x:c r="H932" s="16" t="str">
        <x:v>Erişilemedi</x:v>
      </x:c>
      <x:c r="I932" s="18" t="n">
        <x:v>1000</x:v>
      </x:c>
      <x:c r="J932" s="18" t="str">
        <x:v>Erişildi</x:v>
      </x:c>
      <x:c r="K932" s="18" t="str">
        <x:f>IF(AND(ISNUMBER(G932),ISNUMBER(I932)),I932/G932*1000,"Erişilemedi")</x:f>
        <x:v>Erişilemedi</x:v>
      </x:c>
      <x:c r="L932" s="16" t="str">
        <x:v>Belirsiz</x:v>
      </x:c>
      <x:c r="M932" s="16" t="str">
        <x:v>Kahve ürünü</x:v>
      </x:c>
      <x:c r="N932" s="16" t="str">
        <x:v>Site haritası ürün sayfası</x:v>
      </x:c>
      <x:c r="O932" s="16" t="str">
        <x:v>Düşük</x:v>
      </x:c>
      <x:c r="P932" s="19" t="n">
        <x:v>46245</x:v>
      </x:c>
      <x:c r="Q932" s="20" t="str">
        <x:v>https://kernelcoffee.co/kolombiya-carambolo</x:v>
      </x:c>
      <x:c r="R932" s="20" t="str">
        <x:v>Ürün kimliği korundu; eksik alanlar erişilemedi olarak işaretlenecek.</x:v>
      </x:c>
    </x:row>
    <x:row r="933" ht="40" customHeight="1">
      <x:c r="A933" s="16" t="str">
        <x:v>Kernel Coffee</x:v>
      </x:c>
      <x:c r="B933" s="16" t="str">
        <x:v>İstanbul</x:v>
      </x:c>
      <x:c r="C933" s="16" t="str">
        <x:v>Kısmi doğrulama</x:v>
      </x:c>
      <x:c r="D933" s="16" t="str">
        <x:v>Ürün kaydı</x:v>
      </x:c>
      <x:c r="E933" s="16" t="str">
        <x:v>Kolombiya Galeras</x:v>
      </x:c>
      <x:c r="F933" s="16" t="str">
        <x:v>Kolombiya</x:v>
      </x:c>
      <x:c r="G933" s="17" t="str">
        <x:v>Erişilemedi</x:v>
      </x:c>
      <x:c r="H933" s="16" t="str">
        <x:v>Erişilemedi</x:v>
      </x:c>
      <x:c r="I933" s="18" t="n">
        <x:v>1000</x:v>
      </x:c>
      <x:c r="J933" s="18" t="str">
        <x:v>Erişildi</x:v>
      </x:c>
      <x:c r="K933" s="18" t="str">
        <x:f>IF(AND(ISNUMBER(G933),ISNUMBER(I933)),I933/G933*1000,"Erişilemedi")</x:f>
        <x:v>Erişilemedi</x:v>
      </x:c>
      <x:c r="L933" s="16" t="str">
        <x:v>Belirsiz</x:v>
      </x:c>
      <x:c r="M933" s="16" t="str">
        <x:v>Kahve ürünü</x:v>
      </x:c>
      <x:c r="N933" s="16" t="str">
        <x:v>Site haritası ürün sayfası</x:v>
      </x:c>
      <x:c r="O933" s="16" t="str">
        <x:v>Düşük</x:v>
      </x:c>
      <x:c r="P933" s="19" t="n">
        <x:v>46245</x:v>
      </x:c>
      <x:c r="Q933" s="20" t="str">
        <x:v>https://kernelcoffee.co/kolombiya-garelas</x:v>
      </x:c>
      <x:c r="R933" s="20" t="str">
        <x:v>Ürün kimliği korundu; eksik alanlar erişilemedi olarak işaretlenecek.</x:v>
      </x:c>
    </x:row>
    <x:row r="934" ht="40" customHeight="1">
      <x:c r="A934" s="16" t="str">
        <x:v>Kernel Coffee</x:v>
      </x:c>
      <x:c r="B934" s="16" t="str">
        <x:v>İstanbul</x:v>
      </x:c>
      <x:c r="C934" s="16" t="str">
        <x:v>Kısmi doğrulama</x:v>
      </x:c>
      <x:c r="D934" s="16" t="str">
        <x:v>Ürün kaydı</x:v>
      </x:c>
      <x:c r="E934" s="16" t="str">
        <x:v>Kolombiya Opal Geisha</x:v>
      </x:c>
      <x:c r="F934" s="16" t="str">
        <x:v>Kolombiya</x:v>
      </x:c>
      <x:c r="G934" s="17" t="str">
        <x:v>Erişilemedi</x:v>
      </x:c>
      <x:c r="H934" s="16" t="str">
        <x:v>Erişilemedi</x:v>
      </x:c>
      <x:c r="I934" s="18" t="n">
        <x:v>1000</x:v>
      </x:c>
      <x:c r="J934" s="18" t="str">
        <x:v>Erişildi</x:v>
      </x:c>
      <x:c r="K934" s="18" t="str">
        <x:f>IF(AND(ISNUMBER(G934),ISNUMBER(I934)),I934/G934*1000,"Erişilemedi")</x:f>
        <x:v>Erişilemedi</x:v>
      </x:c>
      <x:c r="L934" s="16" t="str">
        <x:v>Belirsiz</x:v>
      </x:c>
      <x:c r="M934" s="16" t="str">
        <x:v>Kahve ürünü</x:v>
      </x:c>
      <x:c r="N934" s="16" t="str">
        <x:v>Site haritası ürün sayfası</x:v>
      </x:c>
      <x:c r="O934" s="16" t="str">
        <x:v>Düşük</x:v>
      </x:c>
      <x:c r="P934" s="19" t="n">
        <x:v>46245</x:v>
      </x:c>
      <x:c r="Q934" s="20" t="str">
        <x:v>https://kernelcoffee.co/kolombiya-opal-geisha</x:v>
      </x:c>
      <x:c r="R934" s="20" t="str">
        <x:v>Ürün kimliği korundu; eksik alanlar erişilemedi olarak işaretlenecek.</x:v>
      </x:c>
    </x:row>
    <x:row r="935" ht="40" customHeight="1">
      <x:c r="A935" s="16" t="str">
        <x:v>Khaldi Coffee</x:v>
      </x:c>
      <x:c r="B935" s="16" t="str">
        <x:v>İstanbul</x:v>
      </x:c>
      <x:c r="C935" s="16" t="str">
        <x:v>Kısmi doğrulama</x:v>
      </x:c>
      <x:c r="D935" s="16" t="str">
        <x:v>Katalog takip kaydı</x:v>
      </x:c>
      <x:c r="E935" s="16" t="str">
        <x:v>Ürün kataloğu — ayrıntılı ürün verisine erişilemedi</x:v>
      </x:c>
      <x:c r="F935" s="16" t="str">
        <x:v>Erişilemedi</x:v>
      </x:c>
      <x:c r="G935" s="17" t="str">
        <x:v>Erişilemedi</x:v>
      </x:c>
      <x:c r="H935" s="16" t="str">
        <x:v>Erişilemedi</x:v>
      </x:c>
      <x:c r="I935" s="18" t="str">
        <x:v>Erişilemedi</x:v>
      </x:c>
      <x:c r="J935" s="18" t="str">
        <x:v>Erişilemedi</x:v>
      </x:c>
      <x:c r="K935" s="18" t="str">
        <x:f>IF(AND(ISNUMBER(G935),ISNUMBER(I935)),I935/G935*1000,"Erişilemedi")</x:f>
        <x:v>Erişilemedi</x:v>
      </x:c>
      <x:c r="L935" s="16" t="str">
        <x:v>Erişilemedi</x:v>
      </x:c>
      <x:c r="M935" s="16" t="str">
        <x:v>Katalog/takip kaydı</x:v>
      </x:c>
      <x:c r="N935" s="16" t="str">
        <x:v>Instagram veya mevcut kaynak</x:v>
      </x:c>
      <x:c r="O935" s="16" t="str">
        <x:v>Takip gerekli</x:v>
      </x:c>
      <x:c r="P935" s="19" t="n">
        <x:v>46245</x:v>
      </x:c>
      <x:c r="Q935" s="20" t="str">
        <x:v>Erişilemedi</x:v>
      </x:c>
      <x:c r="R935" s="20" t="str">
        <x:v>Ürün adı, gramaj ve fiyat birlikte çıkarılamadı. Bağlantı manuel inceleme için korundu.</x:v>
      </x:c>
    </x:row>
    <x:row r="936" ht="40" customHeight="1">
      <x:c r="A936" s="16" t="str">
        <x:v>Kilin Coffee</x:v>
      </x:c>
      <x:c r="B936" s="16" t="str">
        <x:v>İstanbul</x:v>
      </x:c>
      <x:c r="C936" s="16" t="str">
        <x:v>Kısmi doğrulama</x:v>
      </x:c>
      <x:c r="D936" s="16" t="str">
        <x:v>Katalog takip kaydı</x:v>
      </x:c>
      <x:c r="E936" s="16" t="str">
        <x:v>Ürün kataloğu — ayrıntılı ürün verisine erişilemedi</x:v>
      </x:c>
      <x:c r="F936" s="16" t="str">
        <x:v>Erişilemedi</x:v>
      </x:c>
      <x:c r="G936" s="17" t="str">
        <x:v>Erişilemedi</x:v>
      </x:c>
      <x:c r="H936" s="16" t="str">
        <x:v>Erişilemedi</x:v>
      </x:c>
      <x:c r="I936" s="18" t="str">
        <x:v>Erişilemedi</x:v>
      </x:c>
      <x:c r="J936" s="18" t="str">
        <x:v>Erişilemedi</x:v>
      </x:c>
      <x:c r="K936" s="18" t="str">
        <x:f>IF(AND(ISNUMBER(G936),ISNUMBER(I936)),I936/G936*1000,"Erişilemedi")</x:f>
        <x:v>Erişilemedi</x:v>
      </x:c>
      <x:c r="L936" s="16" t="str">
        <x:v>Erişilemedi</x:v>
      </x:c>
      <x:c r="M936" s="16" t="str">
        <x:v>Katalog/takip kaydı</x:v>
      </x:c>
      <x:c r="N936" s="16" t="str">
        <x:v>Instagram veya mevcut kaynak</x:v>
      </x:c>
      <x:c r="O936" s="16" t="str">
        <x:v>Takip gerekli</x:v>
      </x:c>
      <x:c r="P936" s="19" t="n">
        <x:v>46245</x:v>
      </x:c>
      <x:c r="Q936" s="20" t="str">
        <x:v>Erişilemedi</x:v>
      </x:c>
      <x:c r="R936" s="20" t="str">
        <x:v>Ürün adı, gramaj ve fiyat birlikte çıkarılamadı. Bağlantı manuel inceleme için korundu.</x:v>
      </x:c>
    </x:row>
    <x:row r="937" ht="40" customHeight="1">
      <x:c r="A937" s="16" t="str">
        <x:v>Kimma Coffee Roasters</x:v>
      </x:c>
      <x:c r="B937" s="16" t="str">
        <x:v>İstanbul</x:v>
      </x:c>
      <x:c r="C937" s="16" t="str">
        <x:v>Doğrulandı</x:v>
      </x:c>
      <x:c r="D937" s="16" t="str">
        <x:v>Ürün kaydı</x:v>
      </x:c>
      <x:c r="E937" s="16" t="str">
        <x:v>BREZİLYA MANTIQUEIRA</x:v>
      </x:c>
      <x:c r="F937" s="16" t="str">
        <x:v>Brezilya</x:v>
      </x:c>
      <x:c r="G937" s="17" t="n">
        <x:v>250</x:v>
      </x:c>
      <x:c r="H937" s="16" t="str">
        <x:v>Erişildi</x:v>
      </x:c>
      <x:c r="I937" s="18" t="n">
        <x:v>420</x:v>
      </x:c>
      <x:c r="J937" s="18" t="str">
        <x:v>Erişildi</x:v>
      </x:c>
      <x:c r="K937" s="18" t="n">
        <x:f>IF(AND(ISNUMBER(G937),ISNUMBER(I937)),I937/G937*1000,"Erişilemedi")</x:f>
        <x:v>1680</x:v>
      </x:c>
      <x:c r="L937" s="16" t="str">
        <x:v>Stokta</x:v>
      </x:c>
      <x:c r="M937" s="16" t="str">
        <x:v>Kahve ürünü</x:v>
      </x:c>
      <x:c r="N937" s="16" t="str">
        <x:v>Shopify ürün akışı</x:v>
      </x:c>
      <x:c r="O937" s="16" t="str">
        <x:v>Yüksek</x:v>
      </x:c>
      <x:c r="P937" s="19" t="n">
        <x:v>46245</x:v>
      </x:c>
      <x:c r="Q937" s="20" t="str">
        <x:v>https://shop.kimmacoffee.com/products/brezi̇lya-mantiqueira</x:v>
      </x:c>
      <x:c r="R937" s="20" t="str">
        <x:v>Öğütüm seçenekleri tekilleştirildi.</x:v>
      </x:c>
    </x:row>
    <x:row r="938" ht="40" customHeight="1">
      <x:c r="A938" s="16" t="str">
        <x:v>Kimma Coffee Roasters</x:v>
      </x:c>
      <x:c r="B938" s="16" t="str">
        <x:v>İstanbul</x:v>
      </x:c>
      <x:c r="C938" s="16" t="str">
        <x:v>Doğrulandı</x:v>
      </x:c>
      <x:c r="D938" s="16" t="str">
        <x:v>Ürün kaydı</x:v>
      </x:c>
      <x:c r="E938" s="16" t="str">
        <x:v>BREZİLYA MANTIQUEIRA</x:v>
      </x:c>
      <x:c r="F938" s="16" t="str">
        <x:v>Brezilya</x:v>
      </x:c>
      <x:c r="G938" s="17" t="n">
        <x:v>1000</x:v>
      </x:c>
      <x:c r="H938" s="16" t="str">
        <x:v>Erişildi</x:v>
      </x:c>
      <x:c r="I938" s="18" t="n">
        <x:v>1680</x:v>
      </x:c>
      <x:c r="J938" s="18" t="str">
        <x:v>Erişildi</x:v>
      </x:c>
      <x:c r="K938" s="18" t="n">
        <x:f>IF(AND(ISNUMBER(G938),ISNUMBER(I938)),I938/G938*1000,"Erişilemedi")</x:f>
        <x:v>1680</x:v>
      </x:c>
      <x:c r="L938" s="16" t="str">
        <x:v>Stokta</x:v>
      </x:c>
      <x:c r="M938" s="16" t="str">
        <x:v>Kahve ürünü</x:v>
      </x:c>
      <x:c r="N938" s="16" t="str">
        <x:v>Shopify ürün akışı</x:v>
      </x:c>
      <x:c r="O938" s="16" t="str">
        <x:v>Yüksek</x:v>
      </x:c>
      <x:c r="P938" s="19" t="n">
        <x:v>46245</x:v>
      </x:c>
      <x:c r="Q938" s="20" t="str">
        <x:v>https://shop.kimmacoffee.com/products/brezi̇lya-mantiqueira</x:v>
      </x:c>
      <x:c r="R938" s="20" t="str">
        <x:v>Öğütüm seçenekleri tekilleştirildi.</x:v>
      </x:c>
    </x:row>
    <x:row r="939" ht="40" customHeight="1">
      <x:c r="A939" s="16" t="str">
        <x:v>Kimma Coffee Roasters</x:v>
      </x:c>
      <x:c r="B939" s="16" t="str">
        <x:v>İstanbul</x:v>
      </x:c>
      <x:c r="C939" s="16" t="str">
        <x:v>Doğrulandı</x:v>
      </x:c>
      <x:c r="D939" s="16" t="str">
        <x:v>Ürün kaydı</x:v>
      </x:c>
      <x:c r="E939" s="16" t="str">
        <x:v>COLOMBIA MEDELLIN ESPRESSO</x:v>
      </x:c>
      <x:c r="F939" s="16" t="str">
        <x:v>Kolombiya | Brezilya</x:v>
      </x:c>
      <x:c r="G939" s="17" t="n">
        <x:v>250</x:v>
      </x:c>
      <x:c r="H939" s="16" t="str">
        <x:v>Erişildi</x:v>
      </x:c>
      <x:c r="I939" s="18" t="n">
        <x:v>410</x:v>
      </x:c>
      <x:c r="J939" s="18" t="str">
        <x:v>Erişildi</x:v>
      </x:c>
      <x:c r="K939" s="18" t="n">
        <x:f>IF(AND(ISNUMBER(G939),ISNUMBER(I939)),I939/G939*1000,"Erişilemedi")</x:f>
        <x:v>1640</x:v>
      </x:c>
      <x:c r="L939" s="16" t="str">
        <x:v>Stokta</x:v>
      </x:c>
      <x:c r="M939" s="16" t="str">
        <x:v>Tek köken/ürün</x:v>
      </x:c>
      <x:c r="N939" s="16" t="str">
        <x:v>Shopify ürün akışı</x:v>
      </x:c>
      <x:c r="O939" s="16" t="str">
        <x:v>Yüksek</x:v>
      </x:c>
      <x:c r="P939" s="19" t="n">
        <x:v>46245</x:v>
      </x:c>
      <x:c r="Q939" s="20" t="str">
        <x:v>https://shop.kimmacoffee.com/products/colombia-medellin-espresso</x:v>
      </x:c>
      <x:c r="R939" s="20" t="str">
        <x:v>Öğütüm seçenekleri aynı gramaj ve fiyatta tekilleştirildi.</x:v>
      </x:c>
    </x:row>
    <x:row r="940" ht="40" customHeight="1">
      <x:c r="A940" s="16" t="str">
        <x:v>Kimma Coffee Roasters</x:v>
      </x:c>
      <x:c r="B940" s="16" t="str">
        <x:v>İstanbul</x:v>
      </x:c>
      <x:c r="C940" s="16" t="str">
        <x:v>Doğrulandı</x:v>
      </x:c>
      <x:c r="D940" s="16" t="str">
        <x:v>Ürün kaydı</x:v>
      </x:c>
      <x:c r="E940" s="16" t="str">
        <x:v>COLOMBIA MEDELLIN ESPRESSO</x:v>
      </x:c>
      <x:c r="F940" s="16" t="str">
        <x:v>Kolombiya | Brezilya</x:v>
      </x:c>
      <x:c r="G940" s="17" t="n">
        <x:v>1000</x:v>
      </x:c>
      <x:c r="H940" s="16" t="str">
        <x:v>Erişildi</x:v>
      </x:c>
      <x:c r="I940" s="18" t="n">
        <x:v>1640</x:v>
      </x:c>
      <x:c r="J940" s="18" t="str">
        <x:v>Erişildi</x:v>
      </x:c>
      <x:c r="K940" s="18" t="n">
        <x:f>IF(AND(ISNUMBER(G940),ISNUMBER(I940)),I940/G940*1000,"Erişilemedi")</x:f>
        <x:v>1640</x:v>
      </x:c>
      <x:c r="L940" s="16" t="str">
        <x:v>Stokta</x:v>
      </x:c>
      <x:c r="M940" s="16" t="str">
        <x:v>Tek köken/ürün</x:v>
      </x:c>
      <x:c r="N940" s="16" t="str">
        <x:v>Shopify ürün akışı</x:v>
      </x:c>
      <x:c r="O940" s="16" t="str">
        <x:v>Yüksek</x:v>
      </x:c>
      <x:c r="P940" s="19" t="n">
        <x:v>46245</x:v>
      </x:c>
      <x:c r="Q940" s="20" t="str">
        <x:v>https://shop.kimmacoffee.com/products/colombia-medellin-espresso</x:v>
      </x:c>
      <x:c r="R940" s="20" t="str">
        <x:v>Öğütüm seçenekleri aynı gramaj ve fiyatta tekilleştirildi.</x:v>
      </x:c>
    </x:row>
    <x:row r="941" ht="40" customHeight="1">
      <x:c r="A941" s="16" t="str">
        <x:v>Kimma Coffee Roasters</x:v>
      </x:c>
      <x:c r="B941" s="16" t="str">
        <x:v>İstanbul</x:v>
      </x:c>
      <x:c r="C941" s="16" t="str">
        <x:v>Doğrulandı</x:v>
      </x:c>
      <x:c r="D941" s="16" t="str">
        <x:v>Ürün kaydı</x:v>
      </x:c>
      <x:c r="E941" s="16" t="str">
        <x:v>COLOMBIA MEDELLIN FİLTRE</x:v>
      </x:c>
      <x:c r="F941" s="16" t="str">
        <x:v>Kolombiya | Brezilya</x:v>
      </x:c>
      <x:c r="G941" s="17" t="n">
        <x:v>250</x:v>
      </x:c>
      <x:c r="H941" s="16" t="str">
        <x:v>Erişildi</x:v>
      </x:c>
      <x:c r="I941" s="18" t="n">
        <x:v>410</x:v>
      </x:c>
      <x:c r="J941" s="18" t="str">
        <x:v>Erişildi</x:v>
      </x:c>
      <x:c r="K941" s="18" t="n">
        <x:f>IF(AND(ISNUMBER(G941),ISNUMBER(I941)),I941/G941*1000,"Erişilemedi")</x:f>
        <x:v>1640</x:v>
      </x:c>
      <x:c r="L941" s="16" t="str">
        <x:v>Stokta</x:v>
      </x:c>
      <x:c r="M941" s="16" t="str">
        <x:v>Tek köken/ürün</x:v>
      </x:c>
      <x:c r="N941" s="16" t="str">
        <x:v>Shopify ürün akışı</x:v>
      </x:c>
      <x:c r="O941" s="16" t="str">
        <x:v>Yüksek</x:v>
      </x:c>
      <x:c r="P941" s="19" t="n">
        <x:v>46245</x:v>
      </x:c>
      <x:c r="Q941" s="20" t="str">
        <x:v>https://shop.kimmacoffee.com/products/colombia-medellin</x:v>
      </x:c>
      <x:c r="R941" s="20" t="str">
        <x:v>Öğütüm seçenekleri aynı gramaj ve fiyatta tekilleştirildi.</x:v>
      </x:c>
    </x:row>
    <x:row r="942" ht="40" customHeight="1">
      <x:c r="A942" s="16" t="str">
        <x:v>Kimma Coffee Roasters</x:v>
      </x:c>
      <x:c r="B942" s="16" t="str">
        <x:v>İstanbul</x:v>
      </x:c>
      <x:c r="C942" s="16" t="str">
        <x:v>Doğrulandı</x:v>
      </x:c>
      <x:c r="D942" s="16" t="str">
        <x:v>Ürün kaydı</x:v>
      </x:c>
      <x:c r="E942" s="16" t="str">
        <x:v>COLOMBIA MEDELLIN FİLTRE</x:v>
      </x:c>
      <x:c r="F942" s="16" t="str">
        <x:v>Kolombiya | Brezilya</x:v>
      </x:c>
      <x:c r="G942" s="17" t="n">
        <x:v>1000</x:v>
      </x:c>
      <x:c r="H942" s="16" t="str">
        <x:v>Erişildi</x:v>
      </x:c>
      <x:c r="I942" s="18" t="n">
        <x:v>1640</x:v>
      </x:c>
      <x:c r="J942" s="18" t="str">
        <x:v>Erişildi</x:v>
      </x:c>
      <x:c r="K942" s="18" t="n">
        <x:f>IF(AND(ISNUMBER(G942),ISNUMBER(I942)),I942/G942*1000,"Erişilemedi")</x:f>
        <x:v>1640</x:v>
      </x:c>
      <x:c r="L942" s="16" t="str">
        <x:v>Stokta</x:v>
      </x:c>
      <x:c r="M942" s="16" t="str">
        <x:v>Tek köken/ürün</x:v>
      </x:c>
      <x:c r="N942" s="16" t="str">
        <x:v>Shopify ürün akışı</x:v>
      </x:c>
      <x:c r="O942" s="16" t="str">
        <x:v>Yüksek</x:v>
      </x:c>
      <x:c r="P942" s="19" t="n">
        <x:v>46245</x:v>
      </x:c>
      <x:c r="Q942" s="20" t="str">
        <x:v>https://shop.kimmacoffee.com/products/colombia-medellin</x:v>
      </x:c>
      <x:c r="R942" s="20" t="str">
        <x:v>Öğütüm seçenekleri aynı gramaj ve fiyatta tekilleştirildi.</x:v>
      </x:c>
    </x:row>
    <x:row r="943" ht="40" customHeight="1">
      <x:c r="A943" s="16" t="str">
        <x:v>Kimma Coffee Roasters</x:v>
      </x:c>
      <x:c r="B943" s="16" t="str">
        <x:v>İstanbul</x:v>
      </x:c>
      <x:c r="C943" s="16" t="str">
        <x:v>Doğrulandı</x:v>
      </x:c>
      <x:c r="D943" s="16" t="str">
        <x:v>Ürün kaydı</x:v>
      </x:c>
      <x:c r="E943" s="16" t="str">
        <x:v>COLOMBIA MELON NITRO MILAN</x:v>
      </x:c>
      <x:c r="F943" s="16" t="str">
        <x:v>Kolombiya</x:v>
      </x:c>
      <x:c r="G943" s="17" t="n">
        <x:v>100</x:v>
      </x:c>
      <x:c r="H943" s="16" t="str">
        <x:v>Erişildi</x:v>
      </x:c>
      <x:c r="I943" s="18" t="n">
        <x:v>330</x:v>
      </x:c>
      <x:c r="J943" s="18" t="str">
        <x:v>Erişildi</x:v>
      </x:c>
      <x:c r="K943" s="18" t="n">
        <x:f>IF(AND(ISNUMBER(G943),ISNUMBER(I943)),I943/G943*1000,"Erişilemedi")</x:f>
        <x:v>3300</x:v>
      </x:c>
      <x:c r="L943" s="16" t="str">
        <x:v>Stokta</x:v>
      </x:c>
      <x:c r="M943" s="16" t="str">
        <x:v>Tek köken/ürün</x:v>
      </x:c>
      <x:c r="N943" s="16" t="str">
        <x:v>Shopify ürün akışı</x:v>
      </x:c>
      <x:c r="O943" s="16" t="str">
        <x:v>Yüksek</x:v>
      </x:c>
      <x:c r="P943" s="19" t="n">
        <x:v>46245</x:v>
      </x:c>
      <x:c r="Q943" s="20" t="str">
        <x:v>https://shop.kimmacoffee.com/products/colombiya-melon-nitro-milan</x:v>
      </x:c>
      <x:c r="R943" s="20" t="str">
        <x:v>Öğütüm seçenekleri aynı gramaj ve fiyatta tekilleştirildi.</x:v>
      </x:c>
    </x:row>
    <x:row r="944" ht="40" customHeight="1">
      <x:c r="A944" s="16" t="str">
        <x:v>Kimma Coffee Roasters</x:v>
      </x:c>
      <x:c r="B944" s="16" t="str">
        <x:v>İstanbul</x:v>
      </x:c>
      <x:c r="C944" s="16" t="str">
        <x:v>Doğrulandı</x:v>
      </x:c>
      <x:c r="D944" s="16" t="str">
        <x:v>Ürün kaydı</x:v>
      </x:c>
      <x:c r="E944" s="16" t="str">
        <x:v>COLOMBIA MELON NITRO MILAN</x:v>
      </x:c>
      <x:c r="F944" s="16" t="str">
        <x:v>Kolombiya</x:v>
      </x:c>
      <x:c r="G944" s="17" t="n">
        <x:v>250</x:v>
      </x:c>
      <x:c r="H944" s="16" t="str">
        <x:v>Erişildi</x:v>
      </x:c>
      <x:c r="I944" s="18" t="n">
        <x:v>800</x:v>
      </x:c>
      <x:c r="J944" s="18" t="str">
        <x:v>Erişildi</x:v>
      </x:c>
      <x:c r="K944" s="18" t="n">
        <x:f>IF(AND(ISNUMBER(G944),ISNUMBER(I944)),I944/G944*1000,"Erişilemedi")</x:f>
        <x:v>3200</x:v>
      </x:c>
      <x:c r="L944" s="16" t="str">
        <x:v>Stokta</x:v>
      </x:c>
      <x:c r="M944" s="16" t="str">
        <x:v>Tek köken/ürün</x:v>
      </x:c>
      <x:c r="N944" s="16" t="str">
        <x:v>Shopify ürün akışı</x:v>
      </x:c>
      <x:c r="O944" s="16" t="str">
        <x:v>Yüksek</x:v>
      </x:c>
      <x:c r="P944" s="19" t="n">
        <x:v>46245</x:v>
      </x:c>
      <x:c r="Q944" s="20" t="str">
        <x:v>https://shop.kimmacoffee.com/products/colombiya-melon-nitro-milan</x:v>
      </x:c>
      <x:c r="R944" s="20" t="str">
        <x:v>Öğütüm seçenekleri aynı gramaj ve fiyatta tekilleştirildi.</x:v>
      </x:c>
    </x:row>
    <x:row r="945" ht="40" customHeight="1">
      <x:c r="A945" s="16" t="str">
        <x:v>Kimma Coffee Roasters</x:v>
      </x:c>
      <x:c r="B945" s="16" t="str">
        <x:v>İstanbul</x:v>
      </x:c>
      <x:c r="C945" s="16" t="str">
        <x:v>Doğrulandı</x:v>
      </x:c>
      <x:c r="D945" s="16" t="str">
        <x:v>Ürün kaydı</x:v>
      </x:c>
      <x:c r="E945" s="16" t="str">
        <x:v>COLOMBIA MILAN PASSION FRUIT</x:v>
      </x:c>
      <x:c r="F945" s="16" t="str">
        <x:v>Kolombiya | Brezilya</x:v>
      </x:c>
      <x:c r="G945" s="17" t="n">
        <x:v>100</x:v>
      </x:c>
      <x:c r="H945" s="16" t="str">
        <x:v>Erişildi</x:v>
      </x:c>
      <x:c r="I945" s="18" t="n">
        <x:v>330</x:v>
      </x:c>
      <x:c r="J945" s="18" t="str">
        <x:v>Erişildi</x:v>
      </x:c>
      <x:c r="K945" s="18" t="n">
        <x:f>IF(AND(ISNUMBER(G945),ISNUMBER(I945)),I945/G945*1000,"Erişilemedi")</x:f>
        <x:v>3300</x:v>
      </x:c>
      <x:c r="L945" s="16" t="str">
        <x:v>Stokta</x:v>
      </x:c>
      <x:c r="M945" s="16" t="str">
        <x:v>Tek köken/ürün</x:v>
      </x:c>
      <x:c r="N945" s="16" t="str">
        <x:v>Shopify ürün akışı</x:v>
      </x:c>
      <x:c r="O945" s="16" t="str">
        <x:v>Yüksek</x:v>
      </x:c>
      <x:c r="P945" s="19" t="n">
        <x:v>46245</x:v>
      </x:c>
      <x:c r="Q945" s="20" t="str">
        <x:v>https://shop.kimmacoffee.com/products/colombiya-milan-passion-fruit</x:v>
      </x:c>
      <x:c r="R945" s="20" t="str">
        <x:v>Öğütüm seçenekleri aynı gramaj ve fiyatta tekilleştirildi.</x:v>
      </x:c>
    </x:row>
    <x:row r="946" ht="40" customHeight="1">
      <x:c r="A946" s="16" t="str">
        <x:v>Kimma Coffee Roasters</x:v>
      </x:c>
      <x:c r="B946" s="16" t="str">
        <x:v>İstanbul</x:v>
      </x:c>
      <x:c r="C946" s="16" t="str">
        <x:v>Doğrulandı</x:v>
      </x:c>
      <x:c r="D946" s="16" t="str">
        <x:v>Ürün kaydı</x:v>
      </x:c>
      <x:c r="E946" s="16" t="str">
        <x:v>COLOMBIA MILAN PASSION FRUIT</x:v>
      </x:c>
      <x:c r="F946" s="16" t="str">
        <x:v>Kolombiya | Brezilya</x:v>
      </x:c>
      <x:c r="G946" s="17" t="n">
        <x:v>250</x:v>
      </x:c>
      <x:c r="H946" s="16" t="str">
        <x:v>Erişildi</x:v>
      </x:c>
      <x:c r="I946" s="18" t="n">
        <x:v>800</x:v>
      </x:c>
      <x:c r="J946" s="18" t="str">
        <x:v>Erişildi</x:v>
      </x:c>
      <x:c r="K946" s="18" t="n">
        <x:f>IF(AND(ISNUMBER(G946),ISNUMBER(I946)),I946/G946*1000,"Erişilemedi")</x:f>
        <x:v>3200</x:v>
      </x:c>
      <x:c r="L946" s="16" t="str">
        <x:v>Stokta</x:v>
      </x:c>
      <x:c r="M946" s="16" t="str">
        <x:v>Tek köken/ürün</x:v>
      </x:c>
      <x:c r="N946" s="16" t="str">
        <x:v>Shopify ürün akışı</x:v>
      </x:c>
      <x:c r="O946" s="16" t="str">
        <x:v>Yüksek</x:v>
      </x:c>
      <x:c r="P946" s="19" t="n">
        <x:v>46245</x:v>
      </x:c>
      <x:c r="Q946" s="20" t="str">
        <x:v>https://shop.kimmacoffee.com/products/colombiya-milan-passion-fruit</x:v>
      </x:c>
      <x:c r="R946" s="20" t="str">
        <x:v>Öğütüm seçenekleri aynı gramaj ve fiyatta tekilleştirildi.</x:v>
      </x:c>
    </x:row>
    <x:row r="947" ht="40" customHeight="1">
      <x:c r="A947" s="16" t="str">
        <x:v>Kimma Coffee Roasters</x:v>
      </x:c>
      <x:c r="B947" s="16" t="str">
        <x:v>İstanbul</x:v>
      </x:c>
      <x:c r="C947" s="16" t="str">
        <x:v>Doğrulandı</x:v>
      </x:c>
      <x:c r="D947" s="16" t="str">
        <x:v>Ürün kaydı</x:v>
      </x:c>
      <x:c r="E947" s="16" t="str">
        <x:v>COLOMBIA STRAWBERRY</x:v>
      </x:c>
      <x:c r="F947" s="16" t="str">
        <x:v>Kolombiya</x:v>
      </x:c>
      <x:c r="G947" s="17" t="n">
        <x:v>100</x:v>
      </x:c>
      <x:c r="H947" s="16" t="str">
        <x:v>Erişildi</x:v>
      </x:c>
      <x:c r="I947" s="18" t="n">
        <x:v>250</x:v>
      </x:c>
      <x:c r="J947" s="18" t="str">
        <x:v>Erişildi</x:v>
      </x:c>
      <x:c r="K947" s="18" t="n">
        <x:f>IF(AND(ISNUMBER(G947),ISNUMBER(I947)),I947/G947*1000,"Erişilemedi")</x:f>
        <x:v>2500</x:v>
      </x:c>
      <x:c r="L947" s="16" t="str">
        <x:v>Stokta</x:v>
      </x:c>
      <x:c r="M947" s="16" t="str">
        <x:v>Tek köken/ürün</x:v>
      </x:c>
      <x:c r="N947" s="16" t="str">
        <x:v>Shopify ürün akışı</x:v>
      </x:c>
      <x:c r="O947" s="16" t="str">
        <x:v>Yüksek</x:v>
      </x:c>
      <x:c r="P947" s="19" t="n">
        <x:v>46245</x:v>
      </x:c>
      <x:c r="Q947" s="20" t="str">
        <x:v>https://shop.kimmacoffee.com/products/colombia-strawberry</x:v>
      </x:c>
      <x:c r="R947" s="20" t="str">
        <x:v>Öğütüm seçenekleri aynı gramaj ve fiyatta tekilleştirildi.</x:v>
      </x:c>
    </x:row>
    <x:row r="948" ht="40" customHeight="1">
      <x:c r="A948" s="16" t="str">
        <x:v>Kimma Coffee Roasters</x:v>
      </x:c>
      <x:c r="B948" s="16" t="str">
        <x:v>İstanbul</x:v>
      </x:c>
      <x:c r="C948" s="16" t="str">
        <x:v>Doğrulandı</x:v>
      </x:c>
      <x:c r="D948" s="16" t="str">
        <x:v>Ürün kaydı</x:v>
      </x:c>
      <x:c r="E948" s="16" t="str">
        <x:v>COLOMBIA STRAWBERRY</x:v>
      </x:c>
      <x:c r="F948" s="16" t="str">
        <x:v>Kolombiya</x:v>
      </x:c>
      <x:c r="G948" s="17" t="n">
        <x:v>250</x:v>
      </x:c>
      <x:c r="H948" s="16" t="str">
        <x:v>Erişildi</x:v>
      </x:c>
      <x:c r="I948" s="18" t="n">
        <x:v>700</x:v>
      </x:c>
      <x:c r="J948" s="18" t="str">
        <x:v>Erişildi</x:v>
      </x:c>
      <x:c r="K948" s="18" t="n">
        <x:f>IF(AND(ISNUMBER(G948),ISNUMBER(I948)),I948/G948*1000,"Erişilemedi")</x:f>
        <x:v>2800</x:v>
      </x:c>
      <x:c r="L948" s="16" t="str">
        <x:v>Stokta</x:v>
      </x:c>
      <x:c r="M948" s="16" t="str">
        <x:v>Tek köken/ürün</x:v>
      </x:c>
      <x:c r="N948" s="16" t="str">
        <x:v>Shopify ürün akışı</x:v>
      </x:c>
      <x:c r="O948" s="16" t="str">
        <x:v>Yüksek</x:v>
      </x:c>
      <x:c r="P948" s="19" t="n">
        <x:v>46245</x:v>
      </x:c>
      <x:c r="Q948" s="20" t="str">
        <x:v>https://shop.kimmacoffee.com/products/colombia-strawberry</x:v>
      </x:c>
      <x:c r="R948" s="20" t="str">
        <x:v>Öğütüm seçenekleri aynı gramaj ve fiyatta tekilleştirildi.</x:v>
      </x:c>
    </x:row>
    <x:row r="949" ht="40" customHeight="1">
      <x:c r="A949" s="16" t="str">
        <x:v>Kimma Coffee Roasters</x:v>
      </x:c>
      <x:c r="B949" s="16" t="str">
        <x:v>İstanbul</x:v>
      </x:c>
      <x:c r="C949" s="16" t="str">
        <x:v>Doğrulandı</x:v>
      </x:c>
      <x:c r="D949" s="16" t="str">
        <x:v>Ürün kaydı</x:v>
      </x:c>
      <x:c r="E949" s="16" t="str">
        <x:v>EL SALVADOR SAN GABRIEL</x:v>
      </x:c>
      <x:c r="F949" s="16" t="str">
        <x:v>Kolombiya | El Salvador</x:v>
      </x:c>
      <x:c r="G949" s="17" t="n">
        <x:v>250</x:v>
      </x:c>
      <x:c r="H949" s="16" t="str">
        <x:v>Erişildi</x:v>
      </x:c>
      <x:c r="I949" s="18" t="n">
        <x:v>450</x:v>
      </x:c>
      <x:c r="J949" s="18" t="str">
        <x:v>Erişildi</x:v>
      </x:c>
      <x:c r="K949" s="18" t="n">
        <x:f>IF(AND(ISNUMBER(G949),ISNUMBER(I949)),I949/G949*1000,"Erişilemedi")</x:f>
        <x:v>1800</x:v>
      </x:c>
      <x:c r="L949" s="16" t="str">
        <x:v>Stokta</x:v>
      </x:c>
      <x:c r="M949" s="16" t="str">
        <x:v>Tek köken/ürün</x:v>
      </x:c>
      <x:c r="N949" s="16" t="str">
        <x:v>Shopify ürün akışı</x:v>
      </x:c>
      <x:c r="O949" s="16" t="str">
        <x:v>Yüksek</x:v>
      </x:c>
      <x:c r="P949" s="19" t="n">
        <x:v>46245</x:v>
      </x:c>
      <x:c r="Q949" s="20" t="str">
        <x:v>https://shop.kimmacoffee.com/products/el-salvador-san-gabriel</x:v>
      </x:c>
      <x:c r="R949" s="20" t="str">
        <x:v>Öğütüm seçenekleri aynı gramaj ve fiyatta tekilleştirildi.</x:v>
      </x:c>
    </x:row>
    <x:row r="950" ht="40" customHeight="1">
      <x:c r="A950" s="16" t="str">
        <x:v>Kimma Coffee Roasters</x:v>
      </x:c>
      <x:c r="B950" s="16" t="str">
        <x:v>İstanbul</x:v>
      </x:c>
      <x:c r="C950" s="16" t="str">
        <x:v>Doğrulandı</x:v>
      </x:c>
      <x:c r="D950" s="16" t="str">
        <x:v>Ürün kaydı</x:v>
      </x:c>
      <x:c r="E950" s="16" t="str">
        <x:v>ESPRESSO BLEND NO: I</x:v>
      </x:c>
      <x:c r="F950" s="16" t="str">
        <x:v>Etiyopya | Brezilya</x:v>
      </x:c>
      <x:c r="G950" s="17" t="n">
        <x:v>250</x:v>
      </x:c>
      <x:c r="H950" s="16" t="str">
        <x:v>Erişildi</x:v>
      </x:c>
      <x:c r="I950" s="18" t="n">
        <x:v>360</x:v>
      </x:c>
      <x:c r="J950" s="18" t="str">
        <x:v>Erişildi</x:v>
      </x:c>
      <x:c r="K950" s="18" t="n">
        <x:f>IF(AND(ISNUMBER(G950),ISNUMBER(I950)),I950/G950*1000,"Erişilemedi")</x:f>
        <x:v>1440</x:v>
      </x:c>
      <x:c r="L950" s="16" t="str">
        <x:v>Stokta</x:v>
      </x:c>
      <x:c r="M950" s="16" t="str">
        <x:v>Harman</x:v>
      </x:c>
      <x:c r="N950" s="16" t="str">
        <x:v>Shopify ürün akışı</x:v>
      </x:c>
      <x:c r="O950" s="16" t="str">
        <x:v>Yüksek</x:v>
      </x:c>
      <x:c r="P950" s="19" t="n">
        <x:v>46245</x:v>
      </x:c>
      <x:c r="Q950" s="20" t="str">
        <x:v>https://shop.kimmacoffee.com/products/espresso-brand-no-i</x:v>
      </x:c>
      <x:c r="R950" s="20" t="str">
        <x:v>Öğütüm seçenekleri aynı gramaj ve fiyatta tekilleştirildi.</x:v>
      </x:c>
    </x:row>
    <x:row r="951" ht="40" customHeight="1">
      <x:c r="A951" s="16" t="str">
        <x:v>Kimma Coffee Roasters</x:v>
      </x:c>
      <x:c r="B951" s="16" t="str">
        <x:v>İstanbul</x:v>
      </x:c>
      <x:c r="C951" s="16" t="str">
        <x:v>Doğrulandı</x:v>
      </x:c>
      <x:c r="D951" s="16" t="str">
        <x:v>Ürün kaydı</x:v>
      </x:c>
      <x:c r="E951" s="16" t="str">
        <x:v>ESPRESSO BLEND NO: I</x:v>
      </x:c>
      <x:c r="F951" s="16" t="str">
        <x:v>Etiyopya | Brezilya</x:v>
      </x:c>
      <x:c r="G951" s="17" t="n">
        <x:v>1000</x:v>
      </x:c>
      <x:c r="H951" s="16" t="str">
        <x:v>Erişildi</x:v>
      </x:c>
      <x:c r="I951" s="18" t="n">
        <x:v>1440</x:v>
      </x:c>
      <x:c r="J951" s="18" t="str">
        <x:v>Erişildi</x:v>
      </x:c>
      <x:c r="K951" s="18" t="n">
        <x:f>IF(AND(ISNUMBER(G951),ISNUMBER(I951)),I951/G951*1000,"Erişilemedi")</x:f>
        <x:v>1440</x:v>
      </x:c>
      <x:c r="L951" s="16" t="str">
        <x:v>Stokta</x:v>
      </x:c>
      <x:c r="M951" s="16" t="str">
        <x:v>Harman</x:v>
      </x:c>
      <x:c r="N951" s="16" t="str">
        <x:v>Shopify ürün akışı</x:v>
      </x:c>
      <x:c r="O951" s="16" t="str">
        <x:v>Yüksek</x:v>
      </x:c>
      <x:c r="P951" s="19" t="n">
        <x:v>46245</x:v>
      </x:c>
      <x:c r="Q951" s="20" t="str">
        <x:v>https://shop.kimmacoffee.com/products/espresso-brand-no-i</x:v>
      </x:c>
      <x:c r="R951" s="20" t="str">
        <x:v>Öğütüm seçenekleri aynı gramaj ve fiyatta tekilleştirildi.</x:v>
      </x:c>
    </x:row>
    <x:row r="952" ht="40" customHeight="1">
      <x:c r="A952" s="16" t="str">
        <x:v>Kimma Coffee Roasters</x:v>
      </x:c>
      <x:c r="B952" s="16" t="str">
        <x:v>İstanbul</x:v>
      </x:c>
      <x:c r="C952" s="16" t="str">
        <x:v>Doğrulandı</x:v>
      </x:c>
      <x:c r="D952" s="16" t="str">
        <x:v>Ürün kaydı</x:v>
      </x:c>
      <x:c r="E952" s="16" t="str">
        <x:v>ESPRESSO BLEND NO: II</x:v>
      </x:c>
      <x:c r="F952" s="16" t="str">
        <x:v>Harman – menşe belirtilmemiş</x:v>
      </x:c>
      <x:c r="G952" s="17" t="n">
        <x:v>250</x:v>
      </x:c>
      <x:c r="H952" s="16" t="str">
        <x:v>Erişildi</x:v>
      </x:c>
      <x:c r="I952" s="18" t="n">
        <x:v>350</x:v>
      </x:c>
      <x:c r="J952" s="18" t="str">
        <x:v>Erişildi</x:v>
      </x:c>
      <x:c r="K952" s="18" t="n">
        <x:f>IF(AND(ISNUMBER(G952),ISNUMBER(I952)),I952/G952*1000,"Erişilemedi")</x:f>
        <x:v>1400</x:v>
      </x:c>
      <x:c r="L952" s="16" t="str">
        <x:v>Stokta</x:v>
      </x:c>
      <x:c r="M952" s="16" t="str">
        <x:v>Harman</x:v>
      </x:c>
      <x:c r="N952" s="16" t="str">
        <x:v>Shopify ürün akışı</x:v>
      </x:c>
      <x:c r="O952" s="16" t="str">
        <x:v>Yüksek</x:v>
      </x:c>
      <x:c r="P952" s="19" t="n">
        <x:v>46245</x:v>
      </x:c>
      <x:c r="Q952" s="20" t="str">
        <x:v>https://shop.kimmacoffee.com/products/espresso-blend-no-ii</x:v>
      </x:c>
      <x:c r="R952" s="20" t="str">
        <x:v>Öğütüm seçenekleri aynı gramaj ve fiyatta tekilleştirildi.</x:v>
      </x:c>
    </x:row>
    <x:row r="953" ht="40" customHeight="1">
      <x:c r="A953" s="16" t="str">
        <x:v>Kimma Coffee Roasters</x:v>
      </x:c>
      <x:c r="B953" s="16" t="str">
        <x:v>İstanbul</x:v>
      </x:c>
      <x:c r="C953" s="16" t="str">
        <x:v>Doğrulandı</x:v>
      </x:c>
      <x:c r="D953" s="16" t="str">
        <x:v>Ürün kaydı</x:v>
      </x:c>
      <x:c r="E953" s="16" t="str">
        <x:v>ESPRESSO BLEND NO: II</x:v>
      </x:c>
      <x:c r="F953" s="16" t="str">
        <x:v>Harman – menşe belirtilmemiş</x:v>
      </x:c>
      <x:c r="G953" s="17" t="n">
        <x:v>1000</x:v>
      </x:c>
      <x:c r="H953" s="16" t="str">
        <x:v>Erişildi</x:v>
      </x:c>
      <x:c r="I953" s="18" t="n">
        <x:v>1400</x:v>
      </x:c>
      <x:c r="J953" s="18" t="str">
        <x:v>Erişildi</x:v>
      </x:c>
      <x:c r="K953" s="18" t="n">
        <x:f>IF(AND(ISNUMBER(G953),ISNUMBER(I953)),I953/G953*1000,"Erişilemedi")</x:f>
        <x:v>1400</x:v>
      </x:c>
      <x:c r="L953" s="16" t="str">
        <x:v>Stokta</x:v>
      </x:c>
      <x:c r="M953" s="16" t="str">
        <x:v>Harman</x:v>
      </x:c>
      <x:c r="N953" s="16" t="str">
        <x:v>Shopify ürün akışı</x:v>
      </x:c>
      <x:c r="O953" s="16" t="str">
        <x:v>Yüksek</x:v>
      </x:c>
      <x:c r="P953" s="19" t="n">
        <x:v>46245</x:v>
      </x:c>
      <x:c r="Q953" s="20" t="str">
        <x:v>https://shop.kimmacoffee.com/products/espresso-blend-no-ii</x:v>
      </x:c>
      <x:c r="R953" s="20" t="str">
        <x:v>Öğütüm seçenekleri aynı gramaj ve fiyatta tekilleştirildi.</x:v>
      </x:c>
    </x:row>
    <x:row r="954" ht="40" customHeight="1">
      <x:c r="A954" s="16" t="str">
        <x:v>Kimma Coffee Roasters</x:v>
      </x:c>
      <x:c r="B954" s="16" t="str">
        <x:v>İstanbul</x:v>
      </x:c>
      <x:c r="C954" s="16" t="str">
        <x:v>Doğrulandı</x:v>
      </x:c>
      <x:c r="D954" s="16" t="str">
        <x:v>Ürün kaydı</x:v>
      </x:c>
      <x:c r="E954" s="16" t="str">
        <x:v>ESPRESSO NO: III</x:v>
      </x:c>
      <x:c r="F954" s="16" t="str">
        <x:v>Etiyopya | Kolombiya | Brezilya</x:v>
      </x:c>
      <x:c r="G954" s="17" t="n">
        <x:v>250</x:v>
      </x:c>
      <x:c r="H954" s="16" t="str">
        <x:v>Erişildi</x:v>
      </x:c>
      <x:c r="I954" s="18" t="n">
        <x:v>360</x:v>
      </x:c>
      <x:c r="J954" s="18" t="str">
        <x:v>Erişildi</x:v>
      </x:c>
      <x:c r="K954" s="18" t="n">
        <x:f>IF(AND(ISNUMBER(G954),ISNUMBER(I954)),I954/G954*1000,"Erişilemedi")</x:f>
        <x:v>1440</x:v>
      </x:c>
      <x:c r="L954" s="16" t="str">
        <x:v>Stokta</x:v>
      </x:c>
      <x:c r="M954" s="16" t="str">
        <x:v>Tek köken/ürün</x:v>
      </x:c>
      <x:c r="N954" s="16" t="str">
        <x:v>Shopify ürün akışı</x:v>
      </x:c>
      <x:c r="O954" s="16" t="str">
        <x:v>Yüksek</x:v>
      </x:c>
      <x:c r="P954" s="19" t="n">
        <x:v>46245</x:v>
      </x:c>
      <x:c r="Q954" s="20" t="str">
        <x:v>https://shop.kimmacoffee.com/products/espresso-no-iii</x:v>
      </x:c>
      <x:c r="R954" s="20" t="str">
        <x:v>Öğütüm seçenekleri aynı gramaj ve fiyatta tekilleştirildi.</x:v>
      </x:c>
    </x:row>
    <x:row r="955" ht="40" customHeight="1">
      <x:c r="A955" s="16" t="str">
        <x:v>Kimma Coffee Roasters</x:v>
      </x:c>
      <x:c r="B955" s="16" t="str">
        <x:v>İstanbul</x:v>
      </x:c>
      <x:c r="C955" s="16" t="str">
        <x:v>Doğrulandı</x:v>
      </x:c>
      <x:c r="D955" s="16" t="str">
        <x:v>Ürün kaydı</x:v>
      </x:c>
      <x:c r="E955" s="16" t="str">
        <x:v>ESPRESSO NO: III</x:v>
      </x:c>
      <x:c r="F955" s="16" t="str">
        <x:v>Etiyopya | Kolombiya | Brezilya</x:v>
      </x:c>
      <x:c r="G955" s="17" t="n">
        <x:v>1000</x:v>
      </x:c>
      <x:c r="H955" s="16" t="str">
        <x:v>Erişildi</x:v>
      </x:c>
      <x:c r="I955" s="18" t="n">
        <x:v>1440</x:v>
      </x:c>
      <x:c r="J955" s="18" t="str">
        <x:v>Erişildi</x:v>
      </x:c>
      <x:c r="K955" s="18" t="n">
        <x:f>IF(AND(ISNUMBER(G955),ISNUMBER(I955)),I955/G955*1000,"Erişilemedi")</x:f>
        <x:v>1440</x:v>
      </x:c>
      <x:c r="L955" s="16" t="str">
        <x:v>Stokta</x:v>
      </x:c>
      <x:c r="M955" s="16" t="str">
        <x:v>Tek köken/ürün</x:v>
      </x:c>
      <x:c r="N955" s="16" t="str">
        <x:v>Shopify ürün akışı</x:v>
      </x:c>
      <x:c r="O955" s="16" t="str">
        <x:v>Yüksek</x:v>
      </x:c>
      <x:c r="P955" s="19" t="n">
        <x:v>46245</x:v>
      </x:c>
      <x:c r="Q955" s="20" t="str">
        <x:v>https://shop.kimmacoffee.com/products/espresso-no-iii</x:v>
      </x:c>
      <x:c r="R955" s="20" t="str">
        <x:v>Öğütüm seçenekleri aynı gramaj ve fiyatta tekilleştirildi.</x:v>
      </x:c>
    </x:row>
    <x:row r="956" ht="40" customHeight="1">
      <x:c r="A956" s="16" t="str">
        <x:v>Kimma Coffee Roasters</x:v>
      </x:c>
      <x:c r="B956" s="16" t="str">
        <x:v>İstanbul</x:v>
      </x:c>
      <x:c r="C956" s="16" t="str">
        <x:v>Doğrulandı</x:v>
      </x:c>
      <x:c r="D956" s="16" t="str">
        <x:v>Ürün kaydı</x:v>
      </x:c>
      <x:c r="E956" s="16" t="str">
        <x:v>RWANDA TUMBA</x:v>
      </x:c>
      <x:c r="F956" s="16" t="str">
        <x:v>Ruanda</x:v>
      </x:c>
      <x:c r="G956" s="17" t="n">
        <x:v>250</x:v>
      </x:c>
      <x:c r="H956" s="16" t="str">
        <x:v>Erişildi</x:v>
      </x:c>
      <x:c r="I956" s="18" t="n">
        <x:v>450</x:v>
      </x:c>
      <x:c r="J956" s="18" t="str">
        <x:v>Erişildi</x:v>
      </x:c>
      <x:c r="K956" s="18" t="n">
        <x:f>IF(AND(ISNUMBER(G956),ISNUMBER(I956)),I956/G956*1000,"Erişilemedi")</x:f>
        <x:v>1800</x:v>
      </x:c>
      <x:c r="L956" s="16" t="str">
        <x:v>Stokta</x:v>
      </x:c>
      <x:c r="M956" s="16" t="str">
        <x:v>Tek köken/ürün</x:v>
      </x:c>
      <x:c r="N956" s="16" t="str">
        <x:v>Shopify ürün akışı</x:v>
      </x:c>
      <x:c r="O956" s="16" t="str">
        <x:v>Yüksek</x:v>
      </x:c>
      <x:c r="P956" s="19" t="n">
        <x:v>46245</x:v>
      </x:c>
      <x:c r="Q956" s="20" t="str">
        <x:v>https://shop.kimmacoffee.com/products/rwanda-tumba</x:v>
      </x:c>
      <x:c r="R956" s="20" t="str">
        <x:v>Öğütüm seçenekleri aynı gramaj ve fiyatta tekilleştirildi.</x:v>
      </x:c>
    </x:row>
    <x:row r="957" ht="40" customHeight="1">
      <x:c r="A957" s="16" t="str">
        <x:v>Kimma Coffee Roasters</x:v>
      </x:c>
      <x:c r="B957" s="16" t="str">
        <x:v>İstanbul</x:v>
      </x:c>
      <x:c r="C957" s="16" t="str">
        <x:v>Doğrulandı</x:v>
      </x:c>
      <x:c r="D957" s="16" t="str">
        <x:v>Ürün kaydı</x:v>
      </x:c>
      <x:c r="E957" s="16" t="str">
        <x:v>RWANDA TUMBA</x:v>
      </x:c>
      <x:c r="F957" s="16" t="str">
        <x:v>Ruanda</x:v>
      </x:c>
      <x:c r="G957" s="17" t="n">
        <x:v>1000</x:v>
      </x:c>
      <x:c r="H957" s="16" t="str">
        <x:v>Erişildi</x:v>
      </x:c>
      <x:c r="I957" s="18" t="n">
        <x:v>1800</x:v>
      </x:c>
      <x:c r="J957" s="18" t="str">
        <x:v>Erişildi</x:v>
      </x:c>
      <x:c r="K957" s="18" t="n">
        <x:f>IF(AND(ISNUMBER(G957),ISNUMBER(I957)),I957/G957*1000,"Erişilemedi")</x:f>
        <x:v>1800</x:v>
      </x:c>
      <x:c r="L957" s="16" t="str">
        <x:v>Stokta</x:v>
      </x:c>
      <x:c r="M957" s="16" t="str">
        <x:v>Tek köken/ürün</x:v>
      </x:c>
      <x:c r="N957" s="16" t="str">
        <x:v>Shopify ürün akışı</x:v>
      </x:c>
      <x:c r="O957" s="16" t="str">
        <x:v>Yüksek</x:v>
      </x:c>
      <x:c r="P957" s="19" t="n">
        <x:v>46245</x:v>
      </x:c>
      <x:c r="Q957" s="20" t="str">
        <x:v>https://shop.kimmacoffee.com/products/rwanda-tumba</x:v>
      </x:c>
      <x:c r="R957" s="20" t="str">
        <x:v>Öğütüm seçenekleri aynı gramaj ve fiyatta tekilleştirildi.</x:v>
      </x:c>
    </x:row>
    <x:row r="958" ht="40" customHeight="1">
      <x:c r="A958" s="16" t="str">
        <x:v>Kimma Coffee Roasters</x:v>
      </x:c>
      <x:c r="B958" s="16" t="str">
        <x:v>İstanbul</x:v>
      </x:c>
      <x:c r="C958" s="16" t="str">
        <x:v>Doğrulandı</x:v>
      </x:c>
      <x:c r="D958" s="16" t="str">
        <x:v>Ürün kaydı</x:v>
      </x:c>
      <x:c r="E958" s="16" t="str">
        <x:v>SPECIALTY BLEND</x:v>
      </x:c>
      <x:c r="F958" s="16" t="str">
        <x:v>Harman – menşe belirtilmemiş</x:v>
      </x:c>
      <x:c r="G958" s="17" t="n">
        <x:v>250</x:v>
      </x:c>
      <x:c r="H958" s="16" t="str">
        <x:v>Erişildi</x:v>
      </x:c>
      <x:c r="I958" s="18" t="n">
        <x:v>380</x:v>
      </x:c>
      <x:c r="J958" s="18" t="str">
        <x:v>Erişildi</x:v>
      </x:c>
      <x:c r="K958" s="18" t="n">
        <x:f>IF(AND(ISNUMBER(G958),ISNUMBER(I958)),I958/G958*1000,"Erişilemedi")</x:f>
        <x:v>1520</x:v>
      </x:c>
      <x:c r="L958" s="16" t="str">
        <x:v>Stokta</x:v>
      </x:c>
      <x:c r="M958" s="16" t="str">
        <x:v>Harman</x:v>
      </x:c>
      <x:c r="N958" s="16" t="str">
        <x:v>Shopify ürün akışı</x:v>
      </x:c>
      <x:c r="O958" s="16" t="str">
        <x:v>Yüksek</x:v>
      </x:c>
      <x:c r="P958" s="19" t="n">
        <x:v>46245</x:v>
      </x:c>
      <x:c r="Q958" s="20" t="str">
        <x:v>https://shop.kimmacoffee.com/products/specialty-blend</x:v>
      </x:c>
      <x:c r="R958" s="20" t="str">
        <x:v>Öğütüm seçenekleri aynı gramaj ve fiyatta tekilleştirildi.</x:v>
      </x:c>
    </x:row>
    <x:row r="959" ht="40" customHeight="1">
      <x:c r="A959" s="16" t="str">
        <x:v>Kimma Coffee Roasters</x:v>
      </x:c>
      <x:c r="B959" s="16" t="str">
        <x:v>İstanbul</x:v>
      </x:c>
      <x:c r="C959" s="16" t="str">
        <x:v>Doğrulandı</x:v>
      </x:c>
      <x:c r="D959" s="16" t="str">
        <x:v>Ürün kaydı</x:v>
      </x:c>
      <x:c r="E959" s="16" t="str">
        <x:v>SPECIALTY BLEND</x:v>
      </x:c>
      <x:c r="F959" s="16" t="str">
        <x:v>Harman – menşe belirtilmemiş</x:v>
      </x:c>
      <x:c r="G959" s="17" t="n">
        <x:v>1000</x:v>
      </x:c>
      <x:c r="H959" s="16" t="str">
        <x:v>Erişildi</x:v>
      </x:c>
      <x:c r="I959" s="18" t="n">
        <x:v>1520</x:v>
      </x:c>
      <x:c r="J959" s="18" t="str">
        <x:v>Erişildi</x:v>
      </x:c>
      <x:c r="K959" s="18" t="n">
        <x:f>IF(AND(ISNUMBER(G959),ISNUMBER(I959)),I959/G959*1000,"Erişilemedi")</x:f>
        <x:v>1520</x:v>
      </x:c>
      <x:c r="L959" s="16" t="str">
        <x:v>Stokta</x:v>
      </x:c>
      <x:c r="M959" s="16" t="str">
        <x:v>Harman</x:v>
      </x:c>
      <x:c r="N959" s="16" t="str">
        <x:v>Shopify ürün akışı</x:v>
      </x:c>
      <x:c r="O959" s="16" t="str">
        <x:v>Yüksek</x:v>
      </x:c>
      <x:c r="P959" s="19" t="n">
        <x:v>46245</x:v>
      </x:c>
      <x:c r="Q959" s="20" t="str">
        <x:v>https://shop.kimmacoffee.com/products/specialty-blend</x:v>
      </x:c>
      <x:c r="R959" s="20" t="str">
        <x:v>Öğütüm seçenekleri aynı gramaj ve fiyatta tekilleştirildi.</x:v>
      </x:c>
    </x:row>
    <x:row r="960" ht="40" customHeight="1">
      <x:c r="A960" s="16" t="str">
        <x:v>Kimma Coffee Roasters</x:v>
      </x:c>
      <x:c r="B960" s="16" t="str">
        <x:v>İstanbul</x:v>
      </x:c>
      <x:c r="C960" s="16" t="str">
        <x:v>Doğrulandı</x:v>
      </x:c>
      <x:c r="D960" s="16" t="str">
        <x:v>Ürün kaydı</x:v>
      </x:c>
      <x:c r="E960" s="16" t="str">
        <x:v>TÜRK KAHVESİ</x:v>
      </x:c>
      <x:c r="F960" s="16" t="str">
        <x:v>Brezilya</x:v>
      </x:c>
      <x:c r="G960" s="17" t="n">
        <x:v>250</x:v>
      </x:c>
      <x:c r="H960" s="16" t="str">
        <x:v>Erişildi</x:v>
      </x:c>
      <x:c r="I960" s="18" t="n">
        <x:v>300</x:v>
      </x:c>
      <x:c r="J960" s="18" t="str">
        <x:v>Erişildi</x:v>
      </x:c>
      <x:c r="K960" s="18" t="n">
        <x:f>IF(AND(ISNUMBER(G960),ISNUMBER(I960)),I960/G960*1000,"Erişilemedi")</x:f>
        <x:v>1200</x:v>
      </x:c>
      <x:c r="L960" s="16" t="str">
        <x:v>Stokta</x:v>
      </x:c>
      <x:c r="M960" s="16" t="str">
        <x:v>Türk kahvesi</x:v>
      </x:c>
      <x:c r="N960" s="16" t="str">
        <x:v>Shopify ürün akışı</x:v>
      </x:c>
      <x:c r="O960" s="16" t="str">
        <x:v>Yüksek</x:v>
      </x:c>
      <x:c r="P960" s="19" t="n">
        <x:v>46245</x:v>
      </x:c>
      <x:c r="Q960" s="20" t="str">
        <x:v>https://shop.kimmacoffee.com/products/turk-kahvesi̇</x:v>
      </x:c>
      <x:c r="R960" s="20" t="str">
        <x:v>Öğütüm seçenekleri aynı gramaj ve fiyatta tekilleştirildi.</x:v>
      </x:c>
    </x:row>
    <x:row r="961" ht="40" customHeight="1">
      <x:c r="A961" s="16" t="str">
        <x:v>Kimma Coffee Roasters</x:v>
      </x:c>
      <x:c r="B961" s="16" t="str">
        <x:v>İstanbul</x:v>
      </x:c>
      <x:c r="C961" s="16" t="str">
        <x:v>Doğrulandı</x:v>
      </x:c>
      <x:c r="D961" s="16" t="str">
        <x:v>Ürün kaydı</x:v>
      </x:c>
      <x:c r="E961" s="16" t="str">
        <x:v>TÜRK KAHVESİ</x:v>
      </x:c>
      <x:c r="F961" s="16" t="str">
        <x:v>Brezilya</x:v>
      </x:c>
      <x:c r="G961" s="17" t="n">
        <x:v>1000</x:v>
      </x:c>
      <x:c r="H961" s="16" t="str">
        <x:v>Erişildi</x:v>
      </x:c>
      <x:c r="I961" s="18" t="n">
        <x:v>1200</x:v>
      </x:c>
      <x:c r="J961" s="18" t="str">
        <x:v>Erişildi</x:v>
      </x:c>
      <x:c r="K961" s="18" t="n">
        <x:f>IF(AND(ISNUMBER(G961),ISNUMBER(I961)),I961/G961*1000,"Erişilemedi")</x:f>
        <x:v>1200</x:v>
      </x:c>
      <x:c r="L961" s="16" t="str">
        <x:v>Stokta</x:v>
      </x:c>
      <x:c r="M961" s="16" t="str">
        <x:v>Türk kahvesi</x:v>
      </x:c>
      <x:c r="N961" s="16" t="str">
        <x:v>Shopify ürün akışı</x:v>
      </x:c>
      <x:c r="O961" s="16" t="str">
        <x:v>Yüksek</x:v>
      </x:c>
      <x:c r="P961" s="19" t="n">
        <x:v>46245</x:v>
      </x:c>
      <x:c r="Q961" s="20" t="str">
        <x:v>https://shop.kimmacoffee.com/products/turk-kahvesi̇</x:v>
      </x:c>
      <x:c r="R961" s="20" t="str">
        <x:v>Öğütüm seçenekleri aynı gramaj ve fiyatta tekilleştirildi.</x:v>
      </x:c>
    </x:row>
    <x:row r="962" ht="40" customHeight="1">
      <x:c r="A962" s="16" t="str">
        <x:v>Kocatepe Kahve Evi</x:v>
      </x:c>
      <x:c r="B962" s="16" t="str">
        <x:v>Ankara</x:v>
      </x:c>
      <x:c r="C962" s="16" t="str">
        <x:v>Doğrulandı</x:v>
      </x:c>
      <x:c r="D962" s="16" t="str">
        <x:v>Ürün kaydı</x:v>
      </x:c>
      <x:c r="E962" s="16" t="str">
        <x:v>Brasil Santos Kahve 250 Gr</x:v>
      </x:c>
      <x:c r="F962" s="16" t="str">
        <x:v>Brezilya</x:v>
      </x:c>
      <x:c r="G962" s="17" t="n">
        <x:v>250</x:v>
      </x:c>
      <x:c r="H962" s="16" t="str">
        <x:v>Erişildi</x:v>
      </x:c>
      <x:c r="I962" s="18" t="n">
        <x:v>450</x:v>
      </x:c>
      <x:c r="J962" s="18" t="str">
        <x:v>Erişildi</x:v>
      </x:c>
      <x:c r="K962" s="18" t="n">
        <x:f>IF(AND(ISNUMBER(G962),ISNUMBER(I962)),I962/G962*1000,"Erişilemedi")</x:f>
        <x:v>1800</x:v>
      </x:c>
      <x:c r="L962" s="16" t="str">
        <x:v>Stokta</x:v>
      </x:c>
      <x:c r="M962" s="16" t="str">
        <x:v>Tek köken/ürün</x:v>
      </x:c>
      <x:c r="N962" s="16" t="str">
        <x:v>Site haritası + ürün JSON-LD</x:v>
      </x:c>
      <x:c r="O962" s="16" t="str">
        <x:v>Orta</x:v>
      </x:c>
      <x:c r="P962" s="19" t="n">
        <x:v>46245</x:v>
      </x:c>
      <x:c r="Q962" s="20" t="str">
        <x:v>https://www.kocatepekahveevi.com.tr/brasil-santos-kahve-250-gr</x:v>
      </x:c>
      <x:c r="R962" s="20" t="str">
        <x:v>Tekil ürün sayfasındaki yapılandırılmış veriden çıkarıldı.</x:v>
      </x:c>
    </x:row>
    <x:row r="963" ht="40" customHeight="1">
      <x:c r="A963" s="16" t="str">
        <x:v>Kocatepe Kahve Evi</x:v>
      </x:c>
      <x:c r="B963" s="16" t="str">
        <x:v>Ankara</x:v>
      </x:c>
      <x:c r="C963" s="16" t="str">
        <x:v>Doğrulandı</x:v>
      </x:c>
      <x:c r="D963" s="16" t="str">
        <x:v>Ürün kaydı</x:v>
      </x:c>
      <x:c r="E963" s="16" t="str">
        <x:v>Brasil Santos Kahve 250 Gr</x:v>
      </x:c>
      <x:c r="F963" s="16" t="str">
        <x:v>Brezilya</x:v>
      </x:c>
      <x:c r="G963" s="17" t="n">
        <x:v>250</x:v>
      </x:c>
      <x:c r="H963" s="16" t="str">
        <x:v>Erişildi</x:v>
      </x:c>
      <x:c r="I963" s="18" t="n">
        <x:v>0</x:v>
      </x:c>
      <x:c r="J963" s="18" t="str">
        <x:v>Erişilemedi</x:v>
      </x:c>
      <x:c r="K963" s="18" t="n">
        <x:f>IF(AND(ISNUMBER(G963),ISNUMBER(I963)),I963/G963*1000,"Erişilemedi")</x:f>
        <x:v>0</x:v>
      </x:c>
      <x:c r="L963" s="16" t="str">
        <x:v>Belirsiz</x:v>
      </x:c>
      <x:c r="M963" s="16" t="str">
        <x:v>Kahve ürünü</x:v>
      </x:c>
      <x:c r="N963" s="16" t="str">
        <x:v>Site haritası ürün sayfası</x:v>
      </x:c>
      <x:c r="O963" s="16" t="str">
        <x:v>Düşük</x:v>
      </x:c>
      <x:c r="P963" s="19" t="n">
        <x:v>46245</x:v>
      </x:c>
      <x:c r="Q963" s="20" t="str">
        <x:v>https://www.kocatepekahveevi.com.tr/brasil-santos-kahve-250-gr</x:v>
      </x:c>
      <x:c r="R963" s="20" t="str">
        <x:v>Ürün kimliği korundu; eksik alanlar erişilemedi olarak işaretlenecek.</x:v>
      </x:c>
    </x:row>
    <x:row r="964" ht="40" customHeight="1">
      <x:c r="A964" s="16" t="str">
        <x:v>Kocatepe Kahve Evi</x:v>
      </x:c>
      <x:c r="B964" s="16" t="str">
        <x:v>Ankara</x:v>
      </x:c>
      <x:c r="C964" s="16" t="str">
        <x:v>Doğrulandı</x:v>
      </x:c>
      <x:c r="D964" s="16" t="str">
        <x:v>Ürün kaydı</x:v>
      </x:c>
      <x:c r="E964" s="16" t="str">
        <x:v>Colombia Hulia Kahve 250 Gr</x:v>
      </x:c>
      <x:c r="F964" s="16" t="str">
        <x:v>Kolombiya</x:v>
      </x:c>
      <x:c r="G964" s="17" t="n">
        <x:v>250</x:v>
      </x:c>
      <x:c r="H964" s="16" t="str">
        <x:v>Erişildi</x:v>
      </x:c>
      <x:c r="I964" s="18" t="n">
        <x:v>450</x:v>
      </x:c>
      <x:c r="J964" s="18" t="str">
        <x:v>Erişildi</x:v>
      </x:c>
      <x:c r="K964" s="18" t="n">
        <x:f>IF(AND(ISNUMBER(G964),ISNUMBER(I964)),I964/G964*1000,"Erişilemedi")</x:f>
        <x:v>1800</x:v>
      </x:c>
      <x:c r="L964" s="16" t="str">
        <x:v>Stokta</x:v>
      </x:c>
      <x:c r="M964" s="16" t="str">
        <x:v>Tek köken/ürün</x:v>
      </x:c>
      <x:c r="N964" s="16" t="str">
        <x:v>Site haritası + ürün JSON-LD</x:v>
      </x:c>
      <x:c r="O964" s="16" t="str">
        <x:v>Orta</x:v>
      </x:c>
      <x:c r="P964" s="19" t="n">
        <x:v>46245</x:v>
      </x:c>
      <x:c r="Q964" s="20" t="str">
        <x:v>https://www.kocatepekahveevi.com.tr/colombia-hulia-kahve-250-gr</x:v>
      </x:c>
      <x:c r="R964" s="20" t="str">
        <x:v>Tekil ürün sayfasındaki yapılandırılmış veriden çıkarıldı.</x:v>
      </x:c>
    </x:row>
    <x:row r="965" ht="40" customHeight="1">
      <x:c r="A965" s="16" t="str">
        <x:v>Kocatepe Kahve Evi</x:v>
      </x:c>
      <x:c r="B965" s="16" t="str">
        <x:v>Ankara</x:v>
      </x:c>
      <x:c r="C965" s="16" t="str">
        <x:v>Doğrulandı</x:v>
      </x:c>
      <x:c r="D965" s="16" t="str">
        <x:v>Ürün kaydı</x:v>
      </x:c>
      <x:c r="E965" s="16" t="str">
        <x:v>Colombia Hulia Kahve 250 Gr</x:v>
      </x:c>
      <x:c r="F965" s="16" t="str">
        <x:v>Kolombiya</x:v>
      </x:c>
      <x:c r="G965" s="17" t="n">
        <x:v>250</x:v>
      </x:c>
      <x:c r="H965" s="16" t="str">
        <x:v>Erişildi</x:v>
      </x:c>
      <x:c r="I965" s="18" t="n">
        <x:v>0</x:v>
      </x:c>
      <x:c r="J965" s="18" t="str">
        <x:v>Erişilemedi</x:v>
      </x:c>
      <x:c r="K965" s="18" t="n">
        <x:f>IF(AND(ISNUMBER(G965),ISNUMBER(I965)),I965/G965*1000,"Erişilemedi")</x:f>
        <x:v>0</x:v>
      </x:c>
      <x:c r="L965" s="16" t="str">
        <x:v>Belirsiz</x:v>
      </x:c>
      <x:c r="M965" s="16" t="str">
        <x:v>Kahve ürünü</x:v>
      </x:c>
      <x:c r="N965" s="16" t="str">
        <x:v>Site haritası ürün sayfası</x:v>
      </x:c>
      <x:c r="O965" s="16" t="str">
        <x:v>Düşük</x:v>
      </x:c>
      <x:c r="P965" s="19" t="n">
        <x:v>46245</x:v>
      </x:c>
      <x:c r="Q965" s="20" t="str">
        <x:v>https://www.kocatepekahveevi.com.tr/colombia-hulia-kahve-250-gr</x:v>
      </x:c>
      <x:c r="R965" s="20" t="str">
        <x:v>Ürün kimliği korundu; eksik alanlar erişilemedi olarak işaretlenecek.</x:v>
      </x:c>
    </x:row>
    <x:row r="966" ht="40" customHeight="1">
      <x:c r="A966" s="16" t="str">
        <x:v>Kocatepe Kahve Evi</x:v>
      </x:c>
      <x:c r="B966" s="16" t="str">
        <x:v>Ankara</x:v>
      </x:c>
      <x:c r="C966" s="16" t="str">
        <x:v>Doğrulandı</x:v>
      </x:c>
      <x:c r="D966" s="16" t="str">
        <x:v>Ürün kaydı</x:v>
      </x:c>
      <x:c r="E966" s="16" t="str">
        <x:v>CR Espresso Blend 1000 Gr (Horeca)</x:v>
      </x:c>
      <x:c r="F966" s="16" t="str">
        <x:v>Harman – menşe belirtilmemiş</x:v>
      </x:c>
      <x:c r="G966" s="17" t="n">
        <x:v>1000</x:v>
      </x:c>
      <x:c r="H966" s="16" t="str">
        <x:v>Erişildi</x:v>
      </x:c>
      <x:c r="I966" s="18" t="n">
        <x:v>1350</x:v>
      </x:c>
      <x:c r="J966" s="18" t="str">
        <x:v>Erişildi</x:v>
      </x:c>
      <x:c r="K966" s="18" t="n">
        <x:f>IF(AND(ISNUMBER(G966),ISNUMBER(I966)),I966/G966*1000,"Erişilemedi")</x:f>
        <x:v>1350</x:v>
      </x:c>
      <x:c r="L966" s="16" t="str">
        <x:v>Stokta</x:v>
      </x:c>
      <x:c r="M966" s="16" t="str">
        <x:v>Harman</x:v>
      </x:c>
      <x:c r="N966" s="16" t="str">
        <x:v>Site haritası + ürün JSON-LD</x:v>
      </x:c>
      <x:c r="O966" s="16" t="str">
        <x:v>Orta</x:v>
      </x:c>
      <x:c r="P966" s="19" t="n">
        <x:v>46245</x:v>
      </x:c>
      <x:c r="Q966" s="20" t="str">
        <x:v>https://www.kocatepekahveevi.com.tr/cekirdek-kahve-espresso-blend-1000-gr-horeca</x:v>
      </x:c>
      <x:c r="R966" s="20" t="str">
        <x:v>Tekil ürün sayfasındaki yapılandırılmış veriden çıkarıldı.</x:v>
      </x:c>
    </x:row>
    <x:row r="967" ht="40" customHeight="1">
      <x:c r="A967" s="16" t="str">
        <x:v>Kocatepe Kahve Evi</x:v>
      </x:c>
      <x:c r="B967" s="16" t="str">
        <x:v>Ankara</x:v>
      </x:c>
      <x:c r="C967" s="16" t="str">
        <x:v>Doğrulandı</x:v>
      </x:c>
      <x:c r="D967" s="16" t="str">
        <x:v>Ürün kaydı</x:v>
      </x:c>
      <x:c r="E967" s="16" t="str">
        <x:v>CR Espresso Blend 1000 Gr (Horeca)</x:v>
      </x:c>
      <x:c r="F967" s="16" t="str">
        <x:v>Harman – menşe belirtilmemiş</x:v>
      </x:c>
      <x:c r="G967" s="17" t="n">
        <x:v>1000</x:v>
      </x:c>
      <x:c r="H967" s="16" t="str">
        <x:v>Erişildi</x:v>
      </x:c>
      <x:c r="I967" s="18" t="n">
        <x:v>0</x:v>
      </x:c>
      <x:c r="J967" s="18" t="str">
        <x:v>Erişilemedi</x:v>
      </x:c>
      <x:c r="K967" s="18" t="n">
        <x:f>IF(AND(ISNUMBER(G967),ISNUMBER(I967)),I967/G967*1000,"Erişilemedi")</x:f>
        <x:v>0</x:v>
      </x:c>
      <x:c r="L967" s="16" t="str">
        <x:v>Belirsiz</x:v>
      </x:c>
      <x:c r="M967" s="16" t="str">
        <x:v>Harman</x:v>
      </x:c>
      <x:c r="N967" s="16" t="str">
        <x:v>Site haritası ürün sayfası</x:v>
      </x:c>
      <x:c r="O967" s="16" t="str">
        <x:v>Düşük</x:v>
      </x:c>
      <x:c r="P967" s="19" t="n">
        <x:v>46245</x:v>
      </x:c>
      <x:c r="Q967" s="20" t="str">
        <x:v>https://www.kocatepekahveevi.com.tr/cekirdek-kahve-espresso-blend-1000-gr-horeca</x:v>
      </x:c>
      <x:c r="R967" s="20" t="str">
        <x:v>Ürün kimliği korundu; eksik alanlar erişilemedi olarak işaretlenecek.</x:v>
      </x:c>
    </x:row>
    <x:row r="968" ht="40" customHeight="1">
      <x:c r="A968" s="16" t="str">
        <x:v>Kocatepe Kahve Evi</x:v>
      </x:c>
      <x:c r="B968" s="16" t="str">
        <x:v>Ankara</x:v>
      </x:c>
      <x:c r="C968" s="16" t="str">
        <x:v>Doğrulandı</x:v>
      </x:c>
      <x:c r="D968" s="16" t="str">
        <x:v>Ürün kaydı</x:v>
      </x:c>
      <x:c r="E968" s="16" t="str">
        <x:v>CR Espresso Premium 1 Kg</x:v>
      </x:c>
      <x:c r="F968" s="16" t="str">
        <x:v>Menşe belirtilmemiş</x:v>
      </x:c>
      <x:c r="G968" s="17" t="n">
        <x:v>1000</x:v>
      </x:c>
      <x:c r="H968" s="16" t="str">
        <x:v>Erişildi</x:v>
      </x:c>
      <x:c r="I968" s="18" t="n">
        <x:v>1750</x:v>
      </x:c>
      <x:c r="J968" s="18" t="str">
        <x:v>Erişildi</x:v>
      </x:c>
      <x:c r="K968" s="18" t="n">
        <x:f>IF(AND(ISNUMBER(G968),ISNUMBER(I968)),I968/G968*1000,"Erişilemedi")</x:f>
        <x:v>1750</x:v>
      </x:c>
      <x:c r="L968" s="16" t="str">
        <x:v>Stokta</x:v>
      </x:c>
      <x:c r="M968" s="16" t="str">
        <x:v>Tek köken/ürün</x:v>
      </x:c>
      <x:c r="N968" s="16" t="str">
        <x:v>Site haritası + ürün JSON-LD</x:v>
      </x:c>
      <x:c r="O968" s="16" t="str">
        <x:v>Orta</x:v>
      </x:c>
      <x:c r="P968" s="19" t="n">
        <x:v>46245</x:v>
      </x:c>
      <x:c r="Q968" s="20" t="str">
        <x:v>https://www.kocatepekahveevi.com.tr/cekirdek-kahve-espresso-premium-1-kg</x:v>
      </x:c>
      <x:c r="R968" s="20" t="str">
        <x:v>Tekil ürün sayfasındaki yapılandırılmış veriden çıkarıldı.</x:v>
      </x:c>
    </x:row>
    <x:row r="969" ht="40" customHeight="1">
      <x:c r="A969" s="16" t="str">
        <x:v>Kocatepe Kahve Evi</x:v>
      </x:c>
      <x:c r="B969" s="16" t="str">
        <x:v>Ankara</x:v>
      </x:c>
      <x:c r="C969" s="16" t="str">
        <x:v>Doğrulandı</x:v>
      </x:c>
      <x:c r="D969" s="16" t="str">
        <x:v>Ürün kaydı</x:v>
      </x:c>
      <x:c r="E969" s="16" t="str">
        <x:v>CR Espresso Premium 1 Kg</x:v>
      </x:c>
      <x:c r="F969" s="16" t="str">
        <x:v>Menşe belirtilmemiş</x:v>
      </x:c>
      <x:c r="G969" s="17" t="n">
        <x:v>1000</x:v>
      </x:c>
      <x:c r="H969" s="16" t="str">
        <x:v>Erişildi</x:v>
      </x:c>
      <x:c r="I969" s="18" t="n">
        <x:v>0</x:v>
      </x:c>
      <x:c r="J969" s="18" t="str">
        <x:v>Erişilemedi</x:v>
      </x:c>
      <x:c r="K969" s="18" t="n">
        <x:f>IF(AND(ISNUMBER(G969),ISNUMBER(I969)),I969/G969*1000,"Erişilemedi")</x:f>
        <x:v>0</x:v>
      </x:c>
      <x:c r="L969" s="16" t="str">
        <x:v>Belirsiz</x:v>
      </x:c>
      <x:c r="M969" s="16" t="str">
        <x:v>Kahve ürünü</x:v>
      </x:c>
      <x:c r="N969" s="16" t="str">
        <x:v>Site haritası ürün sayfası</x:v>
      </x:c>
      <x:c r="O969" s="16" t="str">
        <x:v>Düşük</x:v>
      </x:c>
      <x:c r="P969" s="19" t="n">
        <x:v>46245</x:v>
      </x:c>
      <x:c r="Q969" s="20" t="str">
        <x:v>https://www.kocatepekahveevi.com.tr/cekirdek-kahve-espresso-premium-1-kg</x:v>
      </x:c>
      <x:c r="R969" s="20" t="str">
        <x:v>Ürün kimliği korundu; eksik alanlar erişilemedi olarak işaretlenecek.</x:v>
      </x:c>
    </x:row>
    <x:row r="970" ht="40" customHeight="1">
      <x:c r="A970" s="16" t="str">
        <x:v>Kocatepe Kahve Evi</x:v>
      </x:c>
      <x:c r="B970" s="16" t="str">
        <x:v>Ankara</x:v>
      </x:c>
      <x:c r="C970" s="16" t="str">
        <x:v>Doğrulandı</x:v>
      </x:c>
      <x:c r="D970" s="16" t="str">
        <x:v>Ürün kaydı</x:v>
      </x:c>
      <x:c r="E970" s="16" t="str">
        <x:v>CR Özel Harman Filtre Kahve 1 Kg</x:v>
      </x:c>
      <x:c r="F970" s="16" t="str">
        <x:v>Harman – menşe belirtilmemiş</x:v>
      </x:c>
      <x:c r="G970" s="17" t="n">
        <x:v>1000</x:v>
      </x:c>
      <x:c r="H970" s="16" t="str">
        <x:v>Erişildi</x:v>
      </x:c>
      <x:c r="I970" s="18" t="n">
        <x:v>1750</x:v>
      </x:c>
      <x:c r="J970" s="18" t="str">
        <x:v>Erişildi</x:v>
      </x:c>
      <x:c r="K970" s="18" t="n">
        <x:f>IF(AND(ISNUMBER(G970),ISNUMBER(I970)),I970/G970*1000,"Erişilemedi")</x:f>
        <x:v>1750</x:v>
      </x:c>
      <x:c r="L970" s="16" t="str">
        <x:v>Stokta</x:v>
      </x:c>
      <x:c r="M970" s="16" t="str">
        <x:v>Harman</x:v>
      </x:c>
      <x:c r="N970" s="16" t="str">
        <x:v>Site haritası + ürün JSON-LD</x:v>
      </x:c>
      <x:c r="O970" s="16" t="str">
        <x:v>Orta</x:v>
      </x:c>
      <x:c r="P970" s="19" t="n">
        <x:v>46245</x:v>
      </x:c>
      <x:c r="Q970" s="20" t="str">
        <x:v>https://www.kocatepekahveevi.com.tr/cekirdek-kahve-ozel-harman-filtre-kahve-1-kg</x:v>
      </x:c>
      <x:c r="R970" s="20" t="str">
        <x:v>Tekil ürün sayfasındaki yapılandırılmış veriden çıkarıldı.</x:v>
      </x:c>
    </x:row>
    <x:row r="971" ht="40" customHeight="1">
      <x:c r="A971" s="16" t="str">
        <x:v>Kocatepe Kahve Evi</x:v>
      </x:c>
      <x:c r="B971" s="16" t="str">
        <x:v>Ankara</x:v>
      </x:c>
      <x:c r="C971" s="16" t="str">
        <x:v>Doğrulandı</x:v>
      </x:c>
      <x:c r="D971" s="16" t="str">
        <x:v>Ürün kaydı</x:v>
      </x:c>
      <x:c r="E971" s="16" t="str">
        <x:v>CR Özel Harman Filtre Kahve 1 Kg</x:v>
      </x:c>
      <x:c r="F971" s="16" t="str">
        <x:v>Harman – menşe belirtilmemiş</x:v>
      </x:c>
      <x:c r="G971" s="17" t="n">
        <x:v>1000</x:v>
      </x:c>
      <x:c r="H971" s="16" t="str">
        <x:v>Erişildi</x:v>
      </x:c>
      <x:c r="I971" s="18" t="n">
        <x:v>0</x:v>
      </x:c>
      <x:c r="J971" s="18" t="str">
        <x:v>Erişilemedi</x:v>
      </x:c>
      <x:c r="K971" s="18" t="n">
        <x:f>IF(AND(ISNUMBER(G971),ISNUMBER(I971)),I971/G971*1000,"Erişilemedi")</x:f>
        <x:v>0</x:v>
      </x:c>
      <x:c r="L971" s="16" t="str">
        <x:v>Belirsiz</x:v>
      </x:c>
      <x:c r="M971" s="16" t="str">
        <x:v>Harman</x:v>
      </x:c>
      <x:c r="N971" s="16" t="str">
        <x:v>Site haritası ürün sayfası</x:v>
      </x:c>
      <x:c r="O971" s="16" t="str">
        <x:v>Düşük</x:v>
      </x:c>
      <x:c r="P971" s="19" t="n">
        <x:v>46245</x:v>
      </x:c>
      <x:c r="Q971" s="20" t="str">
        <x:v>https://www.kocatepekahveevi.com.tr/cekirdek-kahve-ozel-harman-filtre-kahve-1-kg</x:v>
      </x:c>
      <x:c r="R971" s="20" t="str">
        <x:v>Ürün kimliği korundu; eksik alanlar erişilemedi olarak işaretlenecek.</x:v>
      </x:c>
    </x:row>
    <x:row r="972" ht="40" customHeight="1">
      <x:c r="A972" s="16" t="str">
        <x:v>Kocatepe Kahve Evi</x:v>
      </x:c>
      <x:c r="B972" s="16" t="str">
        <x:v>Ankara</x:v>
      </x:c>
      <x:c r="C972" s="16" t="str">
        <x:v>Doğrulandı</x:v>
      </x:c>
      <x:c r="D972" s="16" t="str">
        <x:v>Ürün kaydı</x:v>
      </x:c>
      <x:c r="E972" s="16" t="str">
        <x:v>CR Türk Kahvesi Geleneksel 5 Kg (Çekirdek)</x:v>
      </x:c>
      <x:c r="F972" s="16" t="str">
        <x:v>Menşe belirtilmemiş</x:v>
      </x:c>
      <x:c r="G972" s="17" t="n">
        <x:v>5000</x:v>
      </x:c>
      <x:c r="H972" s="16" t="str">
        <x:v>Erişildi</x:v>
      </x:c>
      <x:c r="I972" s="18" t="n">
        <x:v>6000</x:v>
      </x:c>
      <x:c r="J972" s="18" t="str">
        <x:v>Erişildi</x:v>
      </x:c>
      <x:c r="K972" s="18" t="n">
        <x:f>IF(AND(ISNUMBER(G972),ISNUMBER(I972)),I972/G972*1000,"Erişilemedi")</x:f>
        <x:v>1200</x:v>
      </x:c>
      <x:c r="L972" s="16" t="str">
        <x:v>Stokta</x:v>
      </x:c>
      <x:c r="M972" s="16" t="str">
        <x:v>Tek köken/ürün</x:v>
      </x:c>
      <x:c r="N972" s="16" t="str">
        <x:v>Site haritası + ürün JSON-LD</x:v>
      </x:c>
      <x:c r="O972" s="16" t="str">
        <x:v>Orta</x:v>
      </x:c>
      <x:c r="P972" s="19" t="n">
        <x:v>46245</x:v>
      </x:c>
      <x:c r="Q972" s="20" t="str">
        <x:v>https://www.kocatepekahveevi.com.tr/turk-kahvesi-geleneksel-5-kg-cekirdek1</x:v>
      </x:c>
      <x:c r="R972" s="20" t="str">
        <x:v>Tekil ürün sayfasındaki yapılandırılmış veriden çıkarıldı.</x:v>
      </x:c>
    </x:row>
    <x:row r="973" ht="40" customHeight="1">
      <x:c r="A973" s="16" t="str">
        <x:v>Kocatepe Kahve Evi</x:v>
      </x:c>
      <x:c r="B973" s="16" t="str">
        <x:v>Ankara</x:v>
      </x:c>
      <x:c r="C973" s="16" t="str">
        <x:v>Doğrulandı</x:v>
      </x:c>
      <x:c r="D973" s="16" t="str">
        <x:v>Ürün kaydı</x:v>
      </x:c>
      <x:c r="E973" s="16" t="str">
        <x:v>CR Türk Kahvesi Geleneksel 5 Kg (Çekirdek)</x:v>
      </x:c>
      <x:c r="F973" s="16" t="str">
        <x:v>Menşe belirtilmemiş</x:v>
      </x:c>
      <x:c r="G973" s="17" t="n">
        <x:v>5000</x:v>
      </x:c>
      <x:c r="H973" s="16" t="str">
        <x:v>Erişildi</x:v>
      </x:c>
      <x:c r="I973" s="18" t="n">
        <x:v>0</x:v>
      </x:c>
      <x:c r="J973" s="18" t="str">
        <x:v>Erişilemedi</x:v>
      </x:c>
      <x:c r="K973" s="18" t="n">
        <x:f>IF(AND(ISNUMBER(G973),ISNUMBER(I973)),I973/G973*1000,"Erişilemedi")</x:f>
        <x:v>0</x:v>
      </x:c>
      <x:c r="L973" s="16" t="str">
        <x:v>Belirsiz</x:v>
      </x:c>
      <x:c r="M973" s="16" t="str">
        <x:v>Kahve ürünü</x:v>
      </x:c>
      <x:c r="N973" s="16" t="str">
        <x:v>Site haritası ürün sayfası</x:v>
      </x:c>
      <x:c r="O973" s="16" t="str">
        <x:v>Düşük</x:v>
      </x:c>
      <x:c r="P973" s="19" t="n">
        <x:v>46245</x:v>
      </x:c>
      <x:c r="Q973" s="20" t="str">
        <x:v>https://www.kocatepekahveevi.com.tr/turk-kahvesi-geleneksel-5-kg-cekirdek1</x:v>
      </x:c>
      <x:c r="R973" s="20" t="str">
        <x:v>Ürün kimliği korundu; eksik alanlar erişilemedi olarak işaretlenecek.</x:v>
      </x:c>
    </x:row>
    <x:row r="974" ht="40" customHeight="1">
      <x:c r="A974" s="16" t="str">
        <x:v>Kocatepe Kahve Evi</x:v>
      </x:c>
      <x:c r="B974" s="16" t="str">
        <x:v>Ankara</x:v>
      </x:c>
      <x:c r="C974" s="16" t="str">
        <x:v>Doğrulandı</x:v>
      </x:c>
      <x:c r="D974" s="16" t="str">
        <x:v>Ürün kaydı</x:v>
      </x:c>
      <x:c r="E974" s="16" t="str">
        <x:v>Decaf(Kafeinsiz)-Filtre Kahve 250 gr</x:v>
      </x:c>
      <x:c r="F974" s="16" t="str">
        <x:v>Menşe belirtilmemiş</x:v>
      </x:c>
      <x:c r="G974" s="17" t="n">
        <x:v>250</x:v>
      </x:c>
      <x:c r="H974" s="16" t="str">
        <x:v>Erişildi</x:v>
      </x:c>
      <x:c r="I974" s="18" t="n">
        <x:v>0</x:v>
      </x:c>
      <x:c r="J974" s="18" t="str">
        <x:v>Erişilemedi</x:v>
      </x:c>
      <x:c r="K974" s="18" t="n">
        <x:f>IF(AND(ISNUMBER(G974),ISNUMBER(I974)),I974/G974*1000,"Erişilemedi")</x:f>
        <x:v>0</x:v>
      </x:c>
      <x:c r="L974" s="16" t="str">
        <x:v>Belirsiz</x:v>
      </x:c>
      <x:c r="M974" s="16" t="str">
        <x:v>Kahve ürünü</x:v>
      </x:c>
      <x:c r="N974" s="16" t="str">
        <x:v>Site haritası ürün sayfası</x:v>
      </x:c>
      <x:c r="O974" s="16" t="str">
        <x:v>Düşük</x:v>
      </x:c>
      <x:c r="P974" s="19" t="n">
        <x:v>46245</x:v>
      </x:c>
      <x:c r="Q974" s="20" t="str">
        <x:v>https://www.kocatepekahveevi.com.tr/decafkafeinsiz-filtre-kahve-250-gr</x:v>
      </x:c>
      <x:c r="R974" s="20" t="str">
        <x:v>Ürün kimliği korundu; eksik alanlar erişilemedi olarak işaretlenecek.</x:v>
      </x:c>
    </x:row>
    <x:row r="975" ht="40" customHeight="1">
      <x:c r="A975" s="16" t="str">
        <x:v>Kocatepe Kahve Evi</x:v>
      </x:c>
      <x:c r="B975" s="16" t="str">
        <x:v>Ankara</x:v>
      </x:c>
      <x:c r="C975" s="16" t="str">
        <x:v>Doğrulandı</x:v>
      </x:c>
      <x:c r="D975" s="16" t="str">
        <x:v>Ürün kaydı</x:v>
      </x:c>
      <x:c r="E975" s="16" t="str">
        <x:v>Filtre Kahve 1000 Gr (HORECA)</x:v>
      </x:c>
      <x:c r="F975" s="16" t="str">
        <x:v>Menşe belirtilmemiş</x:v>
      </x:c>
      <x:c r="G975" s="17" t="n">
        <x:v>1000</x:v>
      </x:c>
      <x:c r="H975" s="16" t="str">
        <x:v>Erişildi</x:v>
      </x:c>
      <x:c r="I975" s="18" t="n">
        <x:v>0</x:v>
      </x:c>
      <x:c r="J975" s="18" t="str">
        <x:v>Erişilemedi</x:v>
      </x:c>
      <x:c r="K975" s="18" t="n">
        <x:f>IF(AND(ISNUMBER(G975),ISNUMBER(I975)),I975/G975*1000,"Erişilemedi")</x:f>
        <x:v>0</x:v>
      </x:c>
      <x:c r="L975" s="16" t="str">
        <x:v>Belirsiz</x:v>
      </x:c>
      <x:c r="M975" s="16" t="str">
        <x:v>Kahve ürünü</x:v>
      </x:c>
      <x:c r="N975" s="16" t="str">
        <x:v>Site haritası ürün sayfası</x:v>
      </x:c>
      <x:c r="O975" s="16" t="str">
        <x:v>Düşük</x:v>
      </x:c>
      <x:c r="P975" s="19" t="n">
        <x:v>46245</x:v>
      </x:c>
      <x:c r="Q975" s="20" t="str">
        <x:v>https://www.kocatepekahveevi.com.tr/filtre-kahve-1000-gr-horeca</x:v>
      </x:c>
      <x:c r="R975" s="20" t="str">
        <x:v>Ürün kimliği korundu; eksik alanlar erişilemedi olarak işaretlenecek.</x:v>
      </x:c>
    </x:row>
    <x:row r="976" ht="40" customHeight="1">
      <x:c r="A976" s="16" t="str">
        <x:v>Kocatepe Kahve Evi</x:v>
      </x:c>
      <x:c r="B976" s="16" t="str">
        <x:v>Ankara</x:v>
      </x:c>
      <x:c r="C976" s="16" t="str">
        <x:v>Doğrulandı</x:v>
      </x:c>
      <x:c r="D976" s="16" t="str">
        <x:v>Ürün kaydı</x:v>
      </x:c>
      <x:c r="E976" s="16" t="str">
        <x:v>Guetemala Antigua Kahve 250 Gr</x:v>
      </x:c>
      <x:c r="F976" s="16" t="str">
        <x:v>Guatemala</x:v>
      </x:c>
      <x:c r="G976" s="17" t="n">
        <x:v>250</x:v>
      </x:c>
      <x:c r="H976" s="16" t="str">
        <x:v>Erişildi</x:v>
      </x:c>
      <x:c r="I976" s="18" t="n">
        <x:v>450</x:v>
      </x:c>
      <x:c r="J976" s="18" t="str">
        <x:v>Erişildi</x:v>
      </x:c>
      <x:c r="K976" s="18" t="n">
        <x:f>IF(AND(ISNUMBER(G976),ISNUMBER(I976)),I976/G976*1000,"Erişilemedi")</x:f>
        <x:v>1800</x:v>
      </x:c>
      <x:c r="L976" s="16" t="str">
        <x:v>Stokta</x:v>
      </x:c>
      <x:c r="M976" s="16" t="str">
        <x:v>Tek köken/ürün</x:v>
      </x:c>
      <x:c r="N976" s="16" t="str">
        <x:v>Site haritası + ürün JSON-LD</x:v>
      </x:c>
      <x:c r="O976" s="16" t="str">
        <x:v>Orta</x:v>
      </x:c>
      <x:c r="P976" s="19" t="n">
        <x:v>46245</x:v>
      </x:c>
      <x:c r="Q976" s="20" t="str">
        <x:v>https://www.kocatepekahveevi.com.tr/guetemala-antigua-kahve-250-gr</x:v>
      </x:c>
      <x:c r="R976" s="20" t="str">
        <x:v>Tekil ürün sayfasındaki yapılandırılmış veriden çıkarıldı.</x:v>
      </x:c>
    </x:row>
    <x:row r="977" ht="40" customHeight="1">
      <x:c r="A977" s="16" t="str">
        <x:v>Kocatepe Kahve Evi</x:v>
      </x:c>
      <x:c r="B977" s="16" t="str">
        <x:v>Ankara</x:v>
      </x:c>
      <x:c r="C977" s="16" t="str">
        <x:v>Doğrulandı</x:v>
      </x:c>
      <x:c r="D977" s="16" t="str">
        <x:v>Ürün kaydı</x:v>
      </x:c>
      <x:c r="E977" s="16" t="str">
        <x:v>Guetemala Antigua Kahve 250 Gr</x:v>
      </x:c>
      <x:c r="F977" s="16" t="str">
        <x:v>Guatemala</x:v>
      </x:c>
      <x:c r="G977" s="17" t="n">
        <x:v>250</x:v>
      </x:c>
      <x:c r="H977" s="16" t="str">
        <x:v>Erişildi</x:v>
      </x:c>
      <x:c r="I977" s="18" t="n">
        <x:v>0</x:v>
      </x:c>
      <x:c r="J977" s="18" t="str">
        <x:v>Erişilemedi</x:v>
      </x:c>
      <x:c r="K977" s="18" t="n">
        <x:f>IF(AND(ISNUMBER(G977),ISNUMBER(I977)),I977/G977*1000,"Erişilemedi")</x:f>
        <x:v>0</x:v>
      </x:c>
      <x:c r="L977" s="16" t="str">
        <x:v>Belirsiz</x:v>
      </x:c>
      <x:c r="M977" s="16" t="str">
        <x:v>Kahve ürünü</x:v>
      </x:c>
      <x:c r="N977" s="16" t="str">
        <x:v>Site haritası ürün sayfası</x:v>
      </x:c>
      <x:c r="O977" s="16" t="str">
        <x:v>Düşük</x:v>
      </x:c>
      <x:c r="P977" s="19" t="n">
        <x:v>46245</x:v>
      </x:c>
      <x:c r="Q977" s="20" t="str">
        <x:v>https://www.kocatepekahveevi.com.tr/guetemala-antigua-kahve-250-gr</x:v>
      </x:c>
      <x:c r="R977" s="20" t="str">
        <x:v>Ürün kimliği korundu; eksik alanlar erişilemedi olarak işaretlenecek.</x:v>
      </x:c>
    </x:row>
    <x:row r="978" ht="40" customHeight="1">
      <x:c r="A978" s="16" t="str">
        <x:v>Kocatepe Kahve Evi</x:v>
      </x:c>
      <x:c r="B978" s="16" t="str">
        <x:v>Ankara</x:v>
      </x:c>
      <x:c r="C978" s="16" t="str">
        <x:v>Doğrulandı</x:v>
      </x:c>
      <x:c r="D978" s="16" t="str">
        <x:v>Ürün kaydı</x:v>
      </x:c>
      <x:c r="E978" s="16" t="str">
        <x:v>KA BROWN MİX KAHVERENGİ MUKAVVA KUTU</x:v>
      </x:c>
      <x:c r="F978" s="16" t="str">
        <x:v>Menşe belirtilmemiş</x:v>
      </x:c>
      <x:c r="G978" s="17" t="str">
        <x:v>Erişilemedi</x:v>
      </x:c>
      <x:c r="H978" s="16" t="str">
        <x:v>Erişilemedi</x:v>
      </x:c>
      <x:c r="I978" s="18" t="n">
        <x:v>0</x:v>
      </x:c>
      <x:c r="J978" s="18" t="str">
        <x:v>Erişilemedi</x:v>
      </x:c>
      <x:c r="K978" s="18" t="str">
        <x:f>IF(AND(ISNUMBER(G978),ISNUMBER(I978)),I978/G978*1000,"Erişilemedi")</x:f>
        <x:v>Erişilemedi</x:v>
      </x:c>
      <x:c r="L978" s="16" t="str">
        <x:v>Belirsiz</x:v>
      </x:c>
      <x:c r="M978" s="16" t="str">
        <x:v>Kahve ürünü</x:v>
      </x:c>
      <x:c r="N978" s="16" t="str">
        <x:v>Site haritası ürün sayfası</x:v>
      </x:c>
      <x:c r="O978" s="16" t="str">
        <x:v>Düşük</x:v>
      </x:c>
      <x:c r="P978" s="19" t="n">
        <x:v>46245</x:v>
      </x:c>
      <x:c r="Q978" s="20" t="str">
        <x:v>https://www.kocatepekahveevi.com.tr/22x17.5x4-ustten-gecme-mukavva-kutu</x:v>
      </x:c>
      <x:c r="R978" s="20" t="str">
        <x:v>Ürün kimliği korundu; eksik alanlar erişilemedi olarak işaretlenecek.</x:v>
      </x:c>
    </x:row>
    <x:row r="979" ht="40" customHeight="1">
      <x:c r="A979" s="16" t="str">
        <x:v>Kocatepe Kahve Evi</x:v>
      </x:c>
      <x:c r="B979" s="16" t="str">
        <x:v>Ankara</x:v>
      </x:c>
      <x:c r="C979" s="16" t="str">
        <x:v>Doğrulandı</x:v>
      </x:c>
      <x:c r="D979" s="16" t="str">
        <x:v>Ürün kaydı</x:v>
      </x:c>
      <x:c r="E979" s="16" t="str">
        <x:v>Kenia AA Kahve 250 Gr</x:v>
      </x:c>
      <x:c r="F979" s="16" t="str">
        <x:v>Kenya</x:v>
      </x:c>
      <x:c r="G979" s="17" t="n">
        <x:v>250</x:v>
      </x:c>
      <x:c r="H979" s="16" t="str">
        <x:v>Erişildi</x:v>
      </x:c>
      <x:c r="I979" s="18" t="n">
        <x:v>450</x:v>
      </x:c>
      <x:c r="J979" s="18" t="str">
        <x:v>Erişildi</x:v>
      </x:c>
      <x:c r="K979" s="18" t="n">
        <x:f>IF(AND(ISNUMBER(G979),ISNUMBER(I979)),I979/G979*1000,"Erişilemedi")</x:f>
        <x:v>1800</x:v>
      </x:c>
      <x:c r="L979" s="16" t="str">
        <x:v>Stokta</x:v>
      </x:c>
      <x:c r="M979" s="16" t="str">
        <x:v>Tek köken/ürün</x:v>
      </x:c>
      <x:c r="N979" s="16" t="str">
        <x:v>Site haritası + ürün JSON-LD</x:v>
      </x:c>
      <x:c r="O979" s="16" t="str">
        <x:v>Orta</x:v>
      </x:c>
      <x:c r="P979" s="19" t="n">
        <x:v>46245</x:v>
      </x:c>
      <x:c r="Q979" s="20" t="str">
        <x:v>https://www.kocatepekahveevi.com.tr/kenia-aa-kahve-250-gr</x:v>
      </x:c>
      <x:c r="R979" s="20" t="str">
        <x:v>Tekil ürün sayfasındaki yapılandırılmış veriden çıkarıldı.</x:v>
      </x:c>
    </x:row>
    <x:row r="980" ht="40" customHeight="1">
      <x:c r="A980" s="16" t="str">
        <x:v>Kocatepe Kahve Evi</x:v>
      </x:c>
      <x:c r="B980" s="16" t="str">
        <x:v>Ankara</x:v>
      </x:c>
      <x:c r="C980" s="16" t="str">
        <x:v>Doğrulandı</x:v>
      </x:c>
      <x:c r="D980" s="16" t="str">
        <x:v>Ürün kaydı</x:v>
      </x:c>
      <x:c r="E980" s="16" t="str">
        <x:v>Kenia AA Kahve 250 Gr</x:v>
      </x:c>
      <x:c r="F980" s="16" t="str">
        <x:v>Kenya</x:v>
      </x:c>
      <x:c r="G980" s="17" t="n">
        <x:v>250</x:v>
      </x:c>
      <x:c r="H980" s="16" t="str">
        <x:v>Erişildi</x:v>
      </x:c>
      <x:c r="I980" s="18" t="n">
        <x:v>0</x:v>
      </x:c>
      <x:c r="J980" s="18" t="str">
        <x:v>Erişilemedi</x:v>
      </x:c>
      <x:c r="K980" s="18" t="n">
        <x:f>IF(AND(ISNUMBER(G980),ISNUMBER(I980)),I980/G980*1000,"Erişilemedi")</x:f>
        <x:v>0</x:v>
      </x:c>
      <x:c r="L980" s="16" t="str">
        <x:v>Belirsiz</x:v>
      </x:c>
      <x:c r="M980" s="16" t="str">
        <x:v>Kahve ürünü</x:v>
      </x:c>
      <x:c r="N980" s="16" t="str">
        <x:v>Site haritası ürün sayfası</x:v>
      </x:c>
      <x:c r="O980" s="16" t="str">
        <x:v>Düşük</x:v>
      </x:c>
      <x:c r="P980" s="19" t="n">
        <x:v>46245</x:v>
      </x:c>
      <x:c r="Q980" s="20" t="str">
        <x:v>https://www.kocatepekahveevi.com.tr/kenia-aa-kahve-250-gr</x:v>
      </x:c>
      <x:c r="R980" s="20" t="str">
        <x:v>Ürün kimliği korundu; eksik alanlar erişilemedi olarak işaretlenecek.</x:v>
      </x:c>
    </x:row>
    <x:row r="981" ht="40" customHeight="1">
      <x:c r="A981" s="16" t="str">
        <x:v>Kocatepe Kahve Evi</x:v>
      </x:c>
      <x:c r="B981" s="16" t="str">
        <x:v>Ankara</x:v>
      </x:c>
      <x:c r="C981" s="16" t="str">
        <x:v>Doğrulandı</x:v>
      </x:c>
      <x:c r="D981" s="16" t="str">
        <x:v>Ürün kaydı</x:v>
      </x:c>
      <x:c r="E981" s="16" t="str">
        <x:v>Sıcak Çikolata 350 Gr</x:v>
      </x:c>
      <x:c r="F981" s="16" t="str">
        <x:v>Menşe belirtilmemiş</x:v>
      </x:c>
      <x:c r="G981" s="17" t="n">
        <x:v>350</x:v>
      </x:c>
      <x:c r="H981" s="16" t="str">
        <x:v>Erişildi</x:v>
      </x:c>
      <x:c r="I981" s="18" t="n">
        <x:v>600</x:v>
      </x:c>
      <x:c r="J981" s="18" t="str">
        <x:v>Erişildi</x:v>
      </x:c>
      <x:c r="K981" s="18" t="n">
        <x:f>IF(AND(ISNUMBER(G981),ISNUMBER(I981)),I981/G981*1000,"Erişilemedi")</x:f>
        <x:v>1714.2857142857142</x:v>
      </x:c>
      <x:c r="L981" s="16" t="str">
        <x:v>Stokta</x:v>
      </x:c>
      <x:c r="M981" s="16" t="str">
        <x:v>Tek köken/ürün</x:v>
      </x:c>
      <x:c r="N981" s="16" t="str">
        <x:v>Site haritası + ürün JSON-LD</x:v>
      </x:c>
      <x:c r="O981" s="16" t="str">
        <x:v>Orta</x:v>
      </x:c>
      <x:c r="P981" s="19" t="n">
        <x:v>46245</x:v>
      </x:c>
      <x:c r="Q981" s="20" t="str">
        <x:v>https://www.kocatepekahveevi.com.tr/sicak-cikolata-350-gr</x:v>
      </x:c>
      <x:c r="R981" s="20" t="str">
        <x:v>Tekil ürün sayfasındaki yapılandırılmış veriden çıkarıldı.</x:v>
      </x:c>
    </x:row>
    <x:row r="982" ht="40" customHeight="1">
      <x:c r="A982" s="16" t="str">
        <x:v>Kocatepe Kahve Evi</x:v>
      </x:c>
      <x:c r="B982" s="16" t="str">
        <x:v>Ankara</x:v>
      </x:c>
      <x:c r="C982" s="16" t="str">
        <x:v>Doğrulandı</x:v>
      </x:c>
      <x:c r="D982" s="16" t="str">
        <x:v>Ürün kaydı</x:v>
      </x:c>
      <x:c r="E982" s="16" t="str">
        <x:v>Sıcak Çikolata 350 Gr</x:v>
      </x:c>
      <x:c r="F982" s="16" t="str">
        <x:v>Menşe belirtilmemiş</x:v>
      </x:c>
      <x:c r="G982" s="17" t="n">
        <x:v>350</x:v>
      </x:c>
      <x:c r="H982" s="16" t="str">
        <x:v>Erişildi</x:v>
      </x:c>
      <x:c r="I982" s="18" t="n">
        <x:v>0</x:v>
      </x:c>
      <x:c r="J982" s="18" t="str">
        <x:v>Erişilemedi</x:v>
      </x:c>
      <x:c r="K982" s="18" t="n">
        <x:f>IF(AND(ISNUMBER(G982),ISNUMBER(I982)),I982/G982*1000,"Erişilemedi")</x:f>
        <x:v>0</x:v>
      </x:c>
      <x:c r="L982" s="16" t="str">
        <x:v>Belirsiz</x:v>
      </x:c>
      <x:c r="M982" s="16" t="str">
        <x:v>Kahve ürünü</x:v>
      </x:c>
      <x:c r="N982" s="16" t="str">
        <x:v>Site haritası ürün sayfası</x:v>
      </x:c>
      <x:c r="O982" s="16" t="str">
        <x:v>Düşük</x:v>
      </x:c>
      <x:c r="P982" s="19" t="n">
        <x:v>46245</x:v>
      </x:c>
      <x:c r="Q982" s="20" t="str">
        <x:v>https://www.kocatepekahveevi.com.tr/sicak-cikolata-350-gr</x:v>
      </x:c>
      <x:c r="R982" s="20" t="str">
        <x:v>Ürün kimliği korundu; eksik alanlar erişilemedi olarak işaretlenecek.</x:v>
      </x:c>
    </x:row>
    <x:row r="983" ht="40" customHeight="1">
      <x:c r="A983" s="16" t="str">
        <x:v>Kocatepe Kahve Evi</x:v>
      </x:c>
      <x:c r="B983" s="16" t="str">
        <x:v>Ankara</x:v>
      </x:c>
      <x:c r="C983" s="16" t="str">
        <x:v>Doğrulandı</x:v>
      </x:c>
      <x:c r="D983" s="16" t="str">
        <x:v>Ürün kaydı</x:v>
      </x:c>
      <x:c r="E983" s="16" t="str">
        <x:v>Türk Kahvesi Damla Sakızlı 100 Gr</x:v>
      </x:c>
      <x:c r="F983" s="16" t="str">
        <x:v>Menşe belirtilmemiş</x:v>
      </x:c>
      <x:c r="G983" s="17" t="n">
        <x:v>100</x:v>
      </x:c>
      <x:c r="H983" s="16" t="str">
        <x:v>Erişildi</x:v>
      </x:c>
      <x:c r="I983" s="18" t="n">
        <x:v>140</x:v>
      </x:c>
      <x:c r="J983" s="18" t="str">
        <x:v>Erişildi</x:v>
      </x:c>
      <x:c r="K983" s="18" t="n">
        <x:f>IF(AND(ISNUMBER(G983),ISNUMBER(I983)),I983/G983*1000,"Erişilemedi")</x:f>
        <x:v>1400</x:v>
      </x:c>
      <x:c r="L983" s="16" t="str">
        <x:v>Stokta</x:v>
      </x:c>
      <x:c r="M983" s="16" t="str">
        <x:v>Tek köken/ürün</x:v>
      </x:c>
      <x:c r="N983" s="16" t="str">
        <x:v>Site haritası + ürün JSON-LD</x:v>
      </x:c>
      <x:c r="O983" s="16" t="str">
        <x:v>Orta</x:v>
      </x:c>
      <x:c r="P983" s="19" t="n">
        <x:v>46245</x:v>
      </x:c>
      <x:c r="Q983" s="20" t="str">
        <x:v>https://www.kocatepekahveevi.com.tr/turk-kahvesi-damla-sakizli-100-gr</x:v>
      </x:c>
      <x:c r="R983" s="20" t="str">
        <x:v>Tekil ürün sayfasındaki yapılandırılmış veriden çıkarıldı.</x:v>
      </x:c>
    </x:row>
    <x:row r="984" ht="40" customHeight="1">
      <x:c r="A984" s="16" t="str">
        <x:v>Kocatepe Kahve Evi</x:v>
      </x:c>
      <x:c r="B984" s="16" t="str">
        <x:v>Ankara</x:v>
      </x:c>
      <x:c r="C984" s="16" t="str">
        <x:v>Doğrulandı</x:v>
      </x:c>
      <x:c r="D984" s="16" t="str">
        <x:v>Ürün kaydı</x:v>
      </x:c>
      <x:c r="E984" s="16" t="str">
        <x:v>Türk Kahvesi Damla Sakızlı 100 Gr</x:v>
      </x:c>
      <x:c r="F984" s="16" t="str">
        <x:v>Menşe belirtilmemiş</x:v>
      </x:c>
      <x:c r="G984" s="17" t="n">
        <x:v>100</x:v>
      </x:c>
      <x:c r="H984" s="16" t="str">
        <x:v>Erişildi</x:v>
      </x:c>
      <x:c r="I984" s="18" t="n">
        <x:v>0</x:v>
      </x:c>
      <x:c r="J984" s="18" t="str">
        <x:v>Erişilemedi</x:v>
      </x:c>
      <x:c r="K984" s="18" t="n">
        <x:f>IF(AND(ISNUMBER(G984),ISNUMBER(I984)),I984/G984*1000,"Erişilemedi")</x:f>
        <x:v>0</x:v>
      </x:c>
      <x:c r="L984" s="16" t="str">
        <x:v>Belirsiz</x:v>
      </x:c>
      <x:c r="M984" s="16" t="str">
        <x:v>Kahve ürünü</x:v>
      </x:c>
      <x:c r="N984" s="16" t="str">
        <x:v>Site haritası ürün sayfası</x:v>
      </x:c>
      <x:c r="O984" s="16" t="str">
        <x:v>Düşük</x:v>
      </x:c>
      <x:c r="P984" s="19" t="n">
        <x:v>46245</x:v>
      </x:c>
      <x:c r="Q984" s="20" t="str">
        <x:v>https://www.kocatepekahveevi.com.tr/turk-kahvesi-damla-sakizli-100-gr</x:v>
      </x:c>
      <x:c r="R984" s="20" t="str">
        <x:v>Ürün kimliği korundu; eksik alanlar erişilemedi olarak işaretlenecek.</x:v>
      </x:c>
    </x:row>
    <x:row r="985" ht="40" customHeight="1">
      <x:c r="A985" s="16" t="str">
        <x:v>Kocatepe Kahve Evi</x:v>
      </x:c>
      <x:c r="B985" s="16" t="str">
        <x:v>Ankara</x:v>
      </x:c>
      <x:c r="C985" s="16" t="str">
        <x:v>Doğrulandı</x:v>
      </x:c>
      <x:c r="D985" s="16" t="str">
        <x:v>Ürün kaydı</x:v>
      </x:c>
      <x:c r="E985" s="16" t="str">
        <x:v>Türk Kahvesi Geleneksel 100 Gr</x:v>
      </x:c>
      <x:c r="F985" s="16" t="str">
        <x:v>Menşe belirtilmemiş</x:v>
      </x:c>
      <x:c r="G985" s="17" t="n">
        <x:v>100</x:v>
      </x:c>
      <x:c r="H985" s="16" t="str">
        <x:v>Erişildi</x:v>
      </x:c>
      <x:c r="I985" s="18" t="n">
        <x:v>0</x:v>
      </x:c>
      <x:c r="J985" s="18" t="str">
        <x:v>Erişilemedi</x:v>
      </x:c>
      <x:c r="K985" s="18" t="n">
        <x:f>IF(AND(ISNUMBER(G985),ISNUMBER(I985)),I985/G985*1000,"Erişilemedi")</x:f>
        <x:v>0</x:v>
      </x:c>
      <x:c r="L985" s="16" t="str">
        <x:v>Belirsiz</x:v>
      </x:c>
      <x:c r="M985" s="16" t="str">
        <x:v>Kahve ürünü</x:v>
      </x:c>
      <x:c r="N985" s="16" t="str">
        <x:v>Site haritası ürün sayfası</x:v>
      </x:c>
      <x:c r="O985" s="16" t="str">
        <x:v>Düşük</x:v>
      </x:c>
      <x:c r="P985" s="19" t="n">
        <x:v>46245</x:v>
      </x:c>
      <x:c r="Q985" s="20" t="str">
        <x:v>https://www.kocatepekahveevi.com.tr/turk-kahvesi-geleneksel-100-gr</x:v>
      </x:c>
      <x:c r="R985" s="20" t="str">
        <x:v>Ürün kimliği korundu; eksik alanlar erişilemedi olarak işaretlenecek.</x:v>
      </x:c>
    </x:row>
    <x:row r="986" ht="40" customHeight="1">
      <x:c r="A986" s="16" t="str">
        <x:v>Kocatepe Kahve Evi</x:v>
      </x:c>
      <x:c r="B986" s="16" t="str">
        <x:v>Ankara</x:v>
      </x:c>
      <x:c r="C986" s="16" t="str">
        <x:v>Doğrulandı</x:v>
      </x:c>
      <x:c r="D986" s="16" t="str">
        <x:v>Ürün kaydı</x:v>
      </x:c>
      <x:c r="E986" s="16" t="str">
        <x:v>Türk Kahvesi Gurme 100 Gr</x:v>
      </x:c>
      <x:c r="F986" s="16" t="str">
        <x:v>Menşe belirtilmemiş</x:v>
      </x:c>
      <x:c r="G986" s="17" t="n">
        <x:v>100</x:v>
      </x:c>
      <x:c r="H986" s="16" t="str">
        <x:v>Erişildi</x:v>
      </x:c>
      <x:c r="I986" s="18" t="n">
        <x:v>0</x:v>
      </x:c>
      <x:c r="J986" s="18" t="str">
        <x:v>Erişilemedi</x:v>
      </x:c>
      <x:c r="K986" s="18" t="n">
        <x:f>IF(AND(ISNUMBER(G986),ISNUMBER(I986)),I986/G986*1000,"Erişilemedi")</x:f>
        <x:v>0</x:v>
      </x:c>
      <x:c r="L986" s="16" t="str">
        <x:v>Belirsiz</x:v>
      </x:c>
      <x:c r="M986" s="16" t="str">
        <x:v>Kahve ürünü</x:v>
      </x:c>
      <x:c r="N986" s="16" t="str">
        <x:v>Site haritası ürün sayfası</x:v>
      </x:c>
      <x:c r="O986" s="16" t="str">
        <x:v>Düşük</x:v>
      </x:c>
      <x:c r="P986" s="19" t="n">
        <x:v>46245</x:v>
      </x:c>
      <x:c r="Q986" s="20" t="str">
        <x:v>https://www.kocatepekahveevi.com.tr/turk-kahvesi-gurme-100-gr</x:v>
      </x:c>
      <x:c r="R986" s="20" t="str">
        <x:v>Ürün kimliği korundu; eksik alanlar erişilemedi olarak işaretlenecek.</x:v>
      </x:c>
    </x:row>
    <x:row r="987" ht="40" customHeight="1">
      <x:c r="A987" s="16" t="str">
        <x:v>Kocatepe Kahve Evi</x:v>
      </x:c>
      <x:c r="B987" s="16" t="str">
        <x:v>Ankara</x:v>
      </x:c>
      <x:c r="C987" s="16" t="str">
        <x:v>Doğrulandı</x:v>
      </x:c>
      <x:c r="D987" s="16" t="str">
        <x:v>Ürün kaydı</x:v>
      </x:c>
      <x:c r="E987" s="16" t="str">
        <x:v>Türk Kahvesi HORECA 1 Kg (Öğütülmüş)</x:v>
      </x:c>
      <x:c r="F987" s="16" t="str">
        <x:v>Menşe belirtilmemiş</x:v>
      </x:c>
      <x:c r="G987" s="17" t="n">
        <x:v>1000</x:v>
      </x:c>
      <x:c r="H987" s="16" t="str">
        <x:v>Erişildi</x:v>
      </x:c>
      <x:c r="I987" s="18" t="n">
        <x:v>1150</x:v>
      </x:c>
      <x:c r="J987" s="18" t="str">
        <x:v>Erişildi</x:v>
      </x:c>
      <x:c r="K987" s="18" t="n">
        <x:f>IF(AND(ISNUMBER(G987),ISNUMBER(I987)),I987/G987*1000,"Erişilemedi")</x:f>
        <x:v>1150</x:v>
      </x:c>
      <x:c r="L987" s="16" t="str">
        <x:v>Stokta</x:v>
      </x:c>
      <x:c r="M987" s="16" t="str">
        <x:v>Tek köken/ürün</x:v>
      </x:c>
      <x:c r="N987" s="16" t="str">
        <x:v>Site haritası + ürün JSON-LD</x:v>
      </x:c>
      <x:c r="O987" s="16" t="str">
        <x:v>Orta</x:v>
      </x:c>
      <x:c r="P987" s="19" t="n">
        <x:v>46245</x:v>
      </x:c>
      <x:c r="Q987" s="20" t="str">
        <x:v>https://www.kocatepekahveevi.com.tr/turk-kahvesi-horeca-1-kg-ogutulmus</x:v>
      </x:c>
      <x:c r="R987" s="20" t="str">
        <x:v>Tekil ürün sayfasındaki yapılandırılmış veriden çıkarıldı.</x:v>
      </x:c>
    </x:row>
    <x:row r="988" ht="40" customHeight="1">
      <x:c r="A988" s="16" t="str">
        <x:v>Kocatepe Kahve Evi</x:v>
      </x:c>
      <x:c r="B988" s="16" t="str">
        <x:v>Ankara</x:v>
      </x:c>
      <x:c r="C988" s="16" t="str">
        <x:v>Doğrulandı</x:v>
      </x:c>
      <x:c r="D988" s="16" t="str">
        <x:v>Ürün kaydı</x:v>
      </x:c>
      <x:c r="E988" s="16" t="str">
        <x:v>Türk Kahvesi HORECA 1 Kg (Öğütülmüş)</x:v>
      </x:c>
      <x:c r="F988" s="16" t="str">
        <x:v>Menşe belirtilmemiş</x:v>
      </x:c>
      <x:c r="G988" s="17" t="n">
        <x:v>1000</x:v>
      </x:c>
      <x:c r="H988" s="16" t="str">
        <x:v>Erişildi</x:v>
      </x:c>
      <x:c r="I988" s="18" t="n">
        <x:v>0</x:v>
      </x:c>
      <x:c r="J988" s="18" t="str">
        <x:v>Erişilemedi</x:v>
      </x:c>
      <x:c r="K988" s="18" t="n">
        <x:f>IF(AND(ISNUMBER(G988),ISNUMBER(I988)),I988/G988*1000,"Erişilemedi")</x:f>
        <x:v>0</x:v>
      </x:c>
      <x:c r="L988" s="16" t="str">
        <x:v>Belirsiz</x:v>
      </x:c>
      <x:c r="M988" s="16" t="str">
        <x:v>Kahve ürünü</x:v>
      </x:c>
      <x:c r="N988" s="16" t="str">
        <x:v>Site haritası ürün sayfası</x:v>
      </x:c>
      <x:c r="O988" s="16" t="str">
        <x:v>Düşük</x:v>
      </x:c>
      <x:c r="P988" s="19" t="n">
        <x:v>46245</x:v>
      </x:c>
      <x:c r="Q988" s="20" t="str">
        <x:v>https://www.kocatepekahveevi.com.tr/turk-kahvesi-horeca-1-kg-ogutulmus</x:v>
      </x:c>
      <x:c r="R988" s="20" t="str">
        <x:v>Ürün kimliği korundu; eksik alanlar erişilemedi olarak işaretlenecek.</x:v>
      </x:c>
    </x:row>
    <x:row r="989" ht="40" customHeight="1">
      <x:c r="A989" s="16" t="str">
        <x:v>Kocatepe Kahve Evi</x:v>
      </x:c>
      <x:c r="B989" s="16" t="str">
        <x:v>Ankara</x:v>
      </x:c>
      <x:c r="C989" s="16" t="str">
        <x:v>Doğrulandı</x:v>
      </x:c>
      <x:c r="D989" s="16" t="str">
        <x:v>Ürün kaydı</x:v>
      </x:c>
      <x:c r="E989" s="16" t="str">
        <x:v>Türk Kahvesi Saraylı 250 Gr</x:v>
      </x:c>
      <x:c r="F989" s="16" t="str">
        <x:v>Menşe belirtilmemiş</x:v>
      </x:c>
      <x:c r="G989" s="17" t="n">
        <x:v>250</x:v>
      </x:c>
      <x:c r="H989" s="16" t="str">
        <x:v>Erişildi</x:v>
      </x:c>
      <x:c r="I989" s="18" t="n">
        <x:v>0</x:v>
      </x:c>
      <x:c r="J989" s="18" t="str">
        <x:v>Erişilemedi</x:v>
      </x:c>
      <x:c r="K989" s="18" t="n">
        <x:f>IF(AND(ISNUMBER(G989),ISNUMBER(I989)),I989/G989*1000,"Erişilemedi")</x:f>
        <x:v>0</x:v>
      </x:c>
      <x:c r="L989" s="16" t="str">
        <x:v>Belirsiz</x:v>
      </x:c>
      <x:c r="M989" s="16" t="str">
        <x:v>Kahve ürünü</x:v>
      </x:c>
      <x:c r="N989" s="16" t="str">
        <x:v>Site haritası ürün sayfası</x:v>
      </x:c>
      <x:c r="O989" s="16" t="str">
        <x:v>Düşük</x:v>
      </x:c>
      <x:c r="P989" s="19" t="n">
        <x:v>46245</x:v>
      </x:c>
      <x:c r="Q989" s="20" t="str">
        <x:v>https://www.kocatepekahveevi.com.tr/turk-kahvesi-sarayli-250-gr</x:v>
      </x:c>
      <x:c r="R989" s="20" t="str">
        <x:v>Ürün kimliği korundu; eksik alanlar erişilemedi olarak işaretlenecek.</x:v>
      </x:c>
    </x:row>
    <x:row r="990" ht="40" customHeight="1">
      <x:c r="A990" s="16" t="str">
        <x:v>KREA Kahve</x:v>
      </x:c>
      <x:c r="B990" s="16" t="str">
        <x:v>İstanbul</x:v>
      </x:c>
      <x:c r="C990" s="16" t="str">
        <x:v>Kısmi doğrulama</x:v>
      </x:c>
      <x:c r="D990" s="16" t="str">
        <x:v>Katalog takip kaydı</x:v>
      </x:c>
      <x:c r="E990" s="16" t="str">
        <x:v>Ürün kataloğu — ayrıntılı ürün verisine erişilemedi</x:v>
      </x:c>
      <x:c r="F990" s="16" t="str">
        <x:v>Erişilemedi</x:v>
      </x:c>
      <x:c r="G990" s="17" t="str">
        <x:v>Erişilemedi</x:v>
      </x:c>
      <x:c r="H990" s="16" t="str">
        <x:v>Erişilemedi</x:v>
      </x:c>
      <x:c r="I990" s="18" t="str">
        <x:v>Erişilemedi</x:v>
      </x:c>
      <x:c r="J990" s="18" t="str">
        <x:v>Erişilemedi</x:v>
      </x:c>
      <x:c r="K990" s="18" t="str">
        <x:f>IF(AND(ISNUMBER(G990),ISNUMBER(I990)),I990/G990*1000,"Erişilemedi")</x:f>
        <x:v>Erişilemedi</x:v>
      </x:c>
      <x:c r="L990" s="16" t="str">
        <x:v>Erişilemedi</x:v>
      </x:c>
      <x:c r="M990" s="16" t="str">
        <x:v>Katalog/takip kaydı</x:v>
      </x:c>
      <x:c r="N990" s="16" t="str">
        <x:v>Instagram veya mevcut kaynak</x:v>
      </x:c>
      <x:c r="O990" s="16" t="str">
        <x:v>Takip gerekli</x:v>
      </x:c>
      <x:c r="P990" s="19" t="n">
        <x:v>46245</x:v>
      </x:c>
      <x:c r="Q990" s="20" t="str">
        <x:v>Erişilemedi</x:v>
      </x:c>
      <x:c r="R990" s="20" t="str">
        <x:v>Ürün adı, gramaj ve fiyat birlikte çıkarılamadı. Bağlantı manuel inceleme için korundu.</x:v>
      </x:c>
    </x:row>
    <x:row r="991" ht="40" customHeight="1">
      <x:c r="A991" s="16" t="str">
        <x:v>Kronotrop</x:v>
      </x:c>
      <x:c r="B991" s="16" t="str">
        <x:v>İstanbul</x:v>
      </x:c>
      <x:c r="C991" s="16" t="str">
        <x:v>Doğrulandı</x:v>
      </x:c>
      <x:c r="D991" s="16" t="str">
        <x:v>Katalog takip kaydı</x:v>
      </x:c>
      <x:c r="E991" s="16" t="str">
        <x:v>Ürün kataloğu — ayrıntılı ürün verisine erişilemedi</x:v>
      </x:c>
      <x:c r="F991" s="16" t="str">
        <x:v>Erişilemedi</x:v>
      </x:c>
      <x:c r="G991" s="17" t="str">
        <x:v>Erişilemedi</x:v>
      </x:c>
      <x:c r="H991" s="16" t="str">
        <x:v>Erişilemedi</x:v>
      </x:c>
      <x:c r="I991" s="18" t="str">
        <x:v>Erişilemedi</x:v>
      </x:c>
      <x:c r="J991" s="18" t="str">
        <x:v>Erişilemedi</x:v>
      </x:c>
      <x:c r="K991" s="18" t="str">
        <x:f>IF(AND(ISNUMBER(G991),ISNUMBER(I991)),I991/G991*1000,"Erişilemedi")</x:f>
        <x:v>Erişilemedi</x:v>
      </x:c>
      <x:c r="L991" s="16" t="str">
        <x:v>Erişilemedi</x:v>
      </x:c>
      <x:c r="M991" s="16" t="str">
        <x:v>Katalog/takip kaydı</x:v>
      </x:c>
      <x:c r="N991" s="16" t="str">
        <x:v>Mağaza/katalog bağlantısı</x:v>
      </x:c>
      <x:c r="O991" s="16" t="str">
        <x:v>Takip gerekli</x:v>
      </x:c>
      <x:c r="P991" s="19" t="n">
        <x:v>46245</x:v>
      </x:c>
      <x:c r="Q991" s="20" t="str">
        <x:v>https://www.kronotrop.com.tr/</x:v>
      </x:c>
      <x:c r="R991" s="20" t="str">
        <x:v>Ürün adı, gramaj ve fiyat birlikte çıkarılamadı. Bağlantı manuel inceleme için korundu.</x:v>
      </x:c>
    </x:row>
    <x:row r="992" ht="40" customHeight="1">
      <x:c r="A992" s="16" t="str">
        <x:v>Kumo Coffee</x:v>
      </x:c>
      <x:c r="B992" s="16" t="str">
        <x:v>Ankara</x:v>
      </x:c>
      <x:c r="C992" s="16" t="str">
        <x:v>Kısmi doğrulama</x:v>
      </x:c>
      <x:c r="D992" s="16" t="str">
        <x:v>Katalog takip kaydı</x:v>
      </x:c>
      <x:c r="E992" s="16" t="str">
        <x:v>Ürün kataloğu — ayrıntılı ürün verisine erişilemedi</x:v>
      </x:c>
      <x:c r="F992" s="16" t="str">
        <x:v>Erişilemedi</x:v>
      </x:c>
      <x:c r="G992" s="17" t="str">
        <x:v>Erişilemedi</x:v>
      </x:c>
      <x:c r="H992" s="16" t="str">
        <x:v>Erişilemedi</x:v>
      </x:c>
      <x:c r="I992" s="18" t="str">
        <x:v>Erişilemedi</x:v>
      </x:c>
      <x:c r="J992" s="18" t="str">
        <x:v>Erişilemedi</x:v>
      </x:c>
      <x:c r="K992" s="18" t="str">
        <x:f>IF(AND(ISNUMBER(G992),ISNUMBER(I992)),I992/G992*1000,"Erişilemedi")</x:f>
        <x:v>Erişilemedi</x:v>
      </x:c>
      <x:c r="L992" s="16" t="str">
        <x:v>Erişilemedi</x:v>
      </x:c>
      <x:c r="M992" s="16" t="str">
        <x:v>Katalog/takip kaydı</x:v>
      </x:c>
      <x:c r="N992" s="16" t="str">
        <x:v>Instagram veya mevcut kaynak</x:v>
      </x:c>
      <x:c r="O992" s="16" t="str">
        <x:v>Takip gerekli</x:v>
      </x:c>
      <x:c r="P992" s="19" t="n">
        <x:v>46245</x:v>
      </x:c>
      <x:c r="Q992" s="20" t="str">
        <x:v>Erişilemedi</x:v>
      </x:c>
      <x:c r="R992" s="20" t="str">
        <x:v>Ürün adı, gramaj ve fiyat birlikte çıkarılamadı. Bağlantı manuel inceleme için korundu.</x:v>
      </x:c>
    </x:row>
    <x:row r="993" ht="40" customHeight="1">
      <x:c r="A993" s="16" t="str">
        <x:v>Kurukahveci Mehmet Efendi</x:v>
      </x:c>
      <x:c r="B993" s="16" t="str">
        <x:v>İstanbul</x:v>
      </x:c>
      <x:c r="C993" s="16" t="str">
        <x:v>Kısmi doğrulama</x:v>
      </x:c>
      <x:c r="D993" s="16" t="str">
        <x:v>Ürün kaydı</x:v>
      </x:c>
      <x:c r="E993" s="16" t="str">
        <x:v>ALMANYA’DA</x:v>
      </x:c>
      <x:c r="F993" s="16" t="str">
        <x:v>Menşe belirtilmemiş</x:v>
      </x:c>
      <x:c r="G993" s="17" t="str">
        <x:v>Erişilemedi</x:v>
      </x:c>
      <x:c r="H993" s="16" t="str">
        <x:v>Erişilemedi</x:v>
      </x:c>
      <x:c r="I993" s="18" t="str">
        <x:v>Erişilemedi</x:v>
      </x:c>
      <x:c r="J993" s="18" t="str">
        <x:v>Erişilemedi</x:v>
      </x:c>
      <x:c r="K993" s="18" t="str">
        <x:f>IF(AND(ISNUMBER(G993),ISNUMBER(I993)),I993/G993*1000,"Erişilemedi")</x:f>
        <x:v>Erişilemedi</x:v>
      </x:c>
      <x:c r="L993" s="16" t="str">
        <x:v>Belirsiz</x:v>
      </x:c>
      <x:c r="M993" s="16" t="str">
        <x:v>Kahve ürünü</x:v>
      </x:c>
      <x:c r="N993" s="16" t="str">
        <x:v>Site haritası ürün sayfası</x:v>
      </x:c>
      <x:c r="O993" s="16" t="str">
        <x:v>Düşük</x:v>
      </x:c>
      <x:c r="P993" s="19" t="n">
        <x:v>46245</x:v>
      </x:c>
      <x:c r="Q993" s="20" t="str">
        <x:v>https://www.mehmetefendi.com/kahve-ve-tarihi/kahvenin-tarihsel-yolculugu/almanya-da</x:v>
      </x:c>
      <x:c r="R993" s="20" t="str">
        <x:v>Ürün kimliği korundu; eksik alanlar erişilemedi olarak işaretlenecek.</x:v>
      </x:c>
    </x:row>
    <x:row r="994" ht="40" customHeight="1">
      <x:c r="A994" s="16" t="str">
        <x:v>Kurukahveci Mehmet Efendi</x:v>
      </x:c>
      <x:c r="B994" s="16" t="str">
        <x:v>İstanbul</x:v>
      </x:c>
      <x:c r="C994" s="16" t="str">
        <x:v>Kısmi doğrulama</x:v>
      </x:c>
      <x:c r="D994" s="16" t="str">
        <x:v>Ürün kaydı</x:v>
      </x:c>
      <x:c r="E994" s="16" t="str">
        <x:v>AMERİKA KITASI’NDA</x:v>
      </x:c>
      <x:c r="F994" s="16" t="str">
        <x:v>Brezilya</x:v>
      </x:c>
      <x:c r="G994" s="17" t="str">
        <x:v>Erişilemedi</x:v>
      </x:c>
      <x:c r="H994" s="16" t="str">
        <x:v>Erişilemedi</x:v>
      </x:c>
      <x:c r="I994" s="18" t="str">
        <x:v>Erişilemedi</x:v>
      </x:c>
      <x:c r="J994" s="18" t="str">
        <x:v>Erişilemedi</x:v>
      </x:c>
      <x:c r="K994" s="18" t="str">
        <x:f>IF(AND(ISNUMBER(G994),ISNUMBER(I994)),I994/G994*1000,"Erişilemedi")</x:f>
        <x:v>Erişilemedi</x:v>
      </x:c>
      <x:c r="L994" s="16" t="str">
        <x:v>Belirsiz</x:v>
      </x:c>
      <x:c r="M994" s="16" t="str">
        <x:v>Kahve ürünü</x:v>
      </x:c>
      <x:c r="N994" s="16" t="str">
        <x:v>Site haritası ürün sayfası</x:v>
      </x:c>
      <x:c r="O994" s="16" t="str">
        <x:v>Düşük</x:v>
      </x:c>
      <x:c r="P994" s="19" t="n">
        <x:v>46245</x:v>
      </x:c>
      <x:c r="Q994" s="20" t="str">
        <x:v>https://www.mehmetefendi.com/kahve-ve-tarihi/kahvenin-tarihsel-yolculugu/amerika-kitasi-nda</x:v>
      </x:c>
      <x:c r="R994" s="20" t="str">
        <x:v>Ürün kimliği korundu; eksik alanlar erişilemedi olarak işaretlenecek.</x:v>
      </x:c>
    </x:row>
    <x:row r="995" ht="40" customHeight="1">
      <x:c r="A995" s="16" t="str">
        <x:v>Kurukahveci Mehmet Efendi</x:v>
      </x:c>
      <x:c r="B995" s="16" t="str">
        <x:v>İstanbul</x:v>
      </x:c>
      <x:c r="C995" s="16" t="str">
        <x:v>Kısmi doğrulama</x:v>
      </x:c>
      <x:c r="D995" s="16" t="str">
        <x:v>Ürün kaydı</x:v>
      </x:c>
      <x:c r="E995" s="16" t="str">
        <x:v>COFFEE CULTURE</x:v>
      </x:c>
      <x:c r="F995" s="16" t="str">
        <x:v>Menşe belirtilmemiş</x:v>
      </x:c>
      <x:c r="G995" s="17" t="str">
        <x:v>Erişilemedi</x:v>
      </x:c>
      <x:c r="H995" s="16" t="str">
        <x:v>Erişilemedi</x:v>
      </x:c>
      <x:c r="I995" s="18" t="str">
        <x:v>Erişilemedi</x:v>
      </x:c>
      <x:c r="J995" s="18" t="str">
        <x:v>Erişilemedi</x:v>
      </x:c>
      <x:c r="K995" s="18" t="str">
        <x:f>IF(AND(ISNUMBER(G995),ISNUMBER(I995)),I995/G995*1000,"Erişilemedi")</x:f>
        <x:v>Erişilemedi</x:v>
      </x:c>
      <x:c r="L995" s="16" t="str">
        <x:v>Belirsiz</x:v>
      </x:c>
      <x:c r="M995" s="16" t="str">
        <x:v>Kahve ürünü</x:v>
      </x:c>
      <x:c r="N995" s="16" t="str">
        <x:v>Site haritası ürün sayfası</x:v>
      </x:c>
      <x:c r="O995" s="16" t="str">
        <x:v>Düşük</x:v>
      </x:c>
      <x:c r="P995" s="19" t="n">
        <x:v>46245</x:v>
      </x:c>
      <x:c r="Q995" s="20" t="str">
        <x:v>https://www.mehmetefendi.com/eng/coffee-culture</x:v>
      </x:c>
      <x:c r="R995" s="20" t="str">
        <x:v>Ürün kimliği korundu; eksik alanlar erişilemedi olarak işaretlenecek.</x:v>
      </x:c>
    </x:row>
    <x:row r="996" ht="40" customHeight="1">
      <x:c r="A996" s="16" t="str">
        <x:v>Kurukahveci Mehmet Efendi</x:v>
      </x:c>
      <x:c r="B996" s="16" t="str">
        <x:v>İstanbul</x:v>
      </x:c>
      <x:c r="C996" s="16" t="str">
        <x:v>Kısmi doğrulama</x:v>
      </x:c>
      <x:c r="D996" s="16" t="str">
        <x:v>Ürün kaydı</x:v>
      </x:c>
      <x:c r="E996" s="16" t="str">
        <x:v>ESPRESSO</x:v>
      </x:c>
      <x:c r="F996" s="16" t="str">
        <x:v>Harman – menşe belirtilmemiş</x:v>
      </x:c>
      <x:c r="G996" s="17" t="str">
        <x:v>Erişilemedi</x:v>
      </x:c>
      <x:c r="H996" s="16" t="str">
        <x:v>Erişilemedi</x:v>
      </x:c>
      <x:c r="I996" s="18" t="str">
        <x:v>Erişilemedi</x:v>
      </x:c>
      <x:c r="J996" s="18" t="str">
        <x:v>Erişilemedi</x:v>
      </x:c>
      <x:c r="K996" s="18" t="str">
        <x:f>IF(AND(ISNUMBER(G996),ISNUMBER(I996)),I996/G996*1000,"Erişilemedi")</x:f>
        <x:v>Erişilemedi</x:v>
      </x:c>
      <x:c r="L996" s="16" t="str">
        <x:v>Belirsiz</x:v>
      </x:c>
      <x:c r="M996" s="16" t="str">
        <x:v>Harman</x:v>
      </x:c>
      <x:c r="N996" s="16" t="str">
        <x:v>Site haritası ürün sayfası</x:v>
      </x:c>
      <x:c r="O996" s="16" t="str">
        <x:v>Düşük</x:v>
      </x:c>
      <x:c r="P996" s="19" t="n">
        <x:v>46245</x:v>
      </x:c>
      <x:c r="Q996" s="20" t="str">
        <x:v>https://www.mehmetefendi.com/urunler/espresso</x:v>
      </x:c>
      <x:c r="R996" s="20" t="str">
        <x:v>Ürün kimliği korundu; eksik alanlar erişilemedi olarak işaretlenecek.</x:v>
      </x:c>
    </x:row>
    <x:row r="997" ht="40" customHeight="1">
      <x:c r="A997" s="16" t="str">
        <x:v>Kurukahveci Mehmet Efendi</x:v>
      </x:c>
      <x:c r="B997" s="16" t="str">
        <x:v>İstanbul</x:v>
      </x:c>
      <x:c r="C997" s="16" t="str">
        <x:v>Kısmi doğrulama</x:v>
      </x:c>
      <x:c r="D997" s="16" t="str">
        <x:v>Ürün kaydı</x:v>
      </x:c>
      <x:c r="E997" s="16" t="str">
        <x:v>EXPORT PACKS</x:v>
      </x:c>
      <x:c r="F997" s="16" t="str">
        <x:v>Menşe belirtilmemiş</x:v>
      </x:c>
      <x:c r="G997" s="17" t="str">
        <x:v>Erişilemedi</x:v>
      </x:c>
      <x:c r="H997" s="16" t="str">
        <x:v>Erişilemedi</x:v>
      </x:c>
      <x:c r="I997" s="18" t="str">
        <x:v>Erişilemedi</x:v>
      </x:c>
      <x:c r="J997" s="18" t="str">
        <x:v>Erişilemedi</x:v>
      </x:c>
      <x:c r="K997" s="18" t="str">
        <x:f>IF(AND(ISNUMBER(G997),ISNUMBER(I997)),I997/G997*1000,"Erişilemedi")</x:f>
        <x:v>Erişilemedi</x:v>
      </x:c>
      <x:c r="L997" s="16" t="str">
        <x:v>Belirsiz</x:v>
      </x:c>
      <x:c r="M997" s="16" t="str">
        <x:v>Kahve ürünü</x:v>
      </x:c>
      <x:c r="N997" s="16" t="str">
        <x:v>Site haritası ürün sayfası</x:v>
      </x:c>
      <x:c r="O997" s="16" t="str">
        <x:v>Düşük</x:v>
      </x:c>
      <x:c r="P997" s="19" t="n">
        <x:v>46245</x:v>
      </x:c>
      <x:c r="Q997" s="20" t="str">
        <x:v>https://www.mehmetefendi.com/eng/products/export-packs</x:v>
      </x:c>
      <x:c r="R997" s="20" t="str">
        <x:v>Ürün kimliği korundu; eksik alanlar erişilemedi olarak işaretlenecek.</x:v>
      </x:c>
    </x:row>
    <x:row r="998" ht="40" customHeight="1">
      <x:c r="A998" s="16" t="str">
        <x:v>Kurukahveci Mehmet Efendi</x:v>
      </x:c>
      <x:c r="B998" s="16" t="str">
        <x:v>İstanbul</x:v>
      </x:c>
      <x:c r="C998" s="16" t="str">
        <x:v>Kısmi doğrulama</x:v>
      </x:c>
      <x:c r="D998" s="16" t="str">
        <x:v>Ürün kaydı</x:v>
      </x:c>
      <x:c r="E998" s="16" t="str">
        <x:v>FILTER COFFEE</x:v>
      </x:c>
      <x:c r="F998" s="16" t="str">
        <x:v>Menşe belirtilmemiş</x:v>
      </x:c>
      <x:c r="G998" s="17" t="str">
        <x:v>Erişilemedi</x:v>
      </x:c>
      <x:c r="H998" s="16" t="str">
        <x:v>Erişilemedi</x:v>
      </x:c>
      <x:c r="I998" s="18" t="str">
        <x:v>Erişilemedi</x:v>
      </x:c>
      <x:c r="J998" s="18" t="str">
        <x:v>Erişilemedi</x:v>
      </x:c>
      <x:c r="K998" s="18" t="str">
        <x:f>IF(AND(ISNUMBER(G998),ISNUMBER(I998)),I998/G998*1000,"Erişilemedi")</x:f>
        <x:v>Erişilemedi</x:v>
      </x:c>
      <x:c r="L998" s="16" t="str">
        <x:v>Belirsiz</x:v>
      </x:c>
      <x:c r="M998" s="16" t="str">
        <x:v>Kahve ürünü</x:v>
      </x:c>
      <x:c r="N998" s="16" t="str">
        <x:v>Site haritası ürün sayfası</x:v>
      </x:c>
      <x:c r="O998" s="16" t="str">
        <x:v>Düşük</x:v>
      </x:c>
      <x:c r="P998" s="19" t="n">
        <x:v>46245</x:v>
      </x:c>
      <x:c r="Q998" s="20" t="str">
        <x:v>https://www.mehmetefendi.com/eng/products/filter-coffee</x:v>
      </x:c>
      <x:c r="R998" s="20" t="str">
        <x:v>Ürün kimliği korundu; eksik alanlar erişilemedi olarak işaretlenecek.</x:v>
      </x:c>
    </x:row>
    <x:row r="999" ht="40" customHeight="1">
      <x:c r="A999" s="16" t="str">
        <x:v>Kurukahveci Mehmet Efendi</x:v>
      </x:c>
      <x:c r="B999" s="16" t="str">
        <x:v>İstanbul</x:v>
      </x:c>
      <x:c r="C999" s="16" t="str">
        <x:v>Kısmi doğrulama</x:v>
      </x:c>
      <x:c r="D999" s="16" t="str">
        <x:v>Ürün kaydı</x:v>
      </x:c>
      <x:c r="E999" s="16" t="str">
        <x:v>FİLTRE KAHVE</x:v>
      </x:c>
      <x:c r="F999" s="16" t="str">
        <x:v>Menşe belirtilmemiş</x:v>
      </x:c>
      <x:c r="G999" s="17" t="str">
        <x:v>Erişilemedi</x:v>
      </x:c>
      <x:c r="H999" s="16" t="str">
        <x:v>Erişilemedi</x:v>
      </x:c>
      <x:c r="I999" s="18" t="str">
        <x:v>Erişilemedi</x:v>
      </x:c>
      <x:c r="J999" s="18" t="str">
        <x:v>Erişilemedi</x:v>
      </x:c>
      <x:c r="K999" s="18" t="str">
        <x:f>IF(AND(ISNUMBER(G999),ISNUMBER(I999)),I999/G999*1000,"Erişilemedi")</x:f>
        <x:v>Erişilemedi</x:v>
      </x:c>
      <x:c r="L999" s="16" t="str">
        <x:v>Belirsiz</x:v>
      </x:c>
      <x:c r="M999" s="16" t="str">
        <x:v>Kahve ürünü</x:v>
      </x:c>
      <x:c r="N999" s="16" t="str">
        <x:v>Site haritası ürün sayfası</x:v>
      </x:c>
      <x:c r="O999" s="16" t="str">
        <x:v>Düşük</x:v>
      </x:c>
      <x:c r="P999" s="19" t="n">
        <x:v>46245</x:v>
      </x:c>
      <x:c r="Q999" s="20" t="str">
        <x:v>https://www.mehmetefendi.com/urunler/press-coffee</x:v>
      </x:c>
      <x:c r="R999" s="20" t="str">
        <x:v>Ürün kimliği korundu; eksik alanlar erişilemedi olarak işaretlenecek.</x:v>
      </x:c>
    </x:row>
    <x:row r="1000" ht="40" customHeight="1">
      <x:c r="A1000" s="16" t="str">
        <x:v>Kurukahveci Mehmet Efendi</x:v>
      </x:c>
      <x:c r="B1000" s="16" t="str">
        <x:v>İstanbul</x:v>
      </x:c>
      <x:c r="C1000" s="16" t="str">
        <x:v>Kısmi doğrulama</x:v>
      </x:c>
      <x:c r="D1000" s="16" t="str">
        <x:v>Ürün kaydı</x:v>
      </x:c>
      <x:c r="E1000" s="16" t="str">
        <x:v>HISTORICAL JOURNEY</x:v>
      </x:c>
      <x:c r="F1000" s="16" t="str">
        <x:v>Etiyopya</x:v>
      </x:c>
      <x:c r="G1000" s="17" t="str">
        <x:v>Erişilemedi</x:v>
      </x:c>
      <x:c r="H1000" s="16" t="str">
        <x:v>Erişilemedi</x:v>
      </x:c>
      <x:c r="I1000" s="18" t="str">
        <x:v>Erişilemedi</x:v>
      </x:c>
      <x:c r="J1000" s="18" t="str">
        <x:v>Erişilemedi</x:v>
      </x:c>
      <x:c r="K1000" s="18" t="str">
        <x:f>IF(AND(ISNUMBER(G1000),ISNUMBER(I1000)),I1000/G1000*1000,"Erişilemedi")</x:f>
        <x:v>Erişilemedi</x:v>
      </x:c>
      <x:c r="L1000" s="16" t="str">
        <x:v>Belirsiz</x:v>
      </x:c>
      <x:c r="M1000" s="16" t="str">
        <x:v>Kahve ürünü</x:v>
      </x:c>
      <x:c r="N1000" s="16" t="str">
        <x:v>Site haritası ürün sayfası</x:v>
      </x:c>
      <x:c r="O1000" s="16" t="str">
        <x:v>Düşük</x:v>
      </x:c>
      <x:c r="P1000" s="19" t="n">
        <x:v>46245</x:v>
      </x:c>
      <x:c r="Q1000" s="20" t="str">
        <x:v>https://www.mehmetefendi.com/eng/coffee-culture/historical-journey</x:v>
      </x:c>
      <x:c r="R1000" s="20" t="str">
        <x:v>Ürün kimliği korundu; eksik alanlar erişilemedi olarak işaretlenecek.</x:v>
      </x:c>
    </x:row>
    <x:row r="1001" ht="40" customHeight="1">
      <x:c r="A1001" s="16" t="str">
        <x:v>Kurukahveci Mehmet Efendi</x:v>
      </x:c>
      <x:c r="B1001" s="16" t="str">
        <x:v>İstanbul</x:v>
      </x:c>
      <x:c r="C1001" s="16" t="str">
        <x:v>Kısmi doğrulama</x:v>
      </x:c>
      <x:c r="D1001" s="16" t="str">
        <x:v>Ürün kaydı</x:v>
      </x:c>
      <x:c r="E1001" s="16" t="str">
        <x:v>HOLLANDA’DA</x:v>
      </x:c>
      <x:c r="F1001" s="16" t="str">
        <x:v>Endonezya | Yemen</x:v>
      </x:c>
      <x:c r="G1001" s="17" t="str">
        <x:v>Erişilemedi</x:v>
      </x:c>
      <x:c r="H1001" s="16" t="str">
        <x:v>Erişilemedi</x:v>
      </x:c>
      <x:c r="I1001" s="18" t="str">
        <x:v>Erişilemedi</x:v>
      </x:c>
      <x:c r="J1001" s="18" t="str">
        <x:v>Erişilemedi</x:v>
      </x:c>
      <x:c r="K1001" s="18" t="str">
        <x:f>IF(AND(ISNUMBER(G1001),ISNUMBER(I1001)),I1001/G1001*1000,"Erişilemedi")</x:f>
        <x:v>Erişilemedi</x:v>
      </x:c>
      <x:c r="L1001" s="16" t="str">
        <x:v>Belirsiz</x:v>
      </x:c>
      <x:c r="M1001" s="16" t="str">
        <x:v>Kahve ürünü</x:v>
      </x:c>
      <x:c r="N1001" s="16" t="str">
        <x:v>Site haritası ürün sayfası</x:v>
      </x:c>
      <x:c r="O1001" s="16" t="str">
        <x:v>Düşük</x:v>
      </x:c>
      <x:c r="P1001" s="19" t="n">
        <x:v>46245</x:v>
      </x:c>
      <x:c r="Q1001" s="20" t="str">
        <x:v>https://www.mehmetefendi.com/kahve-ve-tarihi/kahvenin-tarihsel-yolculugu/hollanda-da</x:v>
      </x:c>
      <x:c r="R1001" s="20" t="str">
        <x:v>Ürün kimliği korundu; eksik alanlar erişilemedi olarak işaretlenecek.</x:v>
      </x:c>
    </x:row>
    <x:row r="1002" ht="40" customHeight="1">
      <x:c r="A1002" s="16" t="str">
        <x:v>Kurukahveci Mehmet Efendi</x:v>
      </x:c>
      <x:c r="B1002" s="16" t="str">
        <x:v>İstanbul</x:v>
      </x:c>
      <x:c r="C1002" s="16" t="str">
        <x:v>Kısmi doğrulama</x:v>
      </x:c>
      <x:c r="D1002" s="16" t="str">
        <x:v>Ürün kaydı</x:v>
      </x:c>
      <x:c r="E1002" s="16" t="str">
        <x:v>IN GERMANY</x:v>
      </x:c>
      <x:c r="F1002" s="16" t="str">
        <x:v>Menşe belirtilmemiş</x:v>
      </x:c>
      <x:c r="G1002" s="17" t="str">
        <x:v>Erişilemedi</x:v>
      </x:c>
      <x:c r="H1002" s="16" t="str">
        <x:v>Erişilemedi</x:v>
      </x:c>
      <x:c r="I1002" s="18" t="str">
        <x:v>Erişilemedi</x:v>
      </x:c>
      <x:c r="J1002" s="18" t="str">
        <x:v>Erişilemedi</x:v>
      </x:c>
      <x:c r="K1002" s="18" t="str">
        <x:f>IF(AND(ISNUMBER(G1002),ISNUMBER(I1002)),I1002/G1002*1000,"Erişilemedi")</x:f>
        <x:v>Erişilemedi</x:v>
      </x:c>
      <x:c r="L1002" s="16" t="str">
        <x:v>Belirsiz</x:v>
      </x:c>
      <x:c r="M1002" s="16" t="str">
        <x:v>Kahve ürünü</x:v>
      </x:c>
      <x:c r="N1002" s="16" t="str">
        <x:v>Site haritası ürün sayfası</x:v>
      </x:c>
      <x:c r="O1002" s="16" t="str">
        <x:v>Düşük</x:v>
      </x:c>
      <x:c r="P1002" s="19" t="n">
        <x:v>46245</x:v>
      </x:c>
      <x:c r="Q1002" s="20" t="str">
        <x:v>https://www.mehmetefendi.com/eng/coffee-culture/historical-journey/in-germany</x:v>
      </x:c>
      <x:c r="R1002" s="20" t="str">
        <x:v>Ürün kimliği korundu; eksik alanlar erişilemedi olarak işaretlenecek.</x:v>
      </x:c>
    </x:row>
    <x:row r="1003" ht="40" customHeight="1">
      <x:c r="A1003" s="16" t="str">
        <x:v>Kurukahveci Mehmet Efendi</x:v>
      </x:c>
      <x:c r="B1003" s="16" t="str">
        <x:v>İstanbul</x:v>
      </x:c>
      <x:c r="C1003" s="16" t="str">
        <x:v>Kısmi doğrulama</x:v>
      </x:c>
      <x:c r="D1003" s="16" t="str">
        <x:v>Ürün kaydı</x:v>
      </x:c>
      <x:c r="E1003" s="16" t="str">
        <x:v>IN HOLLAND</x:v>
      </x:c>
      <x:c r="F1003" s="16" t="str">
        <x:v>Endonezya | Yemen</x:v>
      </x:c>
      <x:c r="G1003" s="17" t="str">
        <x:v>Erişilemedi</x:v>
      </x:c>
      <x:c r="H1003" s="16" t="str">
        <x:v>Erişilemedi</x:v>
      </x:c>
      <x:c r="I1003" s="18" t="str">
        <x:v>Erişilemedi</x:v>
      </x:c>
      <x:c r="J1003" s="18" t="str">
        <x:v>Erişilemedi</x:v>
      </x:c>
      <x:c r="K1003" s="18" t="str">
        <x:f>IF(AND(ISNUMBER(G1003),ISNUMBER(I1003)),I1003/G1003*1000,"Erişilemedi")</x:f>
        <x:v>Erişilemedi</x:v>
      </x:c>
      <x:c r="L1003" s="16" t="str">
        <x:v>Belirsiz</x:v>
      </x:c>
      <x:c r="M1003" s="16" t="str">
        <x:v>Kahve ürünü</x:v>
      </x:c>
      <x:c r="N1003" s="16" t="str">
        <x:v>Site haritası ürün sayfası</x:v>
      </x:c>
      <x:c r="O1003" s="16" t="str">
        <x:v>Düşük</x:v>
      </x:c>
      <x:c r="P1003" s="19" t="n">
        <x:v>46245</x:v>
      </x:c>
      <x:c r="Q1003" s="20" t="str">
        <x:v>https://www.mehmetefendi.com/eng/coffee-culture/historical-journey/in-holland</x:v>
      </x:c>
      <x:c r="R1003" s="20" t="str">
        <x:v>Ürün kimliği korundu; eksik alanlar erişilemedi olarak işaretlenecek.</x:v>
      </x:c>
    </x:row>
    <x:row r="1004" ht="40" customHeight="1">
      <x:c r="A1004" s="16" t="str">
        <x:v>Kurukahveci Mehmet Efendi</x:v>
      </x:c>
      <x:c r="B1004" s="16" t="str">
        <x:v>İstanbul</x:v>
      </x:c>
      <x:c r="C1004" s="16" t="str">
        <x:v>Kısmi doğrulama</x:v>
      </x:c>
      <x:c r="D1004" s="16" t="str">
        <x:v>Ürün kaydı</x:v>
      </x:c>
      <x:c r="E1004" s="16" t="str">
        <x:v>IN MARSEILLES</x:v>
      </x:c>
      <x:c r="F1004" s="16" t="str">
        <x:v>Menşe belirtilmemiş</x:v>
      </x:c>
      <x:c r="G1004" s="17" t="str">
        <x:v>Erişilemedi</x:v>
      </x:c>
      <x:c r="H1004" s="16" t="str">
        <x:v>Erişilemedi</x:v>
      </x:c>
      <x:c r="I1004" s="18" t="str">
        <x:v>Erişilemedi</x:v>
      </x:c>
      <x:c r="J1004" s="18" t="str">
        <x:v>Erişilemedi</x:v>
      </x:c>
      <x:c r="K1004" s="18" t="str">
        <x:f>IF(AND(ISNUMBER(G1004),ISNUMBER(I1004)),I1004/G1004*1000,"Erişilemedi")</x:f>
        <x:v>Erişilemedi</x:v>
      </x:c>
      <x:c r="L1004" s="16" t="str">
        <x:v>Belirsiz</x:v>
      </x:c>
      <x:c r="M1004" s="16" t="str">
        <x:v>Kahve ürünü</x:v>
      </x:c>
      <x:c r="N1004" s="16" t="str">
        <x:v>Site haritası ürün sayfası</x:v>
      </x:c>
      <x:c r="O1004" s="16" t="str">
        <x:v>Düşük</x:v>
      </x:c>
      <x:c r="P1004" s="19" t="n">
        <x:v>46245</x:v>
      </x:c>
      <x:c r="Q1004" s="20" t="str">
        <x:v>https://www.mehmetefendi.com/eng/coffee-culture/historical-journey/in-marseilles</x:v>
      </x:c>
      <x:c r="R1004" s="20" t="str">
        <x:v>Ürün kimliği korundu; eksik alanlar erişilemedi olarak işaretlenecek.</x:v>
      </x:c>
    </x:row>
    <x:row r="1005" ht="40" customHeight="1">
      <x:c r="A1005" s="16" t="str">
        <x:v>Kurukahveci Mehmet Efendi</x:v>
      </x:c>
      <x:c r="B1005" s="16" t="str">
        <x:v>İstanbul</x:v>
      </x:c>
      <x:c r="C1005" s="16" t="str">
        <x:v>Kısmi doğrulama</x:v>
      </x:c>
      <x:c r="D1005" s="16" t="str">
        <x:v>Ürün kaydı</x:v>
      </x:c>
      <x:c r="E1005" s="16" t="str">
        <x:v>IN THE AMERICAS</x:v>
      </x:c>
      <x:c r="F1005" s="16" t="str">
        <x:v>Brezilya</x:v>
      </x:c>
      <x:c r="G1005" s="17" t="str">
        <x:v>Erişilemedi</x:v>
      </x:c>
      <x:c r="H1005" s="16" t="str">
        <x:v>Erişilemedi</x:v>
      </x:c>
      <x:c r="I1005" s="18" t="str">
        <x:v>Erişilemedi</x:v>
      </x:c>
      <x:c r="J1005" s="18" t="str">
        <x:v>Erişilemedi</x:v>
      </x:c>
      <x:c r="K1005" s="18" t="str">
        <x:f>IF(AND(ISNUMBER(G1005),ISNUMBER(I1005)),I1005/G1005*1000,"Erişilemedi")</x:f>
        <x:v>Erişilemedi</x:v>
      </x:c>
      <x:c r="L1005" s="16" t="str">
        <x:v>Belirsiz</x:v>
      </x:c>
      <x:c r="M1005" s="16" t="str">
        <x:v>Kahve ürünü</x:v>
      </x:c>
      <x:c r="N1005" s="16" t="str">
        <x:v>Site haritası ürün sayfası</x:v>
      </x:c>
      <x:c r="O1005" s="16" t="str">
        <x:v>Düşük</x:v>
      </x:c>
      <x:c r="P1005" s="19" t="n">
        <x:v>46245</x:v>
      </x:c>
      <x:c r="Q1005" s="20" t="str">
        <x:v>https://www.mehmetefendi.com/eng/coffee-culture/historical-journey/in-the-americas</x:v>
      </x:c>
      <x:c r="R1005" s="20" t="str">
        <x:v>Ürün kimliği korundu; eksik alanlar erişilemedi olarak işaretlenecek.</x:v>
      </x:c>
    </x:row>
    <x:row r="1006" ht="40" customHeight="1">
      <x:c r="A1006" s="16" t="str">
        <x:v>Kurukahveci Mehmet Efendi</x:v>
      </x:c>
      <x:c r="B1006" s="16" t="str">
        <x:v>İstanbul</x:v>
      </x:c>
      <x:c r="C1006" s="16" t="str">
        <x:v>Kısmi doğrulama</x:v>
      </x:c>
      <x:c r="D1006" s="16" t="str">
        <x:v>Ürün kaydı</x:v>
      </x:c>
      <x:c r="E1006" s="16" t="str">
        <x:v>IN VENICE</x:v>
      </x:c>
      <x:c r="F1006" s="16" t="str">
        <x:v>Menşe belirtilmemiş</x:v>
      </x:c>
      <x:c r="G1006" s="17" t="str">
        <x:v>Erişilemedi</x:v>
      </x:c>
      <x:c r="H1006" s="16" t="str">
        <x:v>Erişilemedi</x:v>
      </x:c>
      <x:c r="I1006" s="18" t="str">
        <x:v>Erişilemedi</x:v>
      </x:c>
      <x:c r="J1006" s="18" t="str">
        <x:v>Erişilemedi</x:v>
      </x:c>
      <x:c r="K1006" s="18" t="str">
        <x:f>IF(AND(ISNUMBER(G1006),ISNUMBER(I1006)),I1006/G1006*1000,"Erişilemedi")</x:f>
        <x:v>Erişilemedi</x:v>
      </x:c>
      <x:c r="L1006" s="16" t="str">
        <x:v>Belirsiz</x:v>
      </x:c>
      <x:c r="M1006" s="16" t="str">
        <x:v>Kahve ürünü</x:v>
      </x:c>
      <x:c r="N1006" s="16" t="str">
        <x:v>Site haritası ürün sayfası</x:v>
      </x:c>
      <x:c r="O1006" s="16" t="str">
        <x:v>Düşük</x:v>
      </x:c>
      <x:c r="P1006" s="19" t="n">
        <x:v>46245</x:v>
      </x:c>
      <x:c r="Q1006" s="20" t="str">
        <x:v>https://www.mehmetefendi.com/eng/coffee-culture/historical-journey/in-venice</x:v>
      </x:c>
      <x:c r="R1006" s="20" t="str">
        <x:v>Ürün kimliği korundu; eksik alanlar erişilemedi olarak işaretlenecek.</x:v>
      </x:c>
    </x:row>
    <x:row r="1007" ht="40" customHeight="1">
      <x:c r="A1007" s="16" t="str">
        <x:v>Kurukahveci Mehmet Efendi</x:v>
      </x:c>
      <x:c r="B1007" s="16" t="str">
        <x:v>İstanbul</x:v>
      </x:c>
      <x:c r="C1007" s="16" t="str">
        <x:v>Kısmi doğrulama</x:v>
      </x:c>
      <x:c r="D1007" s="16" t="str">
        <x:v>Ürün kaydı</x:v>
      </x:c>
      <x:c r="E1007" s="16" t="str">
        <x:v>IN YEMEN</x:v>
      </x:c>
      <x:c r="F1007" s="16" t="str">
        <x:v>Etiyopya | Yemen</x:v>
      </x:c>
      <x:c r="G1007" s="17" t="str">
        <x:v>Erişilemedi</x:v>
      </x:c>
      <x:c r="H1007" s="16" t="str">
        <x:v>Erişilemedi</x:v>
      </x:c>
      <x:c r="I1007" s="18" t="str">
        <x:v>Erişilemedi</x:v>
      </x:c>
      <x:c r="J1007" s="18" t="str">
        <x:v>Erişilemedi</x:v>
      </x:c>
      <x:c r="K1007" s="18" t="str">
        <x:f>IF(AND(ISNUMBER(G1007),ISNUMBER(I1007)),I1007/G1007*1000,"Erişilemedi")</x:f>
        <x:v>Erişilemedi</x:v>
      </x:c>
      <x:c r="L1007" s="16" t="str">
        <x:v>Belirsiz</x:v>
      </x:c>
      <x:c r="M1007" s="16" t="str">
        <x:v>Kahve ürünü</x:v>
      </x:c>
      <x:c r="N1007" s="16" t="str">
        <x:v>Site haritası ürün sayfası</x:v>
      </x:c>
      <x:c r="O1007" s="16" t="str">
        <x:v>Düşük</x:v>
      </x:c>
      <x:c r="P1007" s="19" t="n">
        <x:v>46245</x:v>
      </x:c>
      <x:c r="Q1007" s="20" t="str">
        <x:v>https://www.mehmetefendi.com/eng/coffee-culture/historical-journey/in-yemen</x:v>
      </x:c>
      <x:c r="R1007" s="20" t="str">
        <x:v>Ürün kimliği korundu; eksik alanlar erişilemedi olarak işaretlenecek.</x:v>
      </x:c>
    </x:row>
    <x:row r="1008" ht="40" customHeight="1">
      <x:c r="A1008" s="16" t="str">
        <x:v>Kurukahveci Mehmet Efendi</x:v>
      </x:c>
      <x:c r="B1008" s="16" t="str">
        <x:v>İstanbul</x:v>
      </x:c>
      <x:c r="C1008" s="16" t="str">
        <x:v>Kısmi doğrulama</x:v>
      </x:c>
      <x:c r="D1008" s="16" t="str">
        <x:v>Ürün kaydı</x:v>
      </x:c>
      <x:c r="E1008" s="16" t="str">
        <x:v>İHRACAT AMBALAJLARIMIZ</x:v>
      </x:c>
      <x:c r="F1008" s="16" t="str">
        <x:v>Menşe belirtilmemiş</x:v>
      </x:c>
      <x:c r="G1008" s="17" t="str">
        <x:v>Erişilemedi</x:v>
      </x:c>
      <x:c r="H1008" s="16" t="str">
        <x:v>Erişilemedi</x:v>
      </x:c>
      <x:c r="I1008" s="18" t="str">
        <x:v>Erişilemedi</x:v>
      </x:c>
      <x:c r="J1008" s="18" t="str">
        <x:v>Erişilemedi</x:v>
      </x:c>
      <x:c r="K1008" s="18" t="str">
        <x:f>IF(AND(ISNUMBER(G1008),ISNUMBER(I1008)),I1008/G1008*1000,"Erişilemedi")</x:f>
        <x:v>Erişilemedi</x:v>
      </x:c>
      <x:c r="L1008" s="16" t="str">
        <x:v>Belirsiz</x:v>
      </x:c>
      <x:c r="M1008" s="16" t="str">
        <x:v>Kahve ürünü</x:v>
      </x:c>
      <x:c r="N1008" s="16" t="str">
        <x:v>Site haritası ürün sayfası</x:v>
      </x:c>
      <x:c r="O1008" s="16" t="str">
        <x:v>Düşük</x:v>
      </x:c>
      <x:c r="P1008" s="19" t="n">
        <x:v>46245</x:v>
      </x:c>
      <x:c r="Q1008" s="20" t="str">
        <x:v>https://www.mehmetefendi.com/urunler/ihracat-ambalajlarimiz</x:v>
      </x:c>
      <x:c r="R1008" s="20" t="str">
        <x:v>Ürün kimliği korundu; eksik alanlar erişilemedi olarak işaretlenecek.</x:v>
      </x:c>
    </x:row>
    <x:row r="1009" ht="40" customHeight="1">
      <x:c r="A1009" s="16" t="str">
        <x:v>Kurukahveci Mehmet Efendi</x:v>
      </x:c>
      <x:c r="B1009" s="16" t="str">
        <x:v>İstanbul</x:v>
      </x:c>
      <x:c r="C1009" s="16" t="str">
        <x:v>Kısmi doğrulama</x:v>
      </x:c>
      <x:c r="D1009" s="16" t="str">
        <x:v>Ürün kaydı</x:v>
      </x:c>
      <x:c r="E1009" s="16" t="str">
        <x:v>İSTANBUL’DA</x:v>
      </x:c>
      <x:c r="F1009" s="16" t="str">
        <x:v>Yemen</x:v>
      </x:c>
      <x:c r="G1009" s="17" t="str">
        <x:v>Erişilemedi</x:v>
      </x:c>
      <x:c r="H1009" s="16" t="str">
        <x:v>Erişilemedi</x:v>
      </x:c>
      <x:c r="I1009" s="18" t="str">
        <x:v>Erişilemedi</x:v>
      </x:c>
      <x:c r="J1009" s="18" t="str">
        <x:v>Erişilemedi</x:v>
      </x:c>
      <x:c r="K1009" s="18" t="str">
        <x:f>IF(AND(ISNUMBER(G1009),ISNUMBER(I1009)),I1009/G1009*1000,"Erişilemedi")</x:f>
        <x:v>Erişilemedi</x:v>
      </x:c>
      <x:c r="L1009" s="16" t="str">
        <x:v>Belirsiz</x:v>
      </x:c>
      <x:c r="M1009" s="16" t="str">
        <x:v>Kahve ürünü</x:v>
      </x:c>
      <x:c r="N1009" s="16" t="str">
        <x:v>Site haritası ürün sayfası</x:v>
      </x:c>
      <x:c r="O1009" s="16" t="str">
        <x:v>Düşük</x:v>
      </x:c>
      <x:c r="P1009" s="19" t="n">
        <x:v>46245</x:v>
      </x:c>
      <x:c r="Q1009" s="20" t="str">
        <x:v>https://www.mehmetefendi.com/kahve-ve-tarihi/kahvenin-tarihsel-yolculugu/istanbul-da</x:v>
      </x:c>
      <x:c r="R1009" s="20" t="str">
        <x:v>Ürün kimliği korundu; eksik alanlar erişilemedi olarak işaretlenecek.</x:v>
      </x:c>
    </x:row>
    <x:row r="1010" ht="40" customHeight="1">
      <x:c r="A1010" s="16" t="str">
        <x:v>Kurukahveci Mehmet Efendi</x:v>
      </x:c>
      <x:c r="B1010" s="16" t="str">
        <x:v>İstanbul</x:v>
      </x:c>
      <x:c r="C1010" s="16" t="str">
        <x:v>Kısmi doğrulama</x:v>
      </x:c>
      <x:c r="D1010" s="16" t="str">
        <x:v>Ürün kaydı</x:v>
      </x:c>
      <x:c r="E1010" s="16" t="str">
        <x:v>KAHVE KÜLTÜRÜ VE TARİHİ</x:v>
      </x:c>
      <x:c r="F1010" s="16" t="str">
        <x:v>Menşe belirtilmemiş</x:v>
      </x:c>
      <x:c r="G1010" s="17" t="str">
        <x:v>Erişilemedi</x:v>
      </x:c>
      <x:c r="H1010" s="16" t="str">
        <x:v>Erişilemedi</x:v>
      </x:c>
      <x:c r="I1010" s="18" t="str">
        <x:v>Erişilemedi</x:v>
      </x:c>
      <x:c r="J1010" s="18" t="str">
        <x:v>Erişilemedi</x:v>
      </x:c>
      <x:c r="K1010" s="18" t="str">
        <x:f>IF(AND(ISNUMBER(G1010),ISNUMBER(I1010)),I1010/G1010*1000,"Erişilemedi")</x:f>
        <x:v>Erişilemedi</x:v>
      </x:c>
      <x:c r="L1010" s="16" t="str">
        <x:v>Belirsiz</x:v>
      </x:c>
      <x:c r="M1010" s="16" t="str">
        <x:v>Kahve ürünü</x:v>
      </x:c>
      <x:c r="N1010" s="16" t="str">
        <x:v>Site haritası ürün sayfası</x:v>
      </x:c>
      <x:c r="O1010" s="16" t="str">
        <x:v>Düşük</x:v>
      </x:c>
      <x:c r="P1010" s="19" t="n">
        <x:v>46245</x:v>
      </x:c>
      <x:c r="Q1010" s="20" t="str">
        <x:v>https://www.mehmetefendi.com/kahve-ve-tarihi</x:v>
      </x:c>
      <x:c r="R1010" s="20" t="str">
        <x:v>Ürün kimliği korundu; eksik alanlar erişilemedi olarak işaretlenecek.</x:v>
      </x:c>
    </x:row>
    <x:row r="1011" ht="40" customHeight="1">
      <x:c r="A1011" s="16" t="str">
        <x:v>Kurukahveci Mehmet Efendi</x:v>
      </x:c>
      <x:c r="B1011" s="16" t="str">
        <x:v>İstanbul</x:v>
      </x:c>
      <x:c r="C1011" s="16" t="str">
        <x:v>Kısmi doğrulama</x:v>
      </x:c>
      <x:c r="D1011" s="16" t="str">
        <x:v>Ürün kaydı</x:v>
      </x:c>
      <x:c r="E1011" s="16" t="str">
        <x:v>KAHVENİN ANATOMİSİ</x:v>
      </x:c>
      <x:c r="F1011" s="16" t="str">
        <x:v>Etiyopya | Brezilya | Endonezya | Hindistan</x:v>
      </x:c>
      <x:c r="G1011" s="17" t="n">
        <x:v>5000</x:v>
      </x:c>
      <x:c r="H1011" s="16" t="str">
        <x:v>Erişildi</x:v>
      </x:c>
      <x:c r="I1011" s="18" t="str">
        <x:v>Erişilemedi</x:v>
      </x:c>
      <x:c r="J1011" s="18" t="str">
        <x:v>Erişilemedi</x:v>
      </x:c>
      <x:c r="K1011" s="18" t="str">
        <x:f>IF(AND(ISNUMBER(G1011),ISNUMBER(I1011)),I1011/G1011*1000,"Erişilemedi")</x:f>
        <x:v>Erişilemedi</x:v>
      </x:c>
      <x:c r="L1011" s="16" t="str">
        <x:v>Belirsiz</x:v>
      </x:c>
      <x:c r="M1011" s="16" t="str">
        <x:v>Kahve ürünü</x:v>
      </x:c>
      <x:c r="N1011" s="16" t="str">
        <x:v>Site haritası ürün sayfası</x:v>
      </x:c>
      <x:c r="O1011" s="16" t="str">
        <x:v>Düşük</x:v>
      </x:c>
      <x:c r="P1011" s="19" t="n">
        <x:v>46245</x:v>
      </x:c>
      <x:c r="Q1011" s="20" t="str">
        <x:v>https://www.mehmetefendi.com/kahve-ve-tarihi/kahve-nasil-yetistirilir/kahvenin-anatomisi</x:v>
      </x:c>
      <x:c r="R1011" s="20" t="str">
        <x:v>Ürün kimliği korundu; eksik alanlar erişilemedi olarak işaretlenecek.</x:v>
      </x:c>
    </x:row>
    <x:row r="1012" ht="40" customHeight="1">
      <x:c r="A1012" s="16" t="str">
        <x:v>Kurukahveci Mehmet Efendi</x:v>
      </x:c>
      <x:c r="B1012" s="16" t="str">
        <x:v>İstanbul</x:v>
      </x:c>
      <x:c r="C1012" s="16" t="str">
        <x:v>Kısmi doğrulama</x:v>
      </x:c>
      <x:c r="D1012" s="16" t="str">
        <x:v>Ürün kaydı</x:v>
      </x:c>
      <x:c r="E1012" s="16" t="str">
        <x:v>KAHVENİN TARİHSEL YOLCULUĞU</x:v>
      </x:c>
      <x:c r="F1012" s="16" t="str">
        <x:v>Etiyopya</x:v>
      </x:c>
      <x:c r="G1012" s="17" t="str">
        <x:v>Erişilemedi</x:v>
      </x:c>
      <x:c r="H1012" s="16" t="str">
        <x:v>Erişilemedi</x:v>
      </x:c>
      <x:c r="I1012" s="18" t="str">
        <x:v>Erişilemedi</x:v>
      </x:c>
      <x:c r="J1012" s="18" t="str">
        <x:v>Erişilemedi</x:v>
      </x:c>
      <x:c r="K1012" s="18" t="str">
        <x:f>IF(AND(ISNUMBER(G1012),ISNUMBER(I1012)),I1012/G1012*1000,"Erişilemedi")</x:f>
        <x:v>Erişilemedi</x:v>
      </x:c>
      <x:c r="L1012" s="16" t="str">
        <x:v>Belirsiz</x:v>
      </x:c>
      <x:c r="M1012" s="16" t="str">
        <x:v>Kahve ürünü</x:v>
      </x:c>
      <x:c r="N1012" s="16" t="str">
        <x:v>Site haritası ürün sayfası</x:v>
      </x:c>
      <x:c r="O1012" s="16" t="str">
        <x:v>Düşük</x:v>
      </x:c>
      <x:c r="P1012" s="19" t="n">
        <x:v>46245</x:v>
      </x:c>
      <x:c r="Q1012" s="20" t="str">
        <x:v>https://www.mehmetefendi.com/kahve-ve-tarihi/kahvenin-tarihsel-yolculugu</x:v>
      </x:c>
      <x:c r="R1012" s="20" t="str">
        <x:v>Ürün kimliği korundu; eksik alanlar erişilemedi olarak işaretlenecek.</x:v>
      </x:c>
    </x:row>
    <x:row r="1013" ht="40" customHeight="1">
      <x:c r="A1013" s="16" t="str">
        <x:v>Kurukahveci Mehmet Efendi</x:v>
      </x:c>
      <x:c r="B1013" s="16" t="str">
        <x:v>İstanbul</x:v>
      </x:c>
      <x:c r="C1013" s="16" t="str">
        <x:v>Kısmi doğrulama</x:v>
      </x:c>
      <x:c r="D1013" s="16" t="str">
        <x:v>Ürün kaydı</x:v>
      </x:c>
      <x:c r="E1013" s="16" t="str">
        <x:v>KAVRULMUŞ ÇEKİRDEK KAHVE</x:v>
      </x:c>
      <x:c r="F1013" s="16" t="str">
        <x:v>Menşe belirtilmemiş</x:v>
      </x:c>
      <x:c r="G1013" s="17" t="str">
        <x:v>Erişilemedi</x:v>
      </x:c>
      <x:c r="H1013" s="16" t="str">
        <x:v>Erişilemedi</x:v>
      </x:c>
      <x:c r="I1013" s="18" t="str">
        <x:v>Erişilemedi</x:v>
      </x:c>
      <x:c r="J1013" s="18" t="str">
        <x:v>Erişilemedi</x:v>
      </x:c>
      <x:c r="K1013" s="18" t="str">
        <x:f>IF(AND(ISNUMBER(G1013),ISNUMBER(I1013)),I1013/G1013*1000,"Erişilemedi")</x:f>
        <x:v>Erişilemedi</x:v>
      </x:c>
      <x:c r="L1013" s="16" t="str">
        <x:v>Belirsiz</x:v>
      </x:c>
      <x:c r="M1013" s="16" t="str">
        <x:v>Kahve ürünü</x:v>
      </x:c>
      <x:c r="N1013" s="16" t="str">
        <x:v>Site haritası ürün sayfası</x:v>
      </x:c>
      <x:c r="O1013" s="16" t="str">
        <x:v>Düşük</x:v>
      </x:c>
      <x:c r="P1013" s="19" t="n">
        <x:v>46245</x:v>
      </x:c>
      <x:c r="Q1013" s="20" t="str">
        <x:v>https://www.mehmetefendi.com/urunler/kavrulmus-cekirdek-kahve</x:v>
      </x:c>
      <x:c r="R1013" s="20" t="str">
        <x:v>Ürün kimliği korundu; eksik alanlar erişilemedi olarak işaretlenecek.</x:v>
      </x:c>
    </x:row>
    <x:row r="1014" ht="40" customHeight="1">
      <x:c r="A1014" s="16" t="str">
        <x:v>Kurukahveci Mehmet Efendi</x:v>
      </x:c>
      <x:c r="B1014" s="16" t="str">
        <x:v>İstanbul</x:v>
      </x:c>
      <x:c r="C1014" s="16" t="str">
        <x:v>Kısmi doğrulama</x:v>
      </x:c>
      <x:c r="D1014" s="16" t="str">
        <x:v>Ürün kaydı</x:v>
      </x:c>
      <x:c r="E1014" s="16" t="str">
        <x:v>LONDRA’DA</x:v>
      </x:c>
      <x:c r="F1014" s="16" t="str">
        <x:v>Menşe belirtilmemiş</x:v>
      </x:c>
      <x:c r="G1014" s="17" t="str">
        <x:v>Erişilemedi</x:v>
      </x:c>
      <x:c r="H1014" s="16" t="str">
        <x:v>Erişilemedi</x:v>
      </x:c>
      <x:c r="I1014" s="18" t="str">
        <x:v>Erişilemedi</x:v>
      </x:c>
      <x:c r="J1014" s="18" t="str">
        <x:v>Erişilemedi</x:v>
      </x:c>
      <x:c r="K1014" s="18" t="str">
        <x:f>IF(AND(ISNUMBER(G1014),ISNUMBER(I1014)),I1014/G1014*1000,"Erişilemedi")</x:f>
        <x:v>Erişilemedi</x:v>
      </x:c>
      <x:c r="L1014" s="16" t="str">
        <x:v>Belirsiz</x:v>
      </x:c>
      <x:c r="M1014" s="16" t="str">
        <x:v>Kahve ürünü</x:v>
      </x:c>
      <x:c r="N1014" s="16" t="str">
        <x:v>Site haritası ürün sayfası</x:v>
      </x:c>
      <x:c r="O1014" s="16" t="str">
        <x:v>Düşük</x:v>
      </x:c>
      <x:c r="P1014" s="19" t="n">
        <x:v>46245</x:v>
      </x:c>
      <x:c r="Q1014" s="20" t="str">
        <x:v>https://www.mehmetefendi.com/kahve-ve-tarihi/kahvenin-tarihsel-yolculugu/londra-da</x:v>
      </x:c>
      <x:c r="R1014" s="20" t="str">
        <x:v>Ürün kimliği korundu; eksik alanlar erişilemedi olarak işaretlenecek.</x:v>
      </x:c>
    </x:row>
    <x:row r="1015" ht="40" customHeight="1">
      <x:c r="A1015" s="16" t="str">
        <x:v>Kurukahveci Mehmet Efendi</x:v>
      </x:c>
      <x:c r="B1015" s="16" t="str">
        <x:v>İstanbul</x:v>
      </x:c>
      <x:c r="C1015" s="16" t="str">
        <x:v>Kısmi doğrulama</x:v>
      </x:c>
      <x:c r="D1015" s="16" t="str">
        <x:v>Ürün kaydı</x:v>
      </x:c>
      <x:c r="E1015" s="16" t="str">
        <x:v>MARSİLYA’DA</x:v>
      </x:c>
      <x:c r="F1015" s="16" t="str">
        <x:v>Menşe belirtilmemiş</x:v>
      </x:c>
      <x:c r="G1015" s="17" t="str">
        <x:v>Erişilemedi</x:v>
      </x:c>
      <x:c r="H1015" s="16" t="str">
        <x:v>Erişilemedi</x:v>
      </x:c>
      <x:c r="I1015" s="18" t="str">
        <x:v>Erişilemedi</x:v>
      </x:c>
      <x:c r="J1015" s="18" t="str">
        <x:v>Erişilemedi</x:v>
      </x:c>
      <x:c r="K1015" s="18" t="str">
        <x:f>IF(AND(ISNUMBER(G1015),ISNUMBER(I1015)),I1015/G1015*1000,"Erişilemedi")</x:f>
        <x:v>Erişilemedi</x:v>
      </x:c>
      <x:c r="L1015" s="16" t="str">
        <x:v>Belirsiz</x:v>
      </x:c>
      <x:c r="M1015" s="16" t="str">
        <x:v>Kahve ürünü</x:v>
      </x:c>
      <x:c r="N1015" s="16" t="str">
        <x:v>Site haritası ürün sayfası</x:v>
      </x:c>
      <x:c r="O1015" s="16" t="str">
        <x:v>Düşük</x:v>
      </x:c>
      <x:c r="P1015" s="19" t="n">
        <x:v>46245</x:v>
      </x:c>
      <x:c r="Q1015" s="20" t="str">
        <x:v>https://www.mehmetefendi.com/kahve-ve-tarihi/kahvenin-tarihsel-yolculugu/marsilya-da</x:v>
      </x:c>
      <x:c r="R1015" s="20" t="str">
        <x:v>Ürün kimliği korundu; eksik alanlar erişilemedi olarak işaretlenecek.</x:v>
      </x:c>
    </x:row>
    <x:row r="1016" ht="40" customHeight="1">
      <x:c r="A1016" s="16" t="str">
        <x:v>Kurukahveci Mehmet Efendi</x:v>
      </x:c>
      <x:c r="B1016" s="16" t="str">
        <x:v>İstanbul</x:v>
      </x:c>
      <x:c r="C1016" s="16" t="str">
        <x:v>Kısmi doğrulama</x:v>
      </x:c>
      <x:c r="D1016" s="16" t="str">
        <x:v>Ürün kaydı</x:v>
      </x:c>
      <x:c r="E1016" s="16" t="str">
        <x:v>MÜZİK VE KAHVE</x:v>
      </x:c>
      <x:c r="F1016" s="16" t="str">
        <x:v>Menşe belirtilmemiş</x:v>
      </x:c>
      <x:c r="G1016" s="17" t="str">
        <x:v>Erişilemedi</x:v>
      </x:c>
      <x:c r="H1016" s="16" t="str">
        <x:v>Erişilemedi</x:v>
      </x:c>
      <x:c r="I1016" s="18" t="str">
        <x:v>Erişilemedi</x:v>
      </x:c>
      <x:c r="J1016" s="18" t="str">
        <x:v>Erişilemedi</x:v>
      </x:c>
      <x:c r="K1016" s="18" t="str">
        <x:f>IF(AND(ISNUMBER(G1016),ISNUMBER(I1016)),I1016/G1016*1000,"Erişilemedi")</x:f>
        <x:v>Erişilemedi</x:v>
      </x:c>
      <x:c r="L1016" s="16" t="str">
        <x:v>Belirsiz</x:v>
      </x:c>
      <x:c r="M1016" s="16" t="str">
        <x:v>Kahve ürünü</x:v>
      </x:c>
      <x:c r="N1016" s="16" t="str">
        <x:v>Site haritası ürün sayfası</x:v>
      </x:c>
      <x:c r="O1016" s="16" t="str">
        <x:v>Düşük</x:v>
      </x:c>
      <x:c r="P1016" s="19" t="n">
        <x:v>46245</x:v>
      </x:c>
      <x:c r="Q1016" s="20" t="str">
        <x:v>https://www.mehmetefendi.com/kahve-ve-tarihi/sanat-ve-kahve/muzik-ve-kahve</x:v>
      </x:c>
      <x:c r="R1016" s="20" t="str">
        <x:v>Ürün kimliği korundu; eksik alanlar erişilemedi olarak işaretlenecek.</x:v>
      </x:c>
    </x:row>
    <x:row r="1017" ht="40" customHeight="1">
      <x:c r="A1017" s="16" t="str">
        <x:v>Kurukahveci Mehmet Efendi</x:v>
      </x:c>
      <x:c r="B1017" s="16" t="str">
        <x:v>İstanbul</x:v>
      </x:c>
      <x:c r="C1017" s="16" t="str">
        <x:v>Kısmi doğrulama</x:v>
      </x:c>
      <x:c r="D1017" s="16" t="str">
        <x:v>Ürün kaydı</x:v>
      </x:c>
      <x:c r="E1017" s="16" t="str">
        <x:v>PARİS’TE</x:v>
      </x:c>
      <x:c r="F1017" s="16" t="str">
        <x:v>Menşe belirtilmemiş</x:v>
      </x:c>
      <x:c r="G1017" s="17" t="str">
        <x:v>Erişilemedi</x:v>
      </x:c>
      <x:c r="H1017" s="16" t="str">
        <x:v>Erişilemedi</x:v>
      </x:c>
      <x:c r="I1017" s="18" t="str">
        <x:v>Erişilemedi</x:v>
      </x:c>
      <x:c r="J1017" s="18" t="str">
        <x:v>Erişilemedi</x:v>
      </x:c>
      <x:c r="K1017" s="18" t="str">
        <x:f>IF(AND(ISNUMBER(G1017),ISNUMBER(I1017)),I1017/G1017*1000,"Erişilemedi")</x:f>
        <x:v>Erişilemedi</x:v>
      </x:c>
      <x:c r="L1017" s="16" t="str">
        <x:v>Belirsiz</x:v>
      </x:c>
      <x:c r="M1017" s="16" t="str">
        <x:v>Kahve ürünü</x:v>
      </x:c>
      <x:c r="N1017" s="16" t="str">
        <x:v>Site haritası ürün sayfası</x:v>
      </x:c>
      <x:c r="O1017" s="16" t="str">
        <x:v>Düşük</x:v>
      </x:c>
      <x:c r="P1017" s="19" t="n">
        <x:v>46245</x:v>
      </x:c>
      <x:c r="Q1017" s="20" t="str">
        <x:v>https://www.mehmetefendi.com/kahve-ve-tarihi/kahvenin-tarihsel-yolculugu/paris-te</x:v>
      </x:c>
      <x:c r="R1017" s="20" t="str">
        <x:v>Ürün kimliği korundu; eksik alanlar erişilemedi olarak işaretlenecek.</x:v>
      </x:c>
    </x:row>
    <x:row r="1018" ht="40" customHeight="1">
      <x:c r="A1018" s="16" t="str">
        <x:v>Kurukahveci Mehmet Efendi</x:v>
      </x:c>
      <x:c r="B1018" s="16" t="str">
        <x:v>İstanbul</x:v>
      </x:c>
      <x:c r="C1018" s="16" t="str">
        <x:v>Kısmi doğrulama</x:v>
      </x:c>
      <x:c r="D1018" s="16" t="str">
        <x:v>Ürün kaydı</x:v>
      </x:c>
      <x:c r="E1018" s="16" t="str">
        <x:v>PRESS COFFEE</x:v>
      </x:c>
      <x:c r="F1018" s="16" t="str">
        <x:v>Menşe belirtilmemiş</x:v>
      </x:c>
      <x:c r="G1018" s="17" t="str">
        <x:v>Erişilemedi</x:v>
      </x:c>
      <x:c r="H1018" s="16" t="str">
        <x:v>Erişilemedi</x:v>
      </x:c>
      <x:c r="I1018" s="18" t="str">
        <x:v>Erişilemedi</x:v>
      </x:c>
      <x:c r="J1018" s="18" t="str">
        <x:v>Erişilemedi</x:v>
      </x:c>
      <x:c r="K1018" s="18" t="str">
        <x:f>IF(AND(ISNUMBER(G1018),ISNUMBER(I1018)),I1018/G1018*1000,"Erişilemedi")</x:f>
        <x:v>Erişilemedi</x:v>
      </x:c>
      <x:c r="L1018" s="16" t="str">
        <x:v>Belirsiz</x:v>
      </x:c>
      <x:c r="M1018" s="16" t="str">
        <x:v>Kahve ürünü</x:v>
      </x:c>
      <x:c r="N1018" s="16" t="str">
        <x:v>Site haritası ürün sayfası</x:v>
      </x:c>
      <x:c r="O1018" s="16" t="str">
        <x:v>Düşük</x:v>
      </x:c>
      <x:c r="P1018" s="19" t="n">
        <x:v>46245</x:v>
      </x:c>
      <x:c r="Q1018" s="20" t="str">
        <x:v>https://www.mehmetefendi.com/eng/brew-guide/press-coffee</x:v>
      </x:c>
      <x:c r="R1018" s="20" t="str">
        <x:v>Ürün kimliği korundu; eksik alanlar erişilemedi olarak işaretlenecek.</x:v>
      </x:c>
    </x:row>
    <x:row r="1019" ht="40" customHeight="1">
      <x:c r="A1019" s="16" t="str">
        <x:v>Kurukahveci Mehmet Efendi</x:v>
      </x:c>
      <x:c r="B1019" s="16" t="str">
        <x:v>İstanbul</x:v>
      </x:c>
      <x:c r="C1019" s="16" t="str">
        <x:v>Kısmi doğrulama</x:v>
      </x:c>
      <x:c r="D1019" s="16" t="str">
        <x:v>Ürün kaydı</x:v>
      </x:c>
      <x:c r="E1019" s="16" t="str">
        <x:v>PRESS COFFEE</x:v>
      </x:c>
      <x:c r="F1019" s="16" t="str">
        <x:v>Menşe belirtilmemiş</x:v>
      </x:c>
      <x:c r="G1019" s="17" t="n">
        <x:v>350</x:v>
      </x:c>
      <x:c r="H1019" s="16" t="str">
        <x:v>Erişildi</x:v>
      </x:c>
      <x:c r="I1019" s="18" t="str">
        <x:v>Erişilemedi</x:v>
      </x:c>
      <x:c r="J1019" s="18" t="str">
        <x:v>Erişilemedi</x:v>
      </x:c>
      <x:c r="K1019" s="18" t="str">
        <x:f>IF(AND(ISNUMBER(G1019),ISNUMBER(I1019)),I1019/G1019*1000,"Erişilemedi")</x:f>
        <x:v>Erişilemedi</x:v>
      </x:c>
      <x:c r="L1019" s="16" t="str">
        <x:v>Belirsiz</x:v>
      </x:c>
      <x:c r="M1019" s="16" t="str">
        <x:v>Kahve ürünü</x:v>
      </x:c>
      <x:c r="N1019" s="16" t="str">
        <x:v>Site haritası ürün sayfası</x:v>
      </x:c>
      <x:c r="O1019" s="16" t="str">
        <x:v>Düşük</x:v>
      </x:c>
      <x:c r="P1019" s="19" t="n">
        <x:v>46245</x:v>
      </x:c>
      <x:c r="Q1019" s="20" t="str">
        <x:v>https://www.mehmetefendi.com/hazirlama/press-coffee</x:v>
      </x:c>
      <x:c r="R1019" s="20" t="str">
        <x:v>Ürün kimliği korundu; eksik alanlar erişilemedi olarak işaretlenecek.</x:v>
      </x:c>
    </x:row>
    <x:row r="1020" ht="40" customHeight="1">
      <x:c r="A1020" s="16" t="str">
        <x:v>Kurukahveci Mehmet Efendi</x:v>
      </x:c>
      <x:c r="B1020" s="16" t="str">
        <x:v>İstanbul</x:v>
      </x:c>
      <x:c r="C1020" s="16" t="str">
        <x:v>Kısmi doğrulama</x:v>
      </x:c>
      <x:c r="D1020" s="16" t="str">
        <x:v>Ürün kaydı</x:v>
      </x:c>
      <x:c r="E1020" s="16" t="str">
        <x:v>ROASTED COFFEE BEANS</x:v>
      </x:c>
      <x:c r="F1020" s="16" t="str">
        <x:v>Menşe belirtilmemiş</x:v>
      </x:c>
      <x:c r="G1020" s="17" t="str">
        <x:v>Erişilemedi</x:v>
      </x:c>
      <x:c r="H1020" s="16" t="str">
        <x:v>Erişilemedi</x:v>
      </x:c>
      <x:c r="I1020" s="18" t="str">
        <x:v>Erişilemedi</x:v>
      </x:c>
      <x:c r="J1020" s="18" t="str">
        <x:v>Erişilemedi</x:v>
      </x:c>
      <x:c r="K1020" s="18" t="str">
        <x:f>IF(AND(ISNUMBER(G1020),ISNUMBER(I1020)),I1020/G1020*1000,"Erişilemedi")</x:f>
        <x:v>Erişilemedi</x:v>
      </x:c>
      <x:c r="L1020" s="16" t="str">
        <x:v>Belirsiz</x:v>
      </x:c>
      <x:c r="M1020" s="16" t="str">
        <x:v>Kahve ürünü</x:v>
      </x:c>
      <x:c r="N1020" s="16" t="str">
        <x:v>Site haritası ürün sayfası</x:v>
      </x:c>
      <x:c r="O1020" s="16" t="str">
        <x:v>Düşük</x:v>
      </x:c>
      <x:c r="P1020" s="19" t="n">
        <x:v>46245</x:v>
      </x:c>
      <x:c r="Q1020" s="20" t="str">
        <x:v>https://www.mehmetefendi.com/eng/products/roasted-coffee-beans</x:v>
      </x:c>
      <x:c r="R1020" s="20" t="str">
        <x:v>Ürün kimliği korundu; eksik alanlar erişilemedi olarak işaretlenecek.</x:v>
      </x:c>
    </x:row>
    <x:row r="1021" ht="40" customHeight="1">
      <x:c r="A1021" s="16" t="str">
        <x:v>Kurukahveci Mehmet Efendi</x:v>
      </x:c>
      <x:c r="B1021" s="16" t="str">
        <x:v>İstanbul</x:v>
      </x:c>
      <x:c r="C1021" s="16" t="str">
        <x:v>Kısmi doğrulama</x:v>
      </x:c>
      <x:c r="D1021" s="16" t="str">
        <x:v>Ürün kaydı</x:v>
      </x:c>
      <x:c r="E1021" s="16" t="str">
        <x:v>THE ANATOMY OF COFFEE</x:v>
      </x:c>
      <x:c r="F1021" s="16" t="str">
        <x:v>Etiyopya | Brezilya | Endonezya | Hindistan</x:v>
      </x:c>
      <x:c r="G1021" s="17" t="n">
        <x:v>5000</x:v>
      </x:c>
      <x:c r="H1021" s="16" t="str">
        <x:v>Erişildi</x:v>
      </x:c>
      <x:c r="I1021" s="18" t="str">
        <x:v>Erişilemedi</x:v>
      </x:c>
      <x:c r="J1021" s="18" t="str">
        <x:v>Erişilemedi</x:v>
      </x:c>
      <x:c r="K1021" s="18" t="str">
        <x:f>IF(AND(ISNUMBER(G1021),ISNUMBER(I1021)),I1021/G1021*1000,"Erişilemedi")</x:f>
        <x:v>Erişilemedi</x:v>
      </x:c>
      <x:c r="L1021" s="16" t="str">
        <x:v>Belirsiz</x:v>
      </x:c>
      <x:c r="M1021" s="16" t="str">
        <x:v>Kahve ürünü</x:v>
      </x:c>
      <x:c r="N1021" s="16" t="str">
        <x:v>Site haritası ürün sayfası</x:v>
      </x:c>
      <x:c r="O1021" s="16" t="str">
        <x:v>Düşük</x:v>
      </x:c>
      <x:c r="P1021" s="19" t="n">
        <x:v>46245</x:v>
      </x:c>
      <x:c r="Q1021" s="20" t="str">
        <x:v>https://www.mehmetefendi.com/eng/coffee-culture/how-coffee-is-cultivated/the-anatomy-of-coffee</x:v>
      </x:c>
      <x:c r="R1021" s="20" t="str">
        <x:v>Ürün kimliği korundu; eksik alanlar erişilemedi olarak işaretlenecek.</x:v>
      </x:c>
    </x:row>
    <x:row r="1022" ht="40" customHeight="1">
      <x:c r="A1022" s="16" t="str">
        <x:v>Kurukahveci Mehmet Efendi</x:v>
      </x:c>
      <x:c r="B1022" s="16" t="str">
        <x:v>İstanbul</x:v>
      </x:c>
      <x:c r="C1022" s="16" t="str">
        <x:v>Kısmi doğrulama</x:v>
      </x:c>
      <x:c r="D1022" s="16" t="str">
        <x:v>Ürün kaydı</x:v>
      </x:c>
      <x:c r="E1022" s="16" t="str">
        <x:v>TURKISH COFFEE</x:v>
      </x:c>
      <x:c r="F1022" s="16" t="str">
        <x:v>Menşe belirtilmemiş</x:v>
      </x:c>
      <x:c r="G1022" s="17" t="str">
        <x:v>Erişilemedi</x:v>
      </x:c>
      <x:c r="H1022" s="16" t="str">
        <x:v>Erişilemedi</x:v>
      </x:c>
      <x:c r="I1022" s="18" t="str">
        <x:v>Erişilemedi</x:v>
      </x:c>
      <x:c r="J1022" s="18" t="str">
        <x:v>Erişilemedi</x:v>
      </x:c>
      <x:c r="K1022" s="18" t="str">
        <x:f>IF(AND(ISNUMBER(G1022),ISNUMBER(I1022)),I1022/G1022*1000,"Erişilemedi")</x:f>
        <x:v>Erişilemedi</x:v>
      </x:c>
      <x:c r="L1022" s="16" t="str">
        <x:v>Belirsiz</x:v>
      </x:c>
      <x:c r="M1022" s="16" t="str">
        <x:v>Kahve ürünü</x:v>
      </x:c>
      <x:c r="N1022" s="16" t="str">
        <x:v>Site haritası ürün sayfası</x:v>
      </x:c>
      <x:c r="O1022" s="16" t="str">
        <x:v>Düşük</x:v>
      </x:c>
      <x:c r="P1022" s="19" t="n">
        <x:v>46245</x:v>
      </x:c>
      <x:c r="Q1022" s="20" t="str">
        <x:v>https://www.mehmetefendi.com/eng/products/turkish-coffee</x:v>
      </x:c>
      <x:c r="R1022" s="20" t="str">
        <x:v>Ürün kimliği korundu; eksik alanlar erişilemedi olarak işaretlenecek.</x:v>
      </x:c>
    </x:row>
    <x:row r="1023" ht="40" customHeight="1">
      <x:c r="A1023" s="16" t="str">
        <x:v>Kurukahveci Mehmet Efendi</x:v>
      </x:c>
      <x:c r="B1023" s="16" t="str">
        <x:v>İstanbul</x:v>
      </x:c>
      <x:c r="C1023" s="16" t="str">
        <x:v>Kısmi doğrulama</x:v>
      </x:c>
      <x:c r="D1023" s="16" t="str">
        <x:v>Ürün kaydı</x:v>
      </x:c>
      <x:c r="E1023" s="16" t="str">
        <x:v>TÜRK KAHVESİ</x:v>
      </x:c>
      <x:c r="F1023" s="16" t="str">
        <x:v>Menşe belirtilmemiş</x:v>
      </x:c>
      <x:c r="G1023" s="17" t="str">
        <x:v>Erişilemedi</x:v>
      </x:c>
      <x:c r="H1023" s="16" t="str">
        <x:v>Erişilemedi</x:v>
      </x:c>
      <x:c r="I1023" s="18" t="str">
        <x:v>Erişilemedi</x:v>
      </x:c>
      <x:c r="J1023" s="18" t="str">
        <x:v>Erişilemedi</x:v>
      </x:c>
      <x:c r="K1023" s="18" t="str">
        <x:f>IF(AND(ISNUMBER(G1023),ISNUMBER(I1023)),I1023/G1023*1000,"Erişilemedi")</x:f>
        <x:v>Erişilemedi</x:v>
      </x:c>
      <x:c r="L1023" s="16" t="str">
        <x:v>Belirsiz</x:v>
      </x:c>
      <x:c r="M1023" s="16" t="str">
        <x:v>Kahve ürünü</x:v>
      </x:c>
      <x:c r="N1023" s="16" t="str">
        <x:v>Site haritası ürün sayfası</x:v>
      </x:c>
      <x:c r="O1023" s="16" t="str">
        <x:v>Düşük</x:v>
      </x:c>
      <x:c r="P1023" s="19" t="n">
        <x:v>46245</x:v>
      </x:c>
      <x:c r="Q1023" s="20" t="str">
        <x:v>https://www.mehmetefendi.com/urunler/turk-kahvesi</x:v>
      </x:c>
      <x:c r="R1023" s="20" t="str">
        <x:v>Ürün kimliği korundu; eksik alanlar erişilemedi olarak işaretlenecek.</x:v>
      </x:c>
    </x:row>
    <x:row r="1024" ht="40" customHeight="1">
      <x:c r="A1024" s="16" t="str">
        <x:v>Kurukahveci Mehmet Efendi</x:v>
      </x:c>
      <x:c r="B1024" s="16" t="str">
        <x:v>İstanbul</x:v>
      </x:c>
      <x:c r="C1024" s="16" t="str">
        <x:v>Kısmi doğrulama</x:v>
      </x:c>
      <x:c r="D1024" s="16" t="str">
        <x:v>Ürün kaydı</x:v>
      </x:c>
      <x:c r="E1024" s="16" t="str">
        <x:v>VENEDİK’TE</x:v>
      </x:c>
      <x:c r="F1024" s="16" t="str">
        <x:v>Menşe belirtilmemiş</x:v>
      </x:c>
      <x:c r="G1024" s="17" t="str">
        <x:v>Erişilemedi</x:v>
      </x:c>
      <x:c r="H1024" s="16" t="str">
        <x:v>Erişilemedi</x:v>
      </x:c>
      <x:c r="I1024" s="18" t="str">
        <x:v>Erişilemedi</x:v>
      </x:c>
      <x:c r="J1024" s="18" t="str">
        <x:v>Erişilemedi</x:v>
      </x:c>
      <x:c r="K1024" s="18" t="str">
        <x:f>IF(AND(ISNUMBER(G1024),ISNUMBER(I1024)),I1024/G1024*1000,"Erişilemedi")</x:f>
        <x:v>Erişilemedi</x:v>
      </x:c>
      <x:c r="L1024" s="16" t="str">
        <x:v>Belirsiz</x:v>
      </x:c>
      <x:c r="M1024" s="16" t="str">
        <x:v>Kahve ürünü</x:v>
      </x:c>
      <x:c r="N1024" s="16" t="str">
        <x:v>Site haritası ürün sayfası</x:v>
      </x:c>
      <x:c r="O1024" s="16" t="str">
        <x:v>Düşük</x:v>
      </x:c>
      <x:c r="P1024" s="19" t="n">
        <x:v>46245</x:v>
      </x:c>
      <x:c r="Q1024" s="20" t="str">
        <x:v>https://www.mehmetefendi.com/kahve-ve-tarihi/kahvenin-tarihsel-yolculugu/venedik-te</x:v>
      </x:c>
      <x:c r="R1024" s="20" t="str">
        <x:v>Ürün kimliği korundu; eksik alanlar erişilemedi olarak işaretlenecek.</x:v>
      </x:c>
    </x:row>
    <x:row r="1025" ht="40" customHeight="1">
      <x:c r="A1025" s="16" t="str">
        <x:v>Kurukahveci Mehmet Efendi</x:v>
      </x:c>
      <x:c r="B1025" s="16" t="str">
        <x:v>İstanbul</x:v>
      </x:c>
      <x:c r="C1025" s="16" t="str">
        <x:v>Kısmi doğrulama</x:v>
      </x:c>
      <x:c r="D1025" s="16" t="str">
        <x:v>Ürün kaydı</x:v>
      </x:c>
      <x:c r="E1025" s="16" t="str">
        <x:v>YEMEN’DE</x:v>
      </x:c>
      <x:c r="F1025" s="16" t="str">
        <x:v>Yemen</x:v>
      </x:c>
      <x:c r="G1025" s="17" t="str">
        <x:v>Erişilemedi</x:v>
      </x:c>
      <x:c r="H1025" s="16" t="str">
        <x:v>Erişilemedi</x:v>
      </x:c>
      <x:c r="I1025" s="18" t="str">
        <x:v>Erişilemedi</x:v>
      </x:c>
      <x:c r="J1025" s="18" t="str">
        <x:v>Erişilemedi</x:v>
      </x:c>
      <x:c r="K1025" s="18" t="str">
        <x:f>IF(AND(ISNUMBER(G1025),ISNUMBER(I1025)),I1025/G1025*1000,"Erişilemedi")</x:f>
        <x:v>Erişilemedi</x:v>
      </x:c>
      <x:c r="L1025" s="16" t="str">
        <x:v>Belirsiz</x:v>
      </x:c>
      <x:c r="M1025" s="16" t="str">
        <x:v>Kahve ürünü</x:v>
      </x:c>
      <x:c r="N1025" s="16" t="str">
        <x:v>Site haritası ürün sayfası</x:v>
      </x:c>
      <x:c r="O1025" s="16" t="str">
        <x:v>Düşük</x:v>
      </x:c>
      <x:c r="P1025" s="19" t="n">
        <x:v>46245</x:v>
      </x:c>
      <x:c r="Q1025" s="20" t="str">
        <x:v>https://www.mehmetefendi.com/kahve-ve-tarihi/kahvenin-tarihsel-yolculugu/yemen-de</x:v>
      </x:c>
      <x:c r="R1025" s="20" t="str">
        <x:v>Ürün kimliği korundu; eksik alanlar erişilemedi olarak işaretlenecek.</x:v>
      </x:c>
    </x:row>
    <x:row r="1026" ht="40" customHeight="1">
      <x:c r="A1026" s="16" t="str">
        <x:v>Lagetom Coffee</x:v>
      </x:c>
      <x:c r="B1026" s="16" t="str">
        <x:v>Ankara</x:v>
      </x:c>
      <x:c r="C1026" s="16" t="str">
        <x:v>Kısmi doğrulama</x:v>
      </x:c>
      <x:c r="D1026" s="16" t="str">
        <x:v>Katalog takip kaydı</x:v>
      </x:c>
      <x:c r="E1026" s="16" t="str">
        <x:v>Ürün kataloğu — ayrıntılı ürün verisine erişilemedi</x:v>
      </x:c>
      <x:c r="F1026" s="16" t="str">
        <x:v>Erişilemedi</x:v>
      </x:c>
      <x:c r="G1026" s="17" t="str">
        <x:v>Erişilemedi</x:v>
      </x:c>
      <x:c r="H1026" s="16" t="str">
        <x:v>Erişilemedi</x:v>
      </x:c>
      <x:c r="I1026" s="18" t="str">
        <x:v>Erişilemedi</x:v>
      </x:c>
      <x:c r="J1026" s="18" t="str">
        <x:v>Erişilemedi</x:v>
      </x:c>
      <x:c r="K1026" s="18" t="str">
        <x:f>IF(AND(ISNUMBER(G1026),ISNUMBER(I1026)),I1026/G1026*1000,"Erişilemedi")</x:f>
        <x:v>Erişilemedi</x:v>
      </x:c>
      <x:c r="L1026" s="16" t="str">
        <x:v>Erişilemedi</x:v>
      </x:c>
      <x:c r="M1026" s="16" t="str">
        <x:v>Katalog/takip kaydı</x:v>
      </x:c>
      <x:c r="N1026" s="16" t="str">
        <x:v>Instagram veya mevcut kaynak</x:v>
      </x:c>
      <x:c r="O1026" s="16" t="str">
        <x:v>Takip gerekli</x:v>
      </x:c>
      <x:c r="P1026" s="19" t="n">
        <x:v>46245</x:v>
      </x:c>
      <x:c r="Q1026" s="20" t="str">
        <x:v>Erişilemedi</x:v>
      </x:c>
      <x:c r="R1026" s="20" t="str">
        <x:v>Ürün adı, gramaj ve fiyat birlikte çıkarılamadı. Bağlantı manuel inceleme için korundu.</x:v>
      </x:c>
    </x:row>
    <x:row r="1027" ht="40" customHeight="1">
      <x:c r="A1027" s="16" t="str">
        <x:v>Locus Coffee Roastery</x:v>
      </x:c>
      <x:c r="B1027" s="16" t="str">
        <x:v>Ankara</x:v>
      </x:c>
      <x:c r="C1027" s="16" t="str">
        <x:v>Kısmi doğrulama</x:v>
      </x:c>
      <x:c r="D1027" s="16" t="str">
        <x:v>Katalog takip kaydı</x:v>
      </x:c>
      <x:c r="E1027" s="16" t="str">
        <x:v>Ürün kataloğu — ayrıntılı ürün verisine erişilemedi</x:v>
      </x:c>
      <x:c r="F1027" s="16" t="str">
        <x:v>Erişilemedi</x:v>
      </x:c>
      <x:c r="G1027" s="17" t="str">
        <x:v>Erişilemedi</x:v>
      </x:c>
      <x:c r="H1027" s="16" t="str">
        <x:v>Erişilemedi</x:v>
      </x:c>
      <x:c r="I1027" s="18" t="str">
        <x:v>Erişilemedi</x:v>
      </x:c>
      <x:c r="J1027" s="18" t="str">
        <x:v>Erişilemedi</x:v>
      </x:c>
      <x:c r="K1027" s="18" t="str">
        <x:f>IF(AND(ISNUMBER(G1027),ISNUMBER(I1027)),I1027/G1027*1000,"Erişilemedi")</x:f>
        <x:v>Erişilemedi</x:v>
      </x:c>
      <x:c r="L1027" s="16" t="str">
        <x:v>Erişilemedi</x:v>
      </x:c>
      <x:c r="M1027" s="16" t="str">
        <x:v>Katalog/takip kaydı</x:v>
      </x:c>
      <x:c r="N1027" s="16" t="str">
        <x:v>Instagram veya mevcut kaynak</x:v>
      </x:c>
      <x:c r="O1027" s="16" t="str">
        <x:v>Takip gerekli</x:v>
      </x:c>
      <x:c r="P1027" s="19" t="n">
        <x:v>46245</x:v>
      </x:c>
      <x:c r="Q1027" s="20" t="str">
        <x:v>Erişilemedi</x:v>
      </x:c>
      <x:c r="R1027" s="20" t="str">
        <x:v>Ürün adı, gramaj ve fiyat birlikte çıkarılamadı. Bağlantı manuel inceleme için korundu.</x:v>
      </x:c>
    </x:row>
    <x:row r="1028" ht="40" customHeight="1">
      <x:c r="A1028" s="16" t="str">
        <x:v>Lol Coffee Roasters</x:v>
      </x:c>
      <x:c r="B1028" s="16" t="str">
        <x:v>İstanbul</x:v>
      </x:c>
      <x:c r="C1028" s="16" t="str">
        <x:v>Kısmi doğrulama</x:v>
      </x:c>
      <x:c r="D1028" s="16" t="str">
        <x:v>Katalog takip kaydı</x:v>
      </x:c>
      <x:c r="E1028" s="16" t="str">
        <x:v>Ürün kataloğu — ayrıntılı ürün verisine erişilemedi</x:v>
      </x:c>
      <x:c r="F1028" s="16" t="str">
        <x:v>Erişilemedi</x:v>
      </x:c>
      <x:c r="G1028" s="17" t="str">
        <x:v>Erişilemedi</x:v>
      </x:c>
      <x:c r="H1028" s="16" t="str">
        <x:v>Erişilemedi</x:v>
      </x:c>
      <x:c r="I1028" s="18" t="str">
        <x:v>Erişilemedi</x:v>
      </x:c>
      <x:c r="J1028" s="18" t="str">
        <x:v>Erişilemedi</x:v>
      </x:c>
      <x:c r="K1028" s="18" t="str">
        <x:f>IF(AND(ISNUMBER(G1028),ISNUMBER(I1028)),I1028/G1028*1000,"Erişilemedi")</x:f>
        <x:v>Erişilemedi</x:v>
      </x:c>
      <x:c r="L1028" s="16" t="str">
        <x:v>Erişilemedi</x:v>
      </x:c>
      <x:c r="M1028" s="16" t="str">
        <x:v>Katalog/takip kaydı</x:v>
      </x:c>
      <x:c r="N1028" s="16" t="str">
        <x:v>Instagram veya mevcut kaynak</x:v>
      </x:c>
      <x:c r="O1028" s="16" t="str">
        <x:v>Takip gerekli</x:v>
      </x:c>
      <x:c r="P1028" s="19" t="n">
        <x:v>46245</x:v>
      </x:c>
      <x:c r="Q1028" s="20" t="str">
        <x:v>Erişilemedi</x:v>
      </x:c>
      <x:c r="R1028" s="20" t="str">
        <x:v>Ürün adı, gramaj ve fiyat birlikte çıkarılamadı. Bağlantı manuel inceleme için korundu.</x:v>
      </x:c>
    </x:row>
    <x:row r="1029" ht="40" customHeight="1">
      <x:c r="A1029" s="16" t="str">
        <x:v>Mardin Kahve</x:v>
      </x:c>
      <x:c r="B1029" s="16" t="str"/>
      <x:c r="C1029" s="16" t="str">
        <x:v>Kısmi doğrulama</x:v>
      </x:c>
      <x:c r="D1029" s="16" t="str">
        <x:v>Katalog takip kaydı</x:v>
      </x:c>
      <x:c r="E1029" s="16" t="str">
        <x:v>Ürün kataloğu — ayrıntılı ürün verisine erişilemedi</x:v>
      </x:c>
      <x:c r="F1029" s="16" t="str">
        <x:v>Erişilemedi</x:v>
      </x:c>
      <x:c r="G1029" s="17" t="str">
        <x:v>Erişilemedi</x:v>
      </x:c>
      <x:c r="H1029" s="16" t="str">
        <x:v>Erişilemedi</x:v>
      </x:c>
      <x:c r="I1029" s="18" t="str">
        <x:v>Erişilemedi</x:v>
      </x:c>
      <x:c r="J1029" s="18" t="str">
        <x:v>Erişilemedi</x:v>
      </x:c>
      <x:c r="K1029" s="18" t="str">
        <x:f>IF(AND(ISNUMBER(G1029),ISNUMBER(I1029)),I1029/G1029*1000,"Erişilemedi")</x:f>
        <x:v>Erişilemedi</x:v>
      </x:c>
      <x:c r="L1029" s="16" t="str">
        <x:v>Erişilemedi</x:v>
      </x:c>
      <x:c r="M1029" s="16" t="str">
        <x:v>Katalog/takip kaydı</x:v>
      </x:c>
      <x:c r="N1029" s="16" t="str">
        <x:v>Instagram veya mevcut kaynak</x:v>
      </x:c>
      <x:c r="O1029" s="16" t="str">
        <x:v>Takip gerekli</x:v>
      </x:c>
      <x:c r="P1029" s="19" t="n">
        <x:v>46245</x:v>
      </x:c>
      <x:c r="Q1029" s="20" t="str">
        <x:v>Erişilemedi</x:v>
      </x:c>
      <x:c r="R1029" s="20" t="str">
        <x:v>Ürün adı, gramaj ve fiyat birlikte çıkarılamadı. Bağlantı manuel inceleme için korundu.</x:v>
      </x:c>
    </x:row>
    <x:row r="1030" ht="40" customHeight="1">
      <x:c r="A1030" s="16" t="str">
        <x:v>MeetLab Coffee</x:v>
      </x:c>
      <x:c r="B1030" s="16" t="str">
        <x:v>İstanbul</x:v>
      </x:c>
      <x:c r="C1030" s="16" t="str">
        <x:v>Doğrulandı</x:v>
      </x:c>
      <x:c r="D1030" s="16" t="str">
        <x:v>Katalog takip kaydı</x:v>
      </x:c>
      <x:c r="E1030" s="16" t="str">
        <x:v>Ürün kataloğu — ayrıntılı ürün verisine erişilemedi</x:v>
      </x:c>
      <x:c r="F1030" s="16" t="str">
        <x:v>Erişilemedi</x:v>
      </x:c>
      <x:c r="G1030" s="17" t="str">
        <x:v>Erişilemedi</x:v>
      </x:c>
      <x:c r="H1030" s="16" t="str">
        <x:v>Erişilemedi</x:v>
      </x:c>
      <x:c r="I1030" s="18" t="str">
        <x:v>Erişilemedi</x:v>
      </x:c>
      <x:c r="J1030" s="18" t="str">
        <x:v>Erişilemedi</x:v>
      </x:c>
      <x:c r="K1030" s="18" t="str">
        <x:f>IF(AND(ISNUMBER(G1030),ISNUMBER(I1030)),I1030/G1030*1000,"Erişilemedi")</x:f>
        <x:v>Erişilemedi</x:v>
      </x:c>
      <x:c r="L1030" s="16" t="str">
        <x:v>Erişilemedi</x:v>
      </x:c>
      <x:c r="M1030" s="16" t="str">
        <x:v>Katalog/takip kaydı</x:v>
      </x:c>
      <x:c r="N1030" s="16" t="str">
        <x:v>Mağaza/katalog bağlantısı</x:v>
      </x:c>
      <x:c r="O1030" s="16" t="str">
        <x:v>Takip gerekli</x:v>
      </x:c>
      <x:c r="P1030" s="19" t="n">
        <x:v>46245</x:v>
      </x:c>
      <x:c r="Q1030" s="20" t="str">
        <x:v>https://www.meetlabcoffee.com/filtre-kahve-abonelikleri</x:v>
      </x:c>
      <x:c r="R1030" s="20" t="str">
        <x:v>Ürün adı, gramaj ve fiyat birlikte çıkarılamadı. Bağlantı manuel inceleme için korundu.</x:v>
      </x:c>
    </x:row>
    <x:row r="1031" ht="40" customHeight="1">
      <x:c r="A1031" s="16" t="str">
        <x:v>Milestones Coffee</x:v>
      </x:c>
      <x:c r="B1031" s="16" t="str">
        <x:v>Manisa</x:v>
      </x:c>
      <x:c r="C1031" s="16" t="str">
        <x:v>Kısmi doğrulama</x:v>
      </x:c>
      <x:c r="D1031" s="16" t="str">
        <x:v>Ürün kaydı</x:v>
      </x:c>
      <x:c r="E1031" s="16" t="str">
        <x:v>Milestones Coffee</x:v>
      </x:c>
      <x:c r="F1031" s="16" t="str">
        <x:v>Menşe belirtilmemiş</x:v>
      </x:c>
      <x:c r="G1031" s="17" t="str">
        <x:v>Erişilemedi</x:v>
      </x:c>
      <x:c r="H1031" s="16" t="str">
        <x:v>Erişilemedi</x:v>
      </x:c>
      <x:c r="I1031" s="18" t="n">
        <x:v>800</x:v>
      </x:c>
      <x:c r="J1031" s="18" t="str">
        <x:v>Erişildi</x:v>
      </x:c>
      <x:c r="K1031" s="18" t="str">
        <x:f>IF(AND(ISNUMBER(G1031),ISNUMBER(I1031)),I1031/G1031*1000,"Erişilemedi")</x:f>
        <x:v>Erişilemedi</x:v>
      </x:c>
      <x:c r="L1031" s="16" t="str">
        <x:v>Belirsiz</x:v>
      </x:c>
      <x:c r="M1031" s="16" t="str">
        <x:v>Kahve ürünü</x:v>
      </x:c>
      <x:c r="N1031" s="16" t="str">
        <x:v>Site haritası ürün sayfası</x:v>
      </x:c>
      <x:c r="O1031" s="16" t="str">
        <x:v>Düşük</x:v>
      </x:c>
      <x:c r="P1031" s="19" t="n">
        <x:v>46245</x:v>
      </x:c>
      <x:c r="Q1031" s="20" t="str">
        <x:v>https://milestonescoffee.com/urun/25-26-burundi-gitwe-hill-yikanmis/</x:v>
      </x:c>
      <x:c r="R1031" s="20" t="str">
        <x:v>Ürün kimliği korundu; eksik alanlar erişilemedi olarak işaretlenecek.</x:v>
      </x:c>
    </x:row>
    <x:row r="1032" ht="40" customHeight="1">
      <x:c r="A1032" s="16" t="str">
        <x:v>Milestones Coffee</x:v>
      </x:c>
      <x:c r="B1032" s="16" t="str">
        <x:v>Manisa</x:v>
      </x:c>
      <x:c r="C1032" s="16" t="str">
        <x:v>Kısmi doğrulama</x:v>
      </x:c>
      <x:c r="D1032" s="16" t="str">
        <x:v>Ürün kaydı</x:v>
      </x:c>
      <x:c r="E1032" s="16" t="str">
        <x:v>Milestones Coffee</x:v>
      </x:c>
      <x:c r="F1032" s="16" t="str">
        <x:v>Menşe belirtilmemiş</x:v>
      </x:c>
      <x:c r="G1032" s="17" t="str">
        <x:v>Erişilemedi</x:v>
      </x:c>
      <x:c r="H1032" s="16" t="str">
        <x:v>Erişilemedi</x:v>
      </x:c>
      <x:c r="I1032" s="18" t="n">
        <x:v>995</x:v>
      </x:c>
      <x:c r="J1032" s="18" t="str">
        <x:v>Erişildi</x:v>
      </x:c>
      <x:c r="K1032" s="18" t="str">
        <x:f>IF(AND(ISNUMBER(G1032),ISNUMBER(I1032)),I1032/G1032*1000,"Erişilemedi")</x:f>
        <x:v>Erişilemedi</x:v>
      </x:c>
      <x:c r="L1032" s="16" t="str">
        <x:v>Belirsiz</x:v>
      </x:c>
      <x:c r="M1032" s="16" t="str">
        <x:v>Kahve ürünü</x:v>
      </x:c>
      <x:c r="N1032" s="16" t="str">
        <x:v>Site haritası ürün sayfası</x:v>
      </x:c>
      <x:c r="O1032" s="16" t="str">
        <x:v>Düşük</x:v>
      </x:c>
      <x:c r="P1032" s="19" t="n">
        <x:v>46245</x:v>
      </x:c>
      <x:c r="Q1032" s="20" t="str">
        <x:v>https://milestonescoffee.com/urun/25-26-kolombiya-sebastian-ramirez-pink-bourbon-honey/</x:v>
      </x:c>
      <x:c r="R1032" s="20" t="str">
        <x:v>Ürün kimliği korundu; eksik alanlar erişilemedi olarak işaretlenecek.</x:v>
      </x:c>
    </x:row>
    <x:row r="1033" ht="40" customHeight="1">
      <x:c r="A1033" s="16" t="str">
        <x:v>Milestones Coffee</x:v>
      </x:c>
      <x:c r="B1033" s="16" t="str">
        <x:v>Manisa</x:v>
      </x:c>
      <x:c r="C1033" s="16" t="str">
        <x:v>Kısmi doğrulama</x:v>
      </x:c>
      <x:c r="D1033" s="16" t="str">
        <x:v>Ürün kaydı</x:v>
      </x:c>
      <x:c r="E1033" s="16" t="str">
        <x:v>Milestones Coffee</x:v>
      </x:c>
      <x:c r="F1033" s="16" t="str">
        <x:v>Menşe belirtilmemiş</x:v>
      </x:c>
      <x:c r="G1033" s="17" t="str">
        <x:v>Erişilemedi</x:v>
      </x:c>
      <x:c r="H1033" s="16" t="str">
        <x:v>Erişilemedi</x:v>
      </x:c>
      <x:c r="I1033" s="18" t="n">
        <x:v>460</x:v>
      </x:c>
      <x:c r="J1033" s="18" t="str">
        <x:v>Erişildi</x:v>
      </x:c>
      <x:c r="K1033" s="18" t="str">
        <x:f>IF(AND(ISNUMBER(G1033),ISNUMBER(I1033)),I1033/G1033*1000,"Erişilemedi")</x:f>
        <x:v>Erişilemedi</x:v>
      </x:c>
      <x:c r="L1033" s="16" t="str">
        <x:v>Belirsiz</x:v>
      </x:c>
      <x:c r="M1033" s="16" t="str">
        <x:v>Kahve ürünü</x:v>
      </x:c>
      <x:c r="N1033" s="16" t="str">
        <x:v>Site haritası ürün sayfası</x:v>
      </x:c>
      <x:c r="O1033" s="16" t="str">
        <x:v>Düşük</x:v>
      </x:c>
      <x:c r="P1033" s="19" t="n">
        <x:v>46245</x:v>
      </x:c>
      <x:c r="Q1033" s="20" t="str">
        <x:v>https://milestonescoffee.com/urun/25-26-brezilya-sitio-cafundo-natural-espresso/</x:v>
      </x:c>
      <x:c r="R1033" s="20" t="str">
        <x:v>Ürün kimliği korundu; eksik alanlar erişilemedi olarak işaretlenecek.</x:v>
      </x:c>
    </x:row>
    <x:row r="1034" ht="40" customHeight="1">
      <x:c r="A1034" s="16" t="str">
        <x:v>Milestones Coffee</x:v>
      </x:c>
      <x:c r="B1034" s="16" t="str">
        <x:v>Manisa</x:v>
      </x:c>
      <x:c r="C1034" s="16" t="str">
        <x:v>Kısmi doğrulama</x:v>
      </x:c>
      <x:c r="D1034" s="16" t="str">
        <x:v>Ürün kaydı</x:v>
      </x:c>
      <x:c r="E1034" s="16" t="str">
        <x:v>Milestones Coffee</x:v>
      </x:c>
      <x:c r="F1034" s="16" t="str">
        <x:v>Menşe belirtilmemiş</x:v>
      </x:c>
      <x:c r="G1034" s="17" t="str">
        <x:v>Erişilemedi</x:v>
      </x:c>
      <x:c r="H1034" s="16" t="str">
        <x:v>Erişilemedi</x:v>
      </x:c>
      <x:c r="I1034" s="18" t="n">
        <x:v>600</x:v>
      </x:c>
      <x:c r="J1034" s="18" t="str">
        <x:v>Erişildi</x:v>
      </x:c>
      <x:c r="K1034" s="18" t="str">
        <x:f>IF(AND(ISNUMBER(G1034),ISNUMBER(I1034)),I1034/G1034*1000,"Erişilemedi")</x:f>
        <x:v>Erişilemedi</x:v>
      </x:c>
      <x:c r="L1034" s="16" t="str">
        <x:v>Belirsiz</x:v>
      </x:c>
      <x:c r="M1034" s="16" t="str">
        <x:v>Kahve ürünü</x:v>
      </x:c>
      <x:c r="N1034" s="16" t="str">
        <x:v>Site haritası ürün sayfası</x:v>
      </x:c>
      <x:c r="O1034" s="16" t="str">
        <x:v>Düşük</x:v>
      </x:c>
      <x:c r="P1034" s="19" t="n">
        <x:v>46245</x:v>
      </x:c>
      <x:c r="Q1034" s="20" t="str">
        <x:v>https://milestonescoffee.com/urun/24-25-kolombiya-coocentral-yikanmis-omni-espresso/</x:v>
      </x:c>
      <x:c r="R1034" s="20" t="str">
        <x:v>Ürün kimliği korundu; eksik alanlar erişilemedi olarak işaretlenecek.</x:v>
      </x:c>
    </x:row>
    <x:row r="1035" ht="40" customHeight="1">
      <x:c r="A1035" s="16" t="str">
        <x:v>Milestones Coffee</x:v>
      </x:c>
      <x:c r="B1035" s="16" t="str">
        <x:v>Manisa</x:v>
      </x:c>
      <x:c r="C1035" s="16" t="str">
        <x:v>Kısmi doğrulama</x:v>
      </x:c>
      <x:c r="D1035" s="16" t="str">
        <x:v>Ürün kaydı</x:v>
      </x:c>
      <x:c r="E1035" s="16" t="str">
        <x:v>Milestones Coffee</x:v>
      </x:c>
      <x:c r="F1035" s="16" t="str">
        <x:v>Honduras</x:v>
      </x:c>
      <x:c r="G1035" s="17" t="str">
        <x:v>Erişilemedi</x:v>
      </x:c>
      <x:c r="H1035" s="16" t="str">
        <x:v>Erişilemedi</x:v>
      </x:c>
      <x:c r="I1035" s="18" t="n">
        <x:v>775</x:v>
      </x:c>
      <x:c r="J1035" s="18" t="str">
        <x:v>Erişildi</x:v>
      </x:c>
      <x:c r="K1035" s="18" t="str">
        <x:f>IF(AND(ISNUMBER(G1035),ISNUMBER(I1035)),I1035/G1035*1000,"Erişilemedi")</x:f>
        <x:v>Erişilemedi</x:v>
      </x:c>
      <x:c r="L1035" s="16" t="str">
        <x:v>Belirsiz</x:v>
      </x:c>
      <x:c r="M1035" s="16" t="str">
        <x:v>Kahve ürünü</x:v>
      </x:c>
      <x:c r="N1035" s="16" t="str">
        <x:v>Site haritası ürün sayfası</x:v>
      </x:c>
      <x:c r="O1035" s="16" t="str">
        <x:v>Düşük</x:v>
      </x:c>
      <x:c r="P1035" s="19" t="n">
        <x:v>46245</x:v>
      </x:c>
      <x:c r="Q1035" s="20" t="str">
        <x:v>https://milestonescoffee.com/urun/25-26-honduras-carlos-mejia-dark-room/</x:v>
      </x:c>
      <x:c r="R1035" s="20" t="str">
        <x:v>Ürün kimliği korundu; eksik alanlar erişilemedi olarak işaretlenecek.</x:v>
      </x:c>
    </x:row>
    <x:row r="1036" ht="40" customHeight="1">
      <x:c r="A1036" s="16" t="str">
        <x:v>Milestones Coffee</x:v>
      </x:c>
      <x:c r="B1036" s="16" t="str">
        <x:v>Manisa</x:v>
      </x:c>
      <x:c r="C1036" s="16" t="str">
        <x:v>Kısmi doğrulama</x:v>
      </x:c>
      <x:c r="D1036" s="16" t="str">
        <x:v>Ürün kaydı</x:v>
      </x:c>
      <x:c r="E1036" s="16" t="str">
        <x:v>Milestones Coffee</x:v>
      </x:c>
      <x:c r="F1036" s="16" t="str">
        <x:v>Harman – menşe belirtilmemiş</x:v>
      </x:c>
      <x:c r="G1036" s="17" t="str">
        <x:v>Erişilemedi</x:v>
      </x:c>
      <x:c r="H1036" s="16" t="str">
        <x:v>Erişilemedi</x:v>
      </x:c>
      <x:c r="I1036" s="18" t="n">
        <x:v>550</x:v>
      </x:c>
      <x:c r="J1036" s="18" t="str">
        <x:v>Erişildi</x:v>
      </x:c>
      <x:c r="K1036" s="18" t="str">
        <x:f>IF(AND(ISNUMBER(G1036),ISNUMBER(I1036)),I1036/G1036*1000,"Erişilemedi")</x:f>
        <x:v>Erişilemedi</x:v>
      </x:c>
      <x:c r="L1036" s="16" t="str">
        <x:v>Belirsiz</x:v>
      </x:c>
      <x:c r="M1036" s="16" t="str">
        <x:v>Harman</x:v>
      </x:c>
      <x:c r="N1036" s="16" t="str">
        <x:v>Site haritası ürün sayfası</x:v>
      </x:c>
      <x:c r="O1036" s="16" t="str">
        <x:v>Düşük</x:v>
      </x:c>
      <x:c r="P1036" s="19" t="n">
        <x:v>46245</x:v>
      </x:c>
      <x:c r="Q1036" s="20" t="str">
        <x:v>https://milestonescoffee.com/urun/perfect-balance-blend-espresso-roast/</x:v>
      </x:c>
      <x:c r="R1036" s="20" t="str">
        <x:v>Ürün kimliği korundu; eksik alanlar erişilemedi olarak işaretlenecek.</x:v>
      </x:c>
    </x:row>
    <x:row r="1037" ht="40" customHeight="1">
      <x:c r="A1037" s="16" t="str">
        <x:v>Milestones Coffee</x:v>
      </x:c>
      <x:c r="B1037" s="16" t="str">
        <x:v>Manisa</x:v>
      </x:c>
      <x:c r="C1037" s="16" t="str">
        <x:v>Kısmi doğrulama</x:v>
      </x:c>
      <x:c r="D1037" s="16" t="str">
        <x:v>Ürün kaydı</x:v>
      </x:c>
      <x:c r="E1037" s="16" t="str">
        <x:v>Milestones Coffee</x:v>
      </x:c>
      <x:c r="F1037" s="16" t="str">
        <x:v>El Salvador</x:v>
      </x:c>
      <x:c r="G1037" s="17" t="str">
        <x:v>Erişilemedi</x:v>
      </x:c>
      <x:c r="H1037" s="16" t="str">
        <x:v>Erişilemedi</x:v>
      </x:c>
      <x:c r="I1037" s="18" t="n">
        <x:v>675</x:v>
      </x:c>
      <x:c r="J1037" s="18" t="str">
        <x:v>Erişildi</x:v>
      </x:c>
      <x:c r="K1037" s="18" t="str">
        <x:f>IF(AND(ISNUMBER(G1037),ISNUMBER(I1037)),I1037/G1037*1000,"Erişilemedi")</x:f>
        <x:v>Erişilemedi</x:v>
      </x:c>
      <x:c r="L1037" s="16" t="str">
        <x:v>Belirsiz</x:v>
      </x:c>
      <x:c r="M1037" s="16" t="str">
        <x:v>Kahve ürünü</x:v>
      </x:c>
      <x:c r="N1037" s="16" t="str">
        <x:v>Site haritası ürün sayfası</x:v>
      </x:c>
      <x:c r="O1037" s="16" t="str">
        <x:v>Düşük</x:v>
      </x:c>
      <x:c r="P1037" s="19" t="n">
        <x:v>46245</x:v>
      </x:c>
      <x:c r="Q1037" s="20" t="str">
        <x:v>https://milestonescoffee.com/urun/25-26-el-salvador-santa-rosa-bourbon-elite/</x:v>
      </x:c>
      <x:c r="R1037" s="20" t="str">
        <x:v>Ürün kimliği korundu; eksik alanlar erişilemedi olarak işaretlenecek.</x:v>
      </x:c>
    </x:row>
    <x:row r="1038" ht="40" customHeight="1">
      <x:c r="A1038" s="16" t="str">
        <x:v>Milestones Coffee</x:v>
      </x:c>
      <x:c r="B1038" s="16" t="str">
        <x:v>Manisa</x:v>
      </x:c>
      <x:c r="C1038" s="16" t="str">
        <x:v>Kısmi doğrulama</x:v>
      </x:c>
      <x:c r="D1038" s="16" t="str">
        <x:v>Ürün kaydı</x:v>
      </x:c>
      <x:c r="E1038" s="16" t="str">
        <x:v>Milestones Coffee</x:v>
      </x:c>
      <x:c r="F1038" s="16" t="str">
        <x:v>Menşe belirtilmemiş</x:v>
      </x:c>
      <x:c r="G1038" s="17" t="str">
        <x:v>Erişilemedi</x:v>
      </x:c>
      <x:c r="H1038" s="16" t="str">
        <x:v>Erişilemedi</x:v>
      </x:c>
      <x:c r="I1038" s="18" t="n">
        <x:v>825</x:v>
      </x:c>
      <x:c r="J1038" s="18" t="str">
        <x:v>Erişildi</x:v>
      </x:c>
      <x:c r="K1038" s="18" t="str">
        <x:f>IF(AND(ISNUMBER(G1038),ISNUMBER(I1038)),I1038/G1038*1000,"Erişilemedi")</x:f>
        <x:v>Erişilemedi</x:v>
      </x:c>
      <x:c r="L1038" s="16" t="str">
        <x:v>Belirsiz</x:v>
      </x:c>
      <x:c r="M1038" s="16" t="str">
        <x:v>Kahve ürünü</x:v>
      </x:c>
      <x:c r="N1038" s="16" t="str">
        <x:v>Site haritası ürün sayfası</x:v>
      </x:c>
      <x:c r="O1038" s="16" t="str">
        <x:v>Düşük</x:v>
      </x:c>
      <x:c r="P1038" s="19" t="n">
        <x:v>46245</x:v>
      </x:c>
      <x:c r="Q1038" s="20" t="str">
        <x:v>https://milestonescoffee.com/urun/25-26-kolombiya-finca-el-guayabo-natural-castillo-caturra/</x:v>
      </x:c>
      <x:c r="R1038" s="20" t="str">
        <x:v>Ürün kimliği korundu; eksik alanlar erişilemedi olarak işaretlenecek.</x:v>
      </x:c>
    </x:row>
    <x:row r="1039" ht="40" customHeight="1">
      <x:c r="A1039" s="16" t="str">
        <x:v>Milestones Coffee</x:v>
      </x:c>
      <x:c r="B1039" s="16" t="str">
        <x:v>Manisa</x:v>
      </x:c>
      <x:c r="C1039" s="16" t="str">
        <x:v>Kısmi doğrulama</x:v>
      </x:c>
      <x:c r="D1039" s="16" t="str">
        <x:v>Ürün kaydı</x:v>
      </x:c>
      <x:c r="E1039" s="16" t="str">
        <x:v>Milestones Coffee</x:v>
      </x:c>
      <x:c r="F1039" s="16" t="str">
        <x:v>Menşe belirtilmemiş</x:v>
      </x:c>
      <x:c r="G1039" s="17" t="str">
        <x:v>Erişilemedi</x:v>
      </x:c>
      <x:c r="H1039" s="16" t="str">
        <x:v>Erişilemedi</x:v>
      </x:c>
      <x:c r="I1039" s="18" t="n">
        <x:v>640</x:v>
      </x:c>
      <x:c r="J1039" s="18" t="str">
        <x:v>Erişildi</x:v>
      </x:c>
      <x:c r="K1039" s="18" t="str">
        <x:f>IF(AND(ISNUMBER(G1039),ISNUMBER(I1039)),I1039/G1039*1000,"Erişilemedi")</x:f>
        <x:v>Erişilemedi</x:v>
      </x:c>
      <x:c r="L1039" s="16" t="str">
        <x:v>Belirsiz</x:v>
      </x:c>
      <x:c r="M1039" s="16" t="str">
        <x:v>Kahve ürünü</x:v>
      </x:c>
      <x:c r="N1039" s="16" t="str">
        <x:v>Site haritası ürün sayfası</x:v>
      </x:c>
      <x:c r="O1039" s="16" t="str">
        <x:v>Düşük</x:v>
      </x:c>
      <x:c r="P1039" s="19" t="n">
        <x:v>46245</x:v>
      </x:c>
      <x:c r="Q1039" s="20" t="str">
        <x:v>https://milestonescoffee.com/urun/24-25-kosta-rika-el-salitre-caturra-catuai-yikanmis/</x:v>
      </x:c>
      <x:c r="R1039" s="20" t="str">
        <x:v>Ürün kimliği korundu; eksik alanlar erişilemedi olarak işaretlenecek.</x:v>
      </x:c>
    </x:row>
    <x:row r="1040" ht="40" customHeight="1">
      <x:c r="A1040" s="16" t="str">
        <x:v>Milestones Coffee</x:v>
      </x:c>
      <x:c r="B1040" s="16" t="str">
        <x:v>Manisa</x:v>
      </x:c>
      <x:c r="C1040" s="16" t="str">
        <x:v>Kısmi doğrulama</x:v>
      </x:c>
      <x:c r="D1040" s="16" t="str">
        <x:v>Ürün kaydı</x:v>
      </x:c>
      <x:c r="E1040" s="16" t="str">
        <x:v>Milestones Coffee</x:v>
      </x:c>
      <x:c r="F1040" s="16" t="str">
        <x:v>Peru</x:v>
      </x:c>
      <x:c r="G1040" s="17" t="str">
        <x:v>Erişilemedi</x:v>
      </x:c>
      <x:c r="H1040" s="16" t="str">
        <x:v>Erişilemedi</x:v>
      </x:c>
      <x:c r="I1040" s="18" t="n">
        <x:v>625</x:v>
      </x:c>
      <x:c r="J1040" s="18" t="str">
        <x:v>Erişildi</x:v>
      </x:c>
      <x:c r="K1040" s="18" t="str">
        <x:f>IF(AND(ISNUMBER(G1040),ISNUMBER(I1040)),I1040/G1040*1000,"Erişilemedi")</x:f>
        <x:v>Erişilemedi</x:v>
      </x:c>
      <x:c r="L1040" s="16" t="str">
        <x:v>Belirsiz</x:v>
      </x:c>
      <x:c r="M1040" s="16" t="str">
        <x:v>Kahve ürünü</x:v>
      </x:c>
      <x:c r="N1040" s="16" t="str">
        <x:v>Site haritası ürün sayfası</x:v>
      </x:c>
      <x:c r="O1040" s="16" t="str">
        <x:v>Düşük</x:v>
      </x:c>
      <x:c r="P1040" s="19" t="n">
        <x:v>46245</x:v>
      </x:c>
      <x:c r="Q1040" s="20" t="str">
        <x:v>https://milestonescoffee.com/urun/25-26-peru-famillia-ccapa-typica-yikanmis/</x:v>
      </x:c>
      <x:c r="R1040" s="20" t="str">
        <x:v>Ürün kimliği korundu; eksik alanlar erişilemedi olarak işaretlenecek.</x:v>
      </x:c>
    </x:row>
    <x:row r="1041" ht="40" customHeight="1">
      <x:c r="A1041" s="16" t="str">
        <x:v>Milestones Coffee</x:v>
      </x:c>
      <x:c r="B1041" s="16" t="str">
        <x:v>Manisa</x:v>
      </x:c>
      <x:c r="C1041" s="16" t="str">
        <x:v>Kısmi doğrulama</x:v>
      </x:c>
      <x:c r="D1041" s="16" t="str">
        <x:v>Ürün kaydı</x:v>
      </x:c>
      <x:c r="E1041" s="16" t="str">
        <x:v>Milestones Coffee</x:v>
      </x:c>
      <x:c r="F1041" s="16" t="str">
        <x:v>Guatemala</x:v>
      </x:c>
      <x:c r="G1041" s="17" t="str">
        <x:v>Erişilemedi</x:v>
      </x:c>
      <x:c r="H1041" s="16" t="str">
        <x:v>Erişilemedi</x:v>
      </x:c>
      <x:c r="I1041" s="18" t="n">
        <x:v>595</x:v>
      </x:c>
      <x:c r="J1041" s="18" t="str">
        <x:v>Erişildi</x:v>
      </x:c>
      <x:c r="K1041" s="18" t="str">
        <x:f>IF(AND(ISNUMBER(G1041),ISNUMBER(I1041)),I1041/G1041*1000,"Erişilemedi")</x:f>
        <x:v>Erişilemedi</x:v>
      </x:c>
      <x:c r="L1041" s="16" t="str">
        <x:v>Belirsiz</x:v>
      </x:c>
      <x:c r="M1041" s="16" t="str">
        <x:v>Kahve ürünü</x:v>
      </x:c>
      <x:c r="N1041" s="16" t="str">
        <x:v>Site haritası ürün sayfası</x:v>
      </x:c>
      <x:c r="O1041" s="16" t="str">
        <x:v>Düşük</x:v>
      </x:c>
      <x:c r="P1041" s="19" t="n">
        <x:v>46245</x:v>
      </x:c>
      <x:c r="Q1041" s="20" t="str">
        <x:v>https://milestonescoffee.com/urun/24-25-guatemala-teodoro-engelhardt-pacamara-espresso/</x:v>
      </x:c>
      <x:c r="R1041" s="20" t="str">
        <x:v>Ürün kimliği korundu; eksik alanlar erişilemedi olarak işaretlenecek.</x:v>
      </x:c>
    </x:row>
    <x:row r="1042" ht="40" customHeight="1">
      <x:c r="A1042" s="16" t="str">
        <x:v>Milestones Coffee</x:v>
      </x:c>
      <x:c r="B1042" s="16" t="str">
        <x:v>Manisa</x:v>
      </x:c>
      <x:c r="C1042" s="16" t="str">
        <x:v>Kısmi doğrulama</x:v>
      </x:c>
      <x:c r="D1042" s="16" t="str">
        <x:v>Ürün kaydı</x:v>
      </x:c>
      <x:c r="E1042" s="16" t="str">
        <x:v>Milestones Coffee</x:v>
      </x:c>
      <x:c r="F1042" s="16" t="str">
        <x:v>Ruanda</x:v>
      </x:c>
      <x:c r="G1042" s="17" t="str">
        <x:v>Erişilemedi</x:v>
      </x:c>
      <x:c r="H1042" s="16" t="str">
        <x:v>Erişilemedi</x:v>
      </x:c>
      <x:c r="I1042" s="18" t="n">
        <x:v>895</x:v>
      </x:c>
      <x:c r="J1042" s="18" t="str">
        <x:v>Erişildi</x:v>
      </x:c>
      <x:c r="K1042" s="18" t="str">
        <x:f>IF(AND(ISNUMBER(G1042),ISNUMBER(I1042)),I1042/G1042*1000,"Erişilemedi")</x:f>
        <x:v>Erişilemedi</x:v>
      </x:c>
      <x:c r="L1042" s="16" t="str">
        <x:v>Belirsiz</x:v>
      </x:c>
      <x:c r="M1042" s="16" t="str">
        <x:v>Kahve ürünü</x:v>
      </x:c>
      <x:c r="N1042" s="16" t="str">
        <x:v>Site haritası ürün sayfası</x:v>
      </x:c>
      <x:c r="O1042" s="16" t="str">
        <x:v>Düşük</x:v>
      </x:c>
      <x:c r="P1042" s="19" t="n">
        <x:v>46245</x:v>
      </x:c>
      <x:c r="Q1042" s="20" t="str">
        <x:v>https://milestonescoffee.com/urun/24-25-ruanda-emmanuel-rusatira-natural-anaerobik/</x:v>
      </x:c>
      <x:c r="R1042" s="20" t="str">
        <x:v>Ürün kimliği korundu; eksik alanlar erişilemedi olarak işaretlenecek.</x:v>
      </x:c>
    </x:row>
    <x:row r="1043" ht="40" customHeight="1">
      <x:c r="A1043" s="16" t="str">
        <x:v>Milestones Coffee</x:v>
      </x:c>
      <x:c r="B1043" s="16" t="str">
        <x:v>Manisa</x:v>
      </x:c>
      <x:c r="C1043" s="16" t="str">
        <x:v>Kısmi doğrulama</x:v>
      </x:c>
      <x:c r="D1043" s="16" t="str">
        <x:v>Ürün kaydı</x:v>
      </x:c>
      <x:c r="E1043" s="16" t="str">
        <x:v>Milestones Coffee</x:v>
      </x:c>
      <x:c r="F1043" s="16" t="str">
        <x:v>Kenya</x:v>
      </x:c>
      <x:c r="G1043" s="17" t="str">
        <x:v>Erişilemedi</x:v>
      </x:c>
      <x:c r="H1043" s="16" t="str">
        <x:v>Erişilemedi</x:v>
      </x:c>
      <x:c r="I1043" s="18" t="n">
        <x:v>750</x:v>
      </x:c>
      <x:c r="J1043" s="18" t="str">
        <x:v>Erişildi</x:v>
      </x:c>
      <x:c r="K1043" s="18" t="str">
        <x:f>IF(AND(ISNUMBER(G1043),ISNUMBER(I1043)),I1043/G1043*1000,"Erişilemedi")</x:f>
        <x:v>Erişilemedi</x:v>
      </x:c>
      <x:c r="L1043" s="16" t="str">
        <x:v>Belirsiz</x:v>
      </x:c>
      <x:c r="M1043" s="16" t="str">
        <x:v>Kahve ürünü</x:v>
      </x:c>
      <x:c r="N1043" s="16" t="str">
        <x:v>Site haritası ürün sayfası</x:v>
      </x:c>
      <x:c r="O1043" s="16" t="str">
        <x:v>Düşük</x:v>
      </x:c>
      <x:c r="P1043" s="19" t="n">
        <x:v>46245</x:v>
      </x:c>
      <x:c r="Q1043" s="20" t="str">
        <x:v>https://milestonescoffee.com/urun/24-25-kenya-gicherori-ab-yikanmis/</x:v>
      </x:c>
      <x:c r="R1043" s="20" t="str">
        <x:v>Ürün kimliği korundu; eksik alanlar erişilemedi olarak işaretlenecek.</x:v>
      </x:c>
    </x:row>
    <x:row r="1044" ht="40" customHeight="1">
      <x:c r="A1044" s="16" t="str">
        <x:v>Milestones Coffee</x:v>
      </x:c>
      <x:c r="B1044" s="16" t="str">
        <x:v>Manisa</x:v>
      </x:c>
      <x:c r="C1044" s="16" t="str">
        <x:v>Kısmi doğrulama</x:v>
      </x:c>
      <x:c r="D1044" s="16" t="str">
        <x:v>Ürün kaydı</x:v>
      </x:c>
      <x:c r="E1044" s="16" t="str">
        <x:v>Milestones Coffee</x:v>
      </x:c>
      <x:c r="F1044" s="16" t="str">
        <x:v>Menşe belirtilmemiş</x:v>
      </x:c>
      <x:c r="G1044" s="17" t="str">
        <x:v>Erişilemedi</x:v>
      </x:c>
      <x:c r="H1044" s="16" t="str">
        <x:v>Erişilemedi</x:v>
      </x:c>
      <x:c r="I1044" s="18" t="n">
        <x:v>650</x:v>
      </x:c>
      <x:c r="J1044" s="18" t="str">
        <x:v>Erişildi</x:v>
      </x:c>
      <x:c r="K1044" s="18" t="str">
        <x:f>IF(AND(ISNUMBER(G1044),ISNUMBER(I1044)),I1044/G1044*1000,"Erişilemedi")</x:f>
        <x:v>Erişilemedi</x:v>
      </x:c>
      <x:c r="L1044" s="16" t="str">
        <x:v>Belirsiz</x:v>
      </x:c>
      <x:c r="M1044" s="16" t="str">
        <x:v>Kahve ürünü</x:v>
      </x:c>
      <x:c r="N1044" s="16" t="str">
        <x:v>Site haritası ürün sayfası</x:v>
      </x:c>
      <x:c r="O1044" s="16" t="str">
        <x:v>Düşük</x:v>
      </x:c>
      <x:c r="P1044" s="19" t="n">
        <x:v>46245</x:v>
      </x:c>
      <x:c r="Q1044" s="20" t="str">
        <x:v>https://milestonescoffee.com/urun/25-26-kolombiya-sugarcane-decaf-yikanmis/</x:v>
      </x:c>
      <x:c r="R1044" s="20" t="str">
        <x:v>Ürün kimliği korundu; eksik alanlar erişilemedi olarak işaretlenecek.</x:v>
      </x:c>
    </x:row>
    <x:row r="1045" ht="40" customHeight="1">
      <x:c r="A1045" s="16" t="str">
        <x:v>Milestones Coffee</x:v>
      </x:c>
      <x:c r="B1045" s="16" t="str">
        <x:v>Manisa</x:v>
      </x:c>
      <x:c r="C1045" s="16" t="str">
        <x:v>Kısmi doğrulama</x:v>
      </x:c>
      <x:c r="D1045" s="16" t="str">
        <x:v>Ürün kaydı</x:v>
      </x:c>
      <x:c r="E1045" s="16" t="str">
        <x:v>Milestones Coffee</x:v>
      </x:c>
      <x:c r="F1045" s="16" t="str">
        <x:v>Harman – menşe belirtilmemiş</x:v>
      </x:c>
      <x:c r="G1045" s="17" t="str">
        <x:v>Erişilemedi</x:v>
      </x:c>
      <x:c r="H1045" s="16" t="str">
        <x:v>Erişilemedi</x:v>
      </x:c>
      <x:c r="I1045" s="18" t="n">
        <x:v>450</x:v>
      </x:c>
      <x:c r="J1045" s="18" t="str">
        <x:v>Erişildi</x:v>
      </x:c>
      <x:c r="K1045" s="18" t="str">
        <x:f>IF(AND(ISNUMBER(G1045),ISNUMBER(I1045)),I1045/G1045*1000,"Erişilemedi")</x:f>
        <x:v>Erişilemedi</x:v>
      </x:c>
      <x:c r="L1045" s="16" t="str">
        <x:v>Belirsiz</x:v>
      </x:c>
      <x:c r="M1045" s="16" t="str">
        <x:v>Harman</x:v>
      </x:c>
      <x:c r="N1045" s="16" t="str">
        <x:v>Site haritası ürün sayfası</x:v>
      </x:c>
      <x:c r="O1045" s="16" t="str">
        <x:v>Düşük</x:v>
      </x:c>
      <x:c r="P1045" s="19" t="n">
        <x:v>46245</x:v>
      </x:c>
      <x:c r="Q1045" s="20" t="str">
        <x:v>https://milestonescoffee.com/urun/milestones-classic-espresso-trio-blend/</x:v>
      </x:c>
      <x:c r="R1045" s="20" t="str">
        <x:v>Ürün kimliği korundu; eksik alanlar erişilemedi olarak işaretlenecek.</x:v>
      </x:c>
    </x:row>
    <x:row r="1046" ht="40" customHeight="1">
      <x:c r="A1046" s="16" t="str">
        <x:v>Milestones Coffee</x:v>
      </x:c>
      <x:c r="B1046" s="16" t="str">
        <x:v>Manisa</x:v>
      </x:c>
      <x:c r="C1046" s="16" t="str">
        <x:v>Kısmi doğrulama</x:v>
      </x:c>
      <x:c r="D1046" s="16" t="str">
        <x:v>Ürün kaydı</x:v>
      </x:c>
      <x:c r="E1046" s="16" t="str">
        <x:v>Milestones Coffee</x:v>
      </x:c>
      <x:c r="F1046" s="16" t="str">
        <x:v>Menşe belirtilmemiş</x:v>
      </x:c>
      <x:c r="G1046" s="17" t="str">
        <x:v>Erişilemedi</x:v>
      </x:c>
      <x:c r="H1046" s="16" t="str">
        <x:v>Erişilemedi</x:v>
      </x:c>
      <x:c r="I1046" s="18" t="n">
        <x:v>490</x:v>
      </x:c>
      <x:c r="J1046" s="18" t="str">
        <x:v>Erişildi</x:v>
      </x:c>
      <x:c r="K1046" s="18" t="str">
        <x:f>IF(AND(ISNUMBER(G1046),ISNUMBER(I1046)),I1046/G1046*1000,"Erişilemedi")</x:f>
        <x:v>Erişilemedi</x:v>
      </x:c>
      <x:c r="L1046" s="16" t="str">
        <x:v>Belirsiz</x:v>
      </x:c>
      <x:c r="M1046" s="16" t="str">
        <x:v>Kahve ürünü</x:v>
      </x:c>
      <x:c r="N1046" s="16" t="str">
        <x:v>Site haritası ürün sayfası</x:v>
      </x:c>
      <x:c r="O1046" s="16" t="str">
        <x:v>Düşük</x:v>
      </x:c>
      <x:c r="P1046" s="19" t="n">
        <x:v>46245</x:v>
      </x:c>
      <x:c r="Q1046" s="20" t="str">
        <x:v>https://milestonescoffee.com/urun/espresso-25-26-brezilya-cemorrado-chocolate-natural/</x:v>
      </x:c>
      <x:c r="R1046" s="20" t="str">
        <x:v>Ürün kimliği korundu; eksik alanlar erişilemedi olarak işaretlenecek.</x:v>
      </x:c>
    </x:row>
    <x:row r="1047" ht="40" customHeight="1">
      <x:c r="A1047" s="16" t="str">
        <x:v>Milestones Coffee</x:v>
      </x:c>
      <x:c r="B1047" s="16" t="str">
        <x:v>Manisa</x:v>
      </x:c>
      <x:c r="C1047" s="16" t="str">
        <x:v>Kısmi doğrulama</x:v>
      </x:c>
      <x:c r="D1047" s="16" t="str">
        <x:v>Ürün kaydı</x:v>
      </x:c>
      <x:c r="E1047" s="16" t="str">
        <x:v>Milestones Coffee</x:v>
      </x:c>
      <x:c r="F1047" s="16" t="str">
        <x:v>Menşe belirtilmemiş</x:v>
      </x:c>
      <x:c r="G1047" s="17" t="str">
        <x:v>Erişilemedi</x:v>
      </x:c>
      <x:c r="H1047" s="16" t="str">
        <x:v>Erişilemedi</x:v>
      </x:c>
      <x:c r="I1047" s="18" t="str">
        <x:v>Erişilemedi</x:v>
      </x:c>
      <x:c r="J1047" s="18" t="str">
        <x:v>Erişilemedi</x:v>
      </x:c>
      <x:c r="K1047" s="18" t="str">
        <x:f>IF(AND(ISNUMBER(G1047),ISNUMBER(I1047)),I1047/G1047*1000,"Erişilemedi")</x:f>
        <x:v>Erişilemedi</x:v>
      </x:c>
      <x:c r="L1047" s="16" t="str">
        <x:v>Belirsiz</x:v>
      </x:c>
      <x:c r="M1047" s="16" t="str">
        <x:v>Kahve ürünü</x:v>
      </x:c>
      <x:c r="N1047" s="16" t="str">
        <x:v>Site haritası ürün sayfası</x:v>
      </x:c>
      <x:c r="O1047" s="16" t="str">
        <x:v>Düşük</x:v>
      </x:c>
      <x:c r="P1047" s="19" t="n">
        <x:v>46245</x:v>
      </x:c>
      <x:c r="Q1047" s="20" t="str">
        <x:v>https://milestonescoffee.com/sayfa/acik-riza-metni</x:v>
      </x:c>
      <x:c r="R1047" s="20" t="str">
        <x:v>Ürün kimliği korundu; eksik alanlar erişilemedi olarak işaretlenecek.</x:v>
      </x:c>
    </x:row>
    <x:row r="1048" ht="40" customHeight="1">
      <x:c r="A1048" s="16" t="str">
        <x:v>MOC Coffee Roastery</x:v>
      </x:c>
      <x:c r="B1048" s="16" t="str">
        <x:v>İstanbul</x:v>
      </x:c>
      <x:c r="C1048" s="16" t="str">
        <x:v>Kısmi doğrulama</x:v>
      </x:c>
      <x:c r="D1048" s="16" t="str">
        <x:v>Katalog takip kaydı</x:v>
      </x:c>
      <x:c r="E1048" s="16" t="str">
        <x:v>Ürün kataloğu — ayrıntılı ürün verisine erişilemedi</x:v>
      </x:c>
      <x:c r="F1048" s="16" t="str">
        <x:v>Erişilemedi</x:v>
      </x:c>
      <x:c r="G1048" s="17" t="str">
        <x:v>Erişilemedi</x:v>
      </x:c>
      <x:c r="H1048" s="16" t="str">
        <x:v>Erişilemedi</x:v>
      </x:c>
      <x:c r="I1048" s="18" t="str">
        <x:v>Erişilemedi</x:v>
      </x:c>
      <x:c r="J1048" s="18" t="str">
        <x:v>Erişilemedi</x:v>
      </x:c>
      <x:c r="K1048" s="18" t="str">
        <x:f>IF(AND(ISNUMBER(G1048),ISNUMBER(I1048)),I1048/G1048*1000,"Erişilemedi")</x:f>
        <x:v>Erişilemedi</x:v>
      </x:c>
      <x:c r="L1048" s="16" t="str">
        <x:v>Erişilemedi</x:v>
      </x:c>
      <x:c r="M1048" s="16" t="str">
        <x:v>Katalog/takip kaydı</x:v>
      </x:c>
      <x:c r="N1048" s="16" t="str">
        <x:v>Instagram veya mevcut kaynak</x:v>
      </x:c>
      <x:c r="O1048" s="16" t="str">
        <x:v>Takip gerekli</x:v>
      </x:c>
      <x:c r="P1048" s="19" t="n">
        <x:v>46245</x:v>
      </x:c>
      <x:c r="Q1048" s="20" t="str">
        <x:v>Erişilemedi</x:v>
      </x:c>
      <x:c r="R1048" s="20" t="str">
        <x:v>Ürün adı, gramaj ve fiyat birlikte çıkarılamadı. Bağlantı manuel inceleme için korundu.</x:v>
      </x:c>
    </x:row>
    <x:row r="1049" ht="40" customHeight="1">
      <x:c r="A1049" s="16" t="str">
        <x:v>Mocaco Coffee</x:v>
      </x:c>
      <x:c r="B1049" s="16" t="str"/>
      <x:c r="C1049" s="16" t="str">
        <x:v>Kısmi doğrulama</x:v>
      </x:c>
      <x:c r="D1049" s="16" t="str">
        <x:v>Katalog takip kaydı</x:v>
      </x:c>
      <x:c r="E1049" s="16" t="str">
        <x:v>Ürün kataloğu — ayrıntılı ürün verisine erişilemedi</x:v>
      </x:c>
      <x:c r="F1049" s="16" t="str">
        <x:v>Erişilemedi</x:v>
      </x:c>
      <x:c r="G1049" s="17" t="str">
        <x:v>Erişilemedi</x:v>
      </x:c>
      <x:c r="H1049" s="16" t="str">
        <x:v>Erişilemedi</x:v>
      </x:c>
      <x:c r="I1049" s="18" t="str">
        <x:v>Erişilemedi</x:v>
      </x:c>
      <x:c r="J1049" s="18" t="str">
        <x:v>Erişilemedi</x:v>
      </x:c>
      <x:c r="K1049" s="18" t="str">
        <x:f>IF(AND(ISNUMBER(G1049),ISNUMBER(I1049)),I1049/G1049*1000,"Erişilemedi")</x:f>
        <x:v>Erişilemedi</x:v>
      </x:c>
      <x:c r="L1049" s="16" t="str">
        <x:v>Erişilemedi</x:v>
      </x:c>
      <x:c r="M1049" s="16" t="str">
        <x:v>Katalog/takip kaydı</x:v>
      </x:c>
      <x:c r="N1049" s="16" t="str">
        <x:v>Instagram veya mevcut kaynak</x:v>
      </x:c>
      <x:c r="O1049" s="16" t="str">
        <x:v>Takip gerekli</x:v>
      </x:c>
      <x:c r="P1049" s="19" t="n">
        <x:v>46245</x:v>
      </x:c>
      <x:c r="Q1049" s="20" t="str">
        <x:v>Erişilemedi</x:v>
      </x:c>
      <x:c r="R1049" s="20" t="str">
        <x:v>Ürün adı, gramaj ve fiyat birlikte çıkarılamadı. Bağlantı manuel inceleme için korundu.</x:v>
      </x:c>
    </x:row>
    <x:row r="1050" ht="40" customHeight="1">
      <x:c r="A1050" s="16" t="str">
        <x:v>Molecule Coffee</x:v>
      </x:c>
      <x:c r="B1050" s="16" t="str">
        <x:v>İstanbul</x:v>
      </x:c>
      <x:c r="C1050" s="16" t="str">
        <x:v>Doğrulandı</x:v>
      </x:c>
      <x:c r="D1050" s="16" t="str">
        <x:v>Ürün kaydı</x:v>
      </x:c>
      <x:c r="E1050" s="16" t="str">
        <x:v>2020 Covid-19 Küresel Salgını</x:v>
      </x:c>
      <x:c r="F1050" s="16" t="str">
        <x:v>Menşe belirtilmemiş</x:v>
      </x:c>
      <x:c r="G1050" s="17" t="str">
        <x:v>Erişilemedi</x:v>
      </x:c>
      <x:c r="H1050" s="16" t="str">
        <x:v>Erişilemedi</x:v>
      </x:c>
      <x:c r="I1050" s="18" t="n">
        <x:v>0</x:v>
      </x:c>
      <x:c r="J1050" s="18" t="str">
        <x:v>Erişilemedi</x:v>
      </x:c>
      <x:c r="K1050" s="18" t="str">
        <x:f>IF(AND(ISNUMBER(G1050),ISNUMBER(I1050)),I1050/G1050*1000,"Erişilemedi")</x:f>
        <x:v>Erişilemedi</x:v>
      </x:c>
      <x:c r="L1050" s="16" t="str">
        <x:v>Belirsiz</x:v>
      </x:c>
      <x:c r="M1050" s="16" t="str">
        <x:v>Kahve ürünü</x:v>
      </x:c>
      <x:c r="N1050" s="16" t="str">
        <x:v>Site haritası ürün sayfası</x:v>
      </x:c>
      <x:c r="O1050" s="16" t="str">
        <x:v>Düşük</x:v>
      </x:c>
      <x:c r="P1050" s="19" t="n">
        <x:v>46245</x:v>
      </x:c>
      <x:c r="Q1050" s="20" t="str">
        <x:v>https://coffeemolecule.com/2020-covid-19-kuresel-salgini/</x:v>
      </x:c>
      <x:c r="R1050" s="20" t="str">
        <x:v>Ürün kimliği korundu; eksik alanlar erişilemedi olarak işaretlenecek.</x:v>
      </x:c>
    </x:row>
    <x:row r="1051" ht="40" customHeight="1">
      <x:c r="A1051" s="16" t="str">
        <x:v>Molecule Coffee</x:v>
      </x:c>
      <x:c r="B1051" s="16" t="str">
        <x:v>İstanbul</x:v>
      </x:c>
      <x:c r="C1051" s="16" t="str">
        <x:v>Doğrulandı</x:v>
      </x:c>
      <x:c r="D1051" s="16" t="str">
        <x:v>Ürün kaydı</x:v>
      </x:c>
      <x:c r="E1051" s="16" t="str">
        <x:v>2020 Kış-Bahar Kahveleri</x:v>
      </x:c>
      <x:c r="F1051" s="16" t="str">
        <x:v>Etiyopya</x:v>
      </x:c>
      <x:c r="G1051" s="17" t="str">
        <x:v>Erişilemedi</x:v>
      </x:c>
      <x:c r="H1051" s="16" t="str">
        <x:v>Erişilemedi</x:v>
      </x:c>
      <x:c r="I1051" s="18" t="n">
        <x:v>0</x:v>
      </x:c>
      <x:c r="J1051" s="18" t="str">
        <x:v>Erişilemedi</x:v>
      </x:c>
      <x:c r="K1051" s="18" t="str">
        <x:f>IF(AND(ISNUMBER(G1051),ISNUMBER(I1051)),I1051/G1051*1000,"Erişilemedi")</x:f>
        <x:v>Erişilemedi</x:v>
      </x:c>
      <x:c r="L1051" s="16" t="str">
        <x:v>Belirsiz</x:v>
      </x:c>
      <x:c r="M1051" s="16" t="str">
        <x:v>Kahve ürünü</x:v>
      </x:c>
      <x:c r="N1051" s="16" t="str">
        <x:v>Site haritası ürün sayfası</x:v>
      </x:c>
      <x:c r="O1051" s="16" t="str">
        <x:v>Düşük</x:v>
      </x:c>
      <x:c r="P1051" s="19" t="n">
        <x:v>46245</x:v>
      </x:c>
      <x:c r="Q1051" s="20" t="str">
        <x:v>https://coffeemolecule.com/2020-kis-bahar-kahveleri/</x:v>
      </x:c>
      <x:c r="R1051" s="20" t="str">
        <x:v>Ürün kimliği korundu; eksik alanlar erişilemedi olarak işaretlenecek.</x:v>
      </x:c>
    </x:row>
    <x:row r="1052" ht="40" customHeight="1">
      <x:c r="A1052" s="16" t="str">
        <x:v>Molecule Coffee</x:v>
      </x:c>
      <x:c r="B1052" s="16" t="str">
        <x:v>İstanbul</x:v>
      </x:c>
      <x:c r="C1052" s="16" t="str">
        <x:v>Doğrulandı</x:v>
      </x:c>
      <x:c r="D1052" s="16" t="str">
        <x:v>Ürün kaydı</x:v>
      </x:c>
      <x:c r="E1052" s="16" t="str">
        <x:v>BEKLEMENİN ESTETİĞİ: KAHVE VE SİNEMANIN ORTAK RİTMİ</x:v>
      </x:c>
      <x:c r="F1052" s="16" t="str">
        <x:v>Menşe belirtilmemiş</x:v>
      </x:c>
      <x:c r="G1052" s="17" t="str">
        <x:v>Erişilemedi</x:v>
      </x:c>
      <x:c r="H1052" s="16" t="str">
        <x:v>Erişilemedi</x:v>
      </x:c>
      <x:c r="I1052" s="18" t="n">
        <x:v>0</x:v>
      </x:c>
      <x:c r="J1052" s="18" t="str">
        <x:v>Erişilemedi</x:v>
      </x:c>
      <x:c r="K1052" s="18" t="str">
        <x:f>IF(AND(ISNUMBER(G1052),ISNUMBER(I1052)),I1052/G1052*1000,"Erişilemedi")</x:f>
        <x:v>Erişilemedi</x:v>
      </x:c>
      <x:c r="L1052" s="16" t="str">
        <x:v>Belirsiz</x:v>
      </x:c>
      <x:c r="M1052" s="16" t="str">
        <x:v>Kahve ürünü</x:v>
      </x:c>
      <x:c r="N1052" s="16" t="str">
        <x:v>Site haritası ürün sayfası</x:v>
      </x:c>
      <x:c r="O1052" s="16" t="str">
        <x:v>Düşük</x:v>
      </x:c>
      <x:c r="P1052" s="19" t="n">
        <x:v>46245</x:v>
      </x:c>
      <x:c r="Q1052" s="20" t="str">
        <x:v>https://coffeemolecule.com/spot-beklemenin-estetigi-kahve-ve-sinemanin-ortak-ritmi/</x:v>
      </x:c>
      <x:c r="R1052" s="20" t="str">
        <x:v>Ürün kimliği korundu; eksik alanlar erişilemedi olarak işaretlenecek.</x:v>
      </x:c>
    </x:row>
    <x:row r="1053" ht="40" customHeight="1">
      <x:c r="A1053" s="16" t="str">
        <x:v>Molecule Coffee</x:v>
      </x:c>
      <x:c r="B1053" s="16" t="str">
        <x:v>İstanbul</x:v>
      </x:c>
      <x:c r="C1053" s="16" t="str">
        <x:v>Doğrulandı</x:v>
      </x:c>
      <x:c r="D1053" s="16" t="str">
        <x:v>Ürün kaydı</x:v>
      </x:c>
      <x:c r="E1053" s="16" t="str">
        <x:v>Bir Kahve Kavurucunun Karantina Rehberi</x:v>
      </x:c>
      <x:c r="F1053" s="16" t="str">
        <x:v>Menşe belirtilmemiş</x:v>
      </x:c>
      <x:c r="G1053" s="17" t="str">
        <x:v>Erişilemedi</x:v>
      </x:c>
      <x:c r="H1053" s="16" t="str">
        <x:v>Erişilemedi</x:v>
      </x:c>
      <x:c r="I1053" s="18" t="n">
        <x:v>0</x:v>
      </x:c>
      <x:c r="J1053" s="18" t="str">
        <x:v>Erişilemedi</x:v>
      </x:c>
      <x:c r="K1053" s="18" t="str">
        <x:f>IF(AND(ISNUMBER(G1053),ISNUMBER(I1053)),I1053/G1053*1000,"Erişilemedi")</x:f>
        <x:v>Erişilemedi</x:v>
      </x:c>
      <x:c r="L1053" s="16" t="str">
        <x:v>Belirsiz</x:v>
      </x:c>
      <x:c r="M1053" s="16" t="str">
        <x:v>Kahve ürünü</x:v>
      </x:c>
      <x:c r="N1053" s="16" t="str">
        <x:v>Site haritası ürün sayfası</x:v>
      </x:c>
      <x:c r="O1053" s="16" t="str">
        <x:v>Düşük</x:v>
      </x:c>
      <x:c r="P1053" s="19" t="n">
        <x:v>46245</x:v>
      </x:c>
      <x:c r="Q1053" s="20" t="str">
        <x:v>https://coffeemolecule.com/bir-kahve-kavurucunun-karantina-rehberi/</x:v>
      </x:c>
      <x:c r="R1053" s="20" t="str">
        <x:v>Ürün kimliği korundu; eksik alanlar erişilemedi olarak işaretlenecek.</x:v>
      </x:c>
    </x:row>
    <x:row r="1054" ht="40" customHeight="1">
      <x:c r="A1054" s="16" t="str">
        <x:v>Molecule Coffee</x:v>
      </x:c>
      <x:c r="B1054" s="16" t="str">
        <x:v>İstanbul</x:v>
      </x:c>
      <x:c r="C1054" s="16" t="str">
        <x:v>Doğrulandı</x:v>
      </x:c>
      <x:c r="D1054" s="16" t="str">
        <x:v>Ürün kaydı</x:v>
      </x:c>
      <x:c r="E1054" s="16" t="str">
        <x:v>BlauQuarz Türk Kahvesi Takımı</x:v>
      </x:c>
      <x:c r="F1054" s="16" t="str">
        <x:v>Menşe belirtilmemiş</x:v>
      </x:c>
      <x:c r="G1054" s="17" t="str">
        <x:v>Erişilemedi</x:v>
      </x:c>
      <x:c r="H1054" s="16" t="str">
        <x:v>Erişilemedi</x:v>
      </x:c>
      <x:c r="I1054" s="18" t="n">
        <x:v>0</x:v>
      </x:c>
      <x:c r="J1054" s="18" t="str">
        <x:v>Erişilemedi</x:v>
      </x:c>
      <x:c r="K1054" s="18" t="str">
        <x:f>IF(AND(ISNUMBER(G1054),ISNUMBER(I1054)),I1054/G1054*1000,"Erişilemedi")</x:f>
        <x:v>Erişilemedi</x:v>
      </x:c>
      <x:c r="L1054" s="16" t="str">
        <x:v>Belirsiz</x:v>
      </x:c>
      <x:c r="M1054" s="16" t="str">
        <x:v>Kahve ürünü</x:v>
      </x:c>
      <x:c r="N1054" s="16" t="str">
        <x:v>Site haritası ürün sayfası</x:v>
      </x:c>
      <x:c r="O1054" s="16" t="str">
        <x:v>Düşük</x:v>
      </x:c>
      <x:c r="P1054" s="19" t="n">
        <x:v>46245</x:v>
      </x:c>
      <x:c r="Q1054" s="20" t="str">
        <x:v>https://coffeemolecule.com/blauquarz-turk-kahvesi-takimi/</x:v>
      </x:c>
      <x:c r="R1054" s="20" t="str">
        <x:v>Ürün kimliği korundu; eksik alanlar erişilemedi olarak işaretlenecek.</x:v>
      </x:c>
    </x:row>
    <x:row r="1055" ht="40" customHeight="1">
      <x:c r="A1055" s="16" t="str">
        <x:v>Molecule Coffee</x:v>
      </x:c>
      <x:c r="B1055" s="16" t="str">
        <x:v>İstanbul</x:v>
      </x:c>
      <x:c r="C1055" s="16" t="str">
        <x:v>Doğrulandı</x:v>
      </x:c>
      <x:c r="D1055" s="16" t="str">
        <x:v>Ürün kaydı</x:v>
      </x:c>
      <x:c r="E1055" s="16" t="str">
        <x:v>Blog</x:v>
      </x:c>
      <x:c r="F1055" s="16" t="str">
        <x:v>Menşe belirtilmemiş</x:v>
      </x:c>
      <x:c r="G1055" s="17" t="str">
        <x:v>Erişilemedi</x:v>
      </x:c>
      <x:c r="H1055" s="16" t="str">
        <x:v>Erişilemedi</x:v>
      </x:c>
      <x:c r="I1055" s="18" t="n">
        <x:v>0</x:v>
      </x:c>
      <x:c r="J1055" s="18" t="str">
        <x:v>Erişilemedi</x:v>
      </x:c>
      <x:c r="K1055" s="18" t="str">
        <x:f>IF(AND(ISNUMBER(G1055),ISNUMBER(I1055)),I1055/G1055*1000,"Erişilemedi")</x:f>
        <x:v>Erişilemedi</x:v>
      </x:c>
      <x:c r="L1055" s="16" t="str">
        <x:v>Belirsiz</x:v>
      </x:c>
      <x:c r="M1055" s="16" t="str">
        <x:v>Kahve ürünü</x:v>
      </x:c>
      <x:c r="N1055" s="16" t="str">
        <x:v>Site haritası ürün sayfası</x:v>
      </x:c>
      <x:c r="O1055" s="16" t="str">
        <x:v>Düşük</x:v>
      </x:c>
      <x:c r="P1055" s="19" t="n">
        <x:v>46245</x:v>
      </x:c>
      <x:c r="Q1055" s="20" t="str">
        <x:v>https://coffeemolecule.com/blog/</x:v>
      </x:c>
      <x:c r="R1055" s="20" t="str">
        <x:v>Ürün kimliği korundu; eksik alanlar erişilemedi olarak işaretlenecek.</x:v>
      </x:c>
    </x:row>
    <x:row r="1056" ht="40" customHeight="1">
      <x:c r="A1056" s="16" t="str">
        <x:v>Molecule Coffee</x:v>
      </x:c>
      <x:c r="B1056" s="16" t="str">
        <x:v>İstanbul</x:v>
      </x:c>
      <x:c r="C1056" s="16" t="str">
        <x:v>Doğrulandı</x:v>
      </x:c>
      <x:c r="D1056" s="16" t="str">
        <x:v>Ürün kaydı</x:v>
      </x:c>
      <x:c r="E1056" s="16" t="str">
        <x:v>Brezilya Kahveleri Hakkında</x:v>
      </x:c>
      <x:c r="F1056" s="16" t="str">
        <x:v>Brezilya</x:v>
      </x:c>
      <x:c r="G1056" s="17" t="str">
        <x:v>Erişilemedi</x:v>
      </x:c>
      <x:c r="H1056" s="16" t="str">
        <x:v>Erişilemedi</x:v>
      </x:c>
      <x:c r="I1056" s="18" t="n">
        <x:v>0</x:v>
      </x:c>
      <x:c r="J1056" s="18" t="str">
        <x:v>Erişilemedi</x:v>
      </x:c>
      <x:c r="K1056" s="18" t="str">
        <x:f>IF(AND(ISNUMBER(G1056),ISNUMBER(I1056)),I1056/G1056*1000,"Erişilemedi")</x:f>
        <x:v>Erişilemedi</x:v>
      </x:c>
      <x:c r="L1056" s="16" t="str">
        <x:v>Belirsiz</x:v>
      </x:c>
      <x:c r="M1056" s="16" t="str">
        <x:v>Kahve ürünü</x:v>
      </x:c>
      <x:c r="N1056" s="16" t="str">
        <x:v>Site haritası ürün sayfası</x:v>
      </x:c>
      <x:c r="O1056" s="16" t="str">
        <x:v>Düşük</x:v>
      </x:c>
      <x:c r="P1056" s="19" t="n">
        <x:v>46245</x:v>
      </x:c>
      <x:c r="Q1056" s="20" t="str">
        <x:v>https://coffeemolecule.com/brezilya-kahveleri-blog/</x:v>
      </x:c>
      <x:c r="R1056" s="20" t="str">
        <x:v>Ürün kimliği korundu; eksik alanlar erişilemedi olarak işaretlenecek.</x:v>
      </x:c>
    </x:row>
    <x:row r="1057" ht="40" customHeight="1">
      <x:c r="A1057" s="16" t="str">
        <x:v>Molecule Coffee</x:v>
      </x:c>
      <x:c r="B1057" s="16" t="str">
        <x:v>İstanbul</x:v>
      </x:c>
      <x:c r="C1057" s="16" t="str">
        <x:v>Doğrulandı</x:v>
      </x:c>
      <x:c r="D1057" s="16" t="str">
        <x:v>Ürün kaydı</x:v>
      </x:c>
      <x:c r="E1057" s="16" t="str">
        <x:v>Colombia China Alta Ibagué Washed</x:v>
      </x:c>
      <x:c r="F1057" s="16" t="str">
        <x:v>Kolombiya</x:v>
      </x:c>
      <x:c r="G1057" s="17" t="str">
        <x:v>Erişilemedi</x:v>
      </x:c>
      <x:c r="H1057" s="16" t="str">
        <x:v>Erişilemedi</x:v>
      </x:c>
      <x:c r="I1057" s="18" t="n">
        <x:v>0</x:v>
      </x:c>
      <x:c r="J1057" s="18" t="str">
        <x:v>Erişilemedi</x:v>
      </x:c>
      <x:c r="K1057" s="18" t="str">
        <x:f>IF(AND(ISNUMBER(G1057),ISNUMBER(I1057)),I1057/G1057*1000,"Erişilemedi")</x:f>
        <x:v>Erişilemedi</x:v>
      </x:c>
      <x:c r="L1057" s="16" t="str">
        <x:v>Belirsiz</x:v>
      </x:c>
      <x:c r="M1057" s="16" t="str">
        <x:v>Kahve ürünü</x:v>
      </x:c>
      <x:c r="N1057" s="16" t="str">
        <x:v>Site haritası ürün sayfası</x:v>
      </x:c>
      <x:c r="O1057" s="16" t="str">
        <x:v>Düşük</x:v>
      </x:c>
      <x:c r="P1057" s="19" t="n">
        <x:v>46245</x:v>
      </x:c>
      <x:c r="Q1057" s="20" t="str">
        <x:v>https://coffeemolecule.com/colombia-china-alta-ibague-washed/</x:v>
      </x:c>
      <x:c r="R1057" s="20" t="str">
        <x:v>Ürün kimliği korundu; eksik alanlar erişilemedi olarak işaretlenecek.</x:v>
      </x:c>
    </x:row>
    <x:row r="1058" ht="40" customHeight="1">
      <x:c r="A1058" s="16" t="str">
        <x:v>Molecule Coffee</x:v>
      </x:c>
      <x:c r="B1058" s="16" t="str">
        <x:v>İstanbul</x:v>
      </x:c>
      <x:c r="C1058" s="16" t="str">
        <x:v>Doğrulandı</x:v>
      </x:c>
      <x:c r="D1058" s="16" t="str">
        <x:v>Ürün kaydı</x:v>
      </x:c>
      <x:c r="E1058" s="16" t="str">
        <x:v>Guatemala Huehuetenango La Providencia</x:v>
      </x:c>
      <x:c r="F1058" s="16" t="str">
        <x:v>Guatemala</x:v>
      </x:c>
      <x:c r="G1058" s="17" t="str">
        <x:v>Erişilemedi</x:v>
      </x:c>
      <x:c r="H1058" s="16" t="str">
        <x:v>Erişilemedi</x:v>
      </x:c>
      <x:c r="I1058" s="18" t="n">
        <x:v>0</x:v>
      </x:c>
      <x:c r="J1058" s="18" t="str">
        <x:v>Erişilemedi</x:v>
      </x:c>
      <x:c r="K1058" s="18" t="str">
        <x:f>IF(AND(ISNUMBER(G1058),ISNUMBER(I1058)),I1058/G1058*1000,"Erişilemedi")</x:f>
        <x:v>Erişilemedi</x:v>
      </x:c>
      <x:c r="L1058" s="16" t="str">
        <x:v>Belirsiz</x:v>
      </x:c>
      <x:c r="M1058" s="16" t="str">
        <x:v>Kahve ürünü</x:v>
      </x:c>
      <x:c r="N1058" s="16" t="str">
        <x:v>Site haritası ürün sayfası</x:v>
      </x:c>
      <x:c r="O1058" s="16" t="str">
        <x:v>Düşük</x:v>
      </x:c>
      <x:c r="P1058" s="19" t="n">
        <x:v>46245</x:v>
      </x:c>
      <x:c r="Q1058" s="20" t="str">
        <x:v>https://coffeemolecule.com/guatemala-huehuetenango-la-providencia/</x:v>
      </x:c>
      <x:c r="R1058" s="20" t="str">
        <x:v>Ürün kimliği korundu; eksik alanlar erişilemedi olarak işaretlenecek.</x:v>
      </x:c>
    </x:row>
    <x:row r="1059" ht="40" customHeight="1">
      <x:c r="A1059" s="16" t="str">
        <x:v>Molecule Coffee</x:v>
      </x:c>
      <x:c r="B1059" s="16" t="str">
        <x:v>İstanbul</x:v>
      </x:c>
      <x:c r="C1059" s="16" t="str">
        <x:v>Doğrulandı</x:v>
      </x:c>
      <x:c r="D1059" s="16" t="str">
        <x:v>Ürün kaydı</x:v>
      </x:c>
      <x:c r="E1059" s="16" t="str">
        <x:v>Guatemala Rio Dorado Pacamara FW</x:v>
      </x:c>
      <x:c r="F1059" s="16" t="str">
        <x:v>Guatemala</x:v>
      </x:c>
      <x:c r="G1059" s="17" t="str">
        <x:v>Erişilemedi</x:v>
      </x:c>
      <x:c r="H1059" s="16" t="str">
        <x:v>Erişilemedi</x:v>
      </x:c>
      <x:c r="I1059" s="18" t="n">
        <x:v>0</x:v>
      </x:c>
      <x:c r="J1059" s="18" t="str">
        <x:v>Erişilemedi</x:v>
      </x:c>
      <x:c r="K1059" s="18" t="str">
        <x:f>IF(AND(ISNUMBER(G1059),ISNUMBER(I1059)),I1059/G1059*1000,"Erişilemedi")</x:f>
        <x:v>Erişilemedi</x:v>
      </x:c>
      <x:c r="L1059" s="16" t="str">
        <x:v>Belirsiz</x:v>
      </x:c>
      <x:c r="M1059" s="16" t="str">
        <x:v>Kahve ürünü</x:v>
      </x:c>
      <x:c r="N1059" s="16" t="str">
        <x:v>Site haritası ürün sayfası</x:v>
      </x:c>
      <x:c r="O1059" s="16" t="str">
        <x:v>Düşük</x:v>
      </x:c>
      <x:c r="P1059" s="19" t="n">
        <x:v>46245</x:v>
      </x:c>
      <x:c r="Q1059" s="20" t="str">
        <x:v>https://coffeemolecule.com/guatemala-rio-dorado-pacamara-fw-kopya/</x:v>
      </x:c>
      <x:c r="R1059" s="20" t="str">
        <x:v>Ürün kimliği korundu; eksik alanlar erişilemedi olarak işaretlenecek.</x:v>
      </x:c>
    </x:row>
    <x:row r="1060" ht="40" customHeight="1">
      <x:c r="A1060" s="16" t="str">
        <x:v>Molecule Coffee</x:v>
      </x:c>
      <x:c r="B1060" s="16" t="str">
        <x:v>İstanbul</x:v>
      </x:c>
      <x:c r="C1060" s="16" t="str">
        <x:v>Doğrulandı</x:v>
      </x:c>
      <x:c r="D1060" s="16" t="str">
        <x:v>Ürün kaydı</x:v>
      </x:c>
      <x:c r="E1060" s="16" t="str">
        <x:v>Kahve Nedir?</x:v>
      </x:c>
      <x:c r="F1060" s="16" t="str">
        <x:v>Menşe belirtilmemiş</x:v>
      </x:c>
      <x:c r="G1060" s="17" t="str">
        <x:v>Erişilemedi</x:v>
      </x:c>
      <x:c r="H1060" s="16" t="str">
        <x:v>Erişilemedi</x:v>
      </x:c>
      <x:c r="I1060" s="18" t="n">
        <x:v>0</x:v>
      </x:c>
      <x:c r="J1060" s="18" t="str">
        <x:v>Erişilemedi</x:v>
      </x:c>
      <x:c r="K1060" s="18" t="str">
        <x:f>IF(AND(ISNUMBER(G1060),ISNUMBER(I1060)),I1060/G1060*1000,"Erişilemedi")</x:f>
        <x:v>Erişilemedi</x:v>
      </x:c>
      <x:c r="L1060" s="16" t="str">
        <x:v>Belirsiz</x:v>
      </x:c>
      <x:c r="M1060" s="16" t="str">
        <x:v>Kahve ürünü</x:v>
      </x:c>
      <x:c r="N1060" s="16" t="str">
        <x:v>Site haritası ürün sayfası</x:v>
      </x:c>
      <x:c r="O1060" s="16" t="str">
        <x:v>Düşük</x:v>
      </x:c>
      <x:c r="P1060" s="19" t="n">
        <x:v>46245</x:v>
      </x:c>
      <x:c r="Q1060" s="20" t="str">
        <x:v>https://coffeemolecule.com/kahve-nedir/</x:v>
      </x:c>
      <x:c r="R1060" s="20" t="str">
        <x:v>Ürün kimliği korundu; eksik alanlar erişilemedi olarak işaretlenecek.</x:v>
      </x:c>
    </x:row>
    <x:row r="1061" ht="40" customHeight="1">
      <x:c r="A1061" s="16" t="str">
        <x:v>Molecule Coffee</x:v>
      </x:c>
      <x:c r="B1061" s="16" t="str">
        <x:v>İstanbul</x:v>
      </x:c>
      <x:c r="C1061" s="16" t="str">
        <x:v>Doğrulandı</x:v>
      </x:c>
      <x:c r="D1061" s="16" t="str">
        <x:v>Ürün kaydı</x:v>
      </x:c>
      <x:c r="E1061" s="16" t="str">
        <x:v>Kolay Kahve Seçme Rehberi</x:v>
      </x:c>
      <x:c r="F1061" s="16" t="str">
        <x:v>Menşe belirtilmemiş</x:v>
      </x:c>
      <x:c r="G1061" s="17" t="str">
        <x:v>Erişilemedi</x:v>
      </x:c>
      <x:c r="H1061" s="16" t="str">
        <x:v>Erişilemedi</x:v>
      </x:c>
      <x:c r="I1061" s="18" t="n">
        <x:v>0</x:v>
      </x:c>
      <x:c r="J1061" s="18" t="str">
        <x:v>Erişilemedi</x:v>
      </x:c>
      <x:c r="K1061" s="18" t="str">
        <x:f>IF(AND(ISNUMBER(G1061),ISNUMBER(I1061)),I1061/G1061*1000,"Erişilemedi")</x:f>
        <x:v>Erişilemedi</x:v>
      </x:c>
      <x:c r="L1061" s="16" t="str">
        <x:v>Belirsiz</x:v>
      </x:c>
      <x:c r="M1061" s="16" t="str">
        <x:v>Kahve ürünü</x:v>
      </x:c>
      <x:c r="N1061" s="16" t="str">
        <x:v>Site haritası ürün sayfası</x:v>
      </x:c>
      <x:c r="O1061" s="16" t="str">
        <x:v>Düşük</x:v>
      </x:c>
      <x:c r="P1061" s="19" t="n">
        <x:v>46245</x:v>
      </x:c>
      <x:c r="Q1061" s="20" t="str">
        <x:v>https://coffeemolecule.com/kolay-kahve-secme-rehberi/</x:v>
      </x:c>
      <x:c r="R1061" s="20" t="str">
        <x:v>Ürün kimliği korundu; eksik alanlar erişilemedi olarak işaretlenecek.</x:v>
      </x:c>
    </x:row>
    <x:row r="1062" ht="40" customHeight="1">
      <x:c r="A1062" s="16" t="str">
        <x:v>Molecule Coffee</x:v>
      </x:c>
      <x:c r="B1062" s="16" t="str">
        <x:v>İstanbul</x:v>
      </x:c>
      <x:c r="C1062" s="16" t="str">
        <x:v>Doğrulandı</x:v>
      </x:c>
      <x:c r="D1062" s="16" t="str">
        <x:v>Ürün kaydı</x:v>
      </x:c>
      <x:c r="E1062" s="16" t="str">
        <x:v>Kulplu Espresso Takım</x:v>
      </x:c>
      <x:c r="F1062" s="16" t="str">
        <x:v>Menşe belirtilmemiş</x:v>
      </x:c>
      <x:c r="G1062" s="17" t="str">
        <x:v>Erişilemedi</x:v>
      </x:c>
      <x:c r="H1062" s="16" t="str">
        <x:v>Erişilemedi</x:v>
      </x:c>
      <x:c r="I1062" s="18" t="n">
        <x:v>0</x:v>
      </x:c>
      <x:c r="J1062" s="18" t="str">
        <x:v>Erişilemedi</x:v>
      </x:c>
      <x:c r="K1062" s="18" t="str">
        <x:f>IF(AND(ISNUMBER(G1062),ISNUMBER(I1062)),I1062/G1062*1000,"Erişilemedi")</x:f>
        <x:v>Erişilemedi</x:v>
      </x:c>
      <x:c r="L1062" s="16" t="str">
        <x:v>Belirsiz</x:v>
      </x:c>
      <x:c r="M1062" s="16" t="str">
        <x:v>Kahve ürünü</x:v>
      </x:c>
      <x:c r="N1062" s="16" t="str">
        <x:v>Site haritası ürün sayfası</x:v>
      </x:c>
      <x:c r="O1062" s="16" t="str">
        <x:v>Düşük</x:v>
      </x:c>
      <x:c r="P1062" s="19" t="n">
        <x:v>46245</x:v>
      </x:c>
      <x:c r="Q1062" s="20" t="str">
        <x:v>https://coffeemolecule.com/kulplu-espresso-takim/</x:v>
      </x:c>
      <x:c r="R1062" s="20" t="str">
        <x:v>Ürün kimliği korundu; eksik alanlar erişilemedi olarak işaretlenecek.</x:v>
      </x:c>
    </x:row>
    <x:row r="1063" ht="40" customHeight="1">
      <x:c r="A1063" s="16" t="str">
        <x:v>Molecule Coffee</x:v>
      </x:c>
      <x:c r="B1063" s="16" t="str">
        <x:v>İstanbul</x:v>
      </x:c>
      <x:c r="C1063" s="16" t="str">
        <x:v>Doğrulandı</x:v>
      </x:c>
      <x:c r="D1063" s="16" t="str">
        <x:v>Ürün kaydı</x:v>
      </x:c>
      <x:c r="E1063" s="16" t="str">
        <x:v>Molecule s Classic Grey Filter</x:v>
      </x:c>
      <x:c r="F1063" s="16" t="str">
        <x:v>Menşe belirtilmemiş</x:v>
      </x:c>
      <x:c r="G1063" s="17" t="str">
        <x:v>Erişilemedi</x:v>
      </x:c>
      <x:c r="H1063" s="16" t="str">
        <x:v>Erişilemedi</x:v>
      </x:c>
      <x:c r="I1063" s="18" t="n">
        <x:v>0</x:v>
      </x:c>
      <x:c r="J1063" s="18" t="str">
        <x:v>Erişilemedi</x:v>
      </x:c>
      <x:c r="K1063" s="18" t="str">
        <x:f>IF(AND(ISNUMBER(G1063),ISNUMBER(I1063)),I1063/G1063*1000,"Erişilemedi")</x:f>
        <x:v>Erişilemedi</x:v>
      </x:c>
      <x:c r="L1063" s="16" t="str">
        <x:v>Belirsiz</x:v>
      </x:c>
      <x:c r="M1063" s="16" t="str">
        <x:v>Kahve ürünü</x:v>
      </x:c>
      <x:c r="N1063" s="16" t="str">
        <x:v>Site haritası ürün sayfası</x:v>
      </x:c>
      <x:c r="O1063" s="16" t="str">
        <x:v>Düşük</x:v>
      </x:c>
      <x:c r="P1063" s="19" t="n">
        <x:v>46245</x:v>
      </x:c>
      <x:c r="Q1063" s="20" t="str">
        <x:v>https://coffeemolecule.com/molecules-classic-grey-filter/</x:v>
      </x:c>
      <x:c r="R1063" s="20" t="str">
        <x:v>Ürün kimliği korundu; eksik alanlar erişilemedi olarak işaretlenecek.</x:v>
      </x:c>
    </x:row>
    <x:row r="1064" ht="40" customHeight="1">
      <x:c r="A1064" s="16" t="str">
        <x:v>Molecule Coffee</x:v>
      </x:c>
      <x:c r="B1064" s="16" t="str">
        <x:v>İstanbul</x:v>
      </x:c>
      <x:c r="C1064" s="16" t="str">
        <x:v>Doğrulandı</x:v>
      </x:c>
      <x:c r="D1064" s="16" t="str">
        <x:v>Ürün kaydı</x:v>
      </x:c>
      <x:c r="E1064" s="16" t="str">
        <x:v>Molecule s Classic Yellow Filter</x:v>
      </x:c>
      <x:c r="F1064" s="16" t="str">
        <x:v>Menşe belirtilmemiş</x:v>
      </x:c>
      <x:c r="G1064" s="17" t="str">
        <x:v>Erişilemedi</x:v>
      </x:c>
      <x:c r="H1064" s="16" t="str">
        <x:v>Erişilemedi</x:v>
      </x:c>
      <x:c r="I1064" s="18" t="n">
        <x:v>0</x:v>
      </x:c>
      <x:c r="J1064" s="18" t="str">
        <x:v>Erişilemedi</x:v>
      </x:c>
      <x:c r="K1064" s="18" t="str">
        <x:f>IF(AND(ISNUMBER(G1064),ISNUMBER(I1064)),I1064/G1064*1000,"Erişilemedi")</x:f>
        <x:v>Erişilemedi</x:v>
      </x:c>
      <x:c r="L1064" s="16" t="str">
        <x:v>Belirsiz</x:v>
      </x:c>
      <x:c r="M1064" s="16" t="str">
        <x:v>Kahve ürünü</x:v>
      </x:c>
      <x:c r="N1064" s="16" t="str">
        <x:v>Site haritası ürün sayfası</x:v>
      </x:c>
      <x:c r="O1064" s="16" t="str">
        <x:v>Düşük</x:v>
      </x:c>
      <x:c r="P1064" s="19" t="n">
        <x:v>46245</x:v>
      </x:c>
      <x:c r="Q1064" s="20" t="str">
        <x:v>https://coffeemolecule.com/molecules-classic-yellow-filter/</x:v>
      </x:c>
      <x:c r="R1064" s="20" t="str">
        <x:v>Ürün kimliği korundu; eksik alanlar erişilemedi olarak işaretlenecek.</x:v>
      </x:c>
    </x:row>
    <x:row r="1065" ht="40" customHeight="1">
      <x:c r="A1065" s="16" t="str">
        <x:v>Molecule Coffee</x:v>
      </x:c>
      <x:c r="B1065" s="16" t="str">
        <x:v>İstanbul</x:v>
      </x:c>
      <x:c r="C1065" s="16" t="str">
        <x:v>Doğrulandı</x:v>
      </x:c>
      <x:c r="D1065" s="16" t="str">
        <x:v>Ürün kaydı</x:v>
      </x:c>
      <x:c r="E1065" s="16" t="str">
        <x:v>Molecule s Classic Yellow Grey Filter</x:v>
      </x:c>
      <x:c r="F1065" s="16" t="str">
        <x:v>Menşe belirtilmemiş</x:v>
      </x:c>
      <x:c r="G1065" s="17" t="str">
        <x:v>Erişilemedi</x:v>
      </x:c>
      <x:c r="H1065" s="16" t="str">
        <x:v>Erişilemedi</x:v>
      </x:c>
      <x:c r="I1065" s="18" t="n">
        <x:v>0</x:v>
      </x:c>
      <x:c r="J1065" s="18" t="str">
        <x:v>Erişilemedi</x:v>
      </x:c>
      <x:c r="K1065" s="18" t="str">
        <x:f>IF(AND(ISNUMBER(G1065),ISNUMBER(I1065)),I1065/G1065*1000,"Erişilemedi")</x:f>
        <x:v>Erişilemedi</x:v>
      </x:c>
      <x:c r="L1065" s="16" t="str">
        <x:v>Belirsiz</x:v>
      </x:c>
      <x:c r="M1065" s="16" t="str">
        <x:v>Kahve ürünü</x:v>
      </x:c>
      <x:c r="N1065" s="16" t="str">
        <x:v>Site haritası ürün sayfası</x:v>
      </x:c>
      <x:c r="O1065" s="16" t="str">
        <x:v>Düşük</x:v>
      </x:c>
      <x:c r="P1065" s="19" t="n">
        <x:v>46245</x:v>
      </x:c>
      <x:c r="Q1065" s="20" t="str">
        <x:v>https://coffeemolecule.com/molecules-classic-yellow-grey-filter/</x:v>
      </x:c>
      <x:c r="R1065" s="20" t="str">
        <x:v>Ürün kimliği korundu; eksik alanlar erişilemedi olarak işaretlenecek.</x:v>
      </x:c>
    </x:row>
    <x:row r="1066" ht="40" customHeight="1">
      <x:c r="A1066" s="16" t="str">
        <x:v>Molecule Coffee</x:v>
      </x:c>
      <x:c r="B1066" s="16" t="str">
        <x:v>İstanbul</x:v>
      </x:c>
      <x:c r="C1066" s="16" t="str">
        <x:v>Doğrulandı</x:v>
      </x:c>
      <x:c r="D1066" s="16" t="str">
        <x:v>Ürün kaydı</x:v>
      </x:c>
      <x:c r="E1066" s="16" t="str">
        <x:v>Molecule s Classic Yellow Grey Kulplu Latte Takım</x:v>
      </x:c>
      <x:c r="F1066" s="16" t="str">
        <x:v>Menşe belirtilmemiş</x:v>
      </x:c>
      <x:c r="G1066" s="17" t="str">
        <x:v>Erişilemedi</x:v>
      </x:c>
      <x:c r="H1066" s="16" t="str">
        <x:v>Erişilemedi</x:v>
      </x:c>
      <x:c r="I1066" s="18" t="n">
        <x:v>0</x:v>
      </x:c>
      <x:c r="J1066" s="18" t="str">
        <x:v>Erişilemedi</x:v>
      </x:c>
      <x:c r="K1066" s="18" t="str">
        <x:f>IF(AND(ISNUMBER(G1066),ISNUMBER(I1066)),I1066/G1066*1000,"Erişilemedi")</x:f>
        <x:v>Erişilemedi</x:v>
      </x:c>
      <x:c r="L1066" s="16" t="str">
        <x:v>Belirsiz</x:v>
      </x:c>
      <x:c r="M1066" s="16" t="str">
        <x:v>Kahve ürünü</x:v>
      </x:c>
      <x:c r="N1066" s="16" t="str">
        <x:v>Site haritası ürün sayfası</x:v>
      </x:c>
      <x:c r="O1066" s="16" t="str">
        <x:v>Düşük</x:v>
      </x:c>
      <x:c r="P1066" s="19" t="n">
        <x:v>46245</x:v>
      </x:c>
      <x:c r="Q1066" s="20" t="str">
        <x:v>https://coffeemolecule.com/molecules-classic-yellow-grey-kulplu-latte-takim/</x:v>
      </x:c>
      <x:c r="R1066" s="20" t="str">
        <x:v>Ürün kimliği korundu; eksik alanlar erişilemedi olarak işaretlenecek.</x:v>
      </x:c>
    </x:row>
    <x:row r="1067" ht="40" customHeight="1">
      <x:c r="A1067" s="16" t="str">
        <x:v>Molecule Coffee</x:v>
      </x:c>
      <x:c r="B1067" s="16" t="str">
        <x:v>İstanbul</x:v>
      </x:c>
      <x:c r="C1067" s="16" t="str">
        <x:v>Doğrulandı</x:v>
      </x:c>
      <x:c r="D1067" s="16" t="str">
        <x:v>Ürün kaydı</x:v>
      </x:c>
      <x:c r="E1067" s="16" t="str">
        <x:v>Molecule s Classic Yellow Grey Latte</x:v>
      </x:c>
      <x:c r="F1067" s="16" t="str">
        <x:v>Menşe belirtilmemiş</x:v>
      </x:c>
      <x:c r="G1067" s="17" t="str">
        <x:v>Erişilemedi</x:v>
      </x:c>
      <x:c r="H1067" s="16" t="str">
        <x:v>Erişilemedi</x:v>
      </x:c>
      <x:c r="I1067" s="18" t="n">
        <x:v>0</x:v>
      </x:c>
      <x:c r="J1067" s="18" t="str">
        <x:v>Erişilemedi</x:v>
      </x:c>
      <x:c r="K1067" s="18" t="str">
        <x:f>IF(AND(ISNUMBER(G1067),ISNUMBER(I1067)),I1067/G1067*1000,"Erişilemedi")</x:f>
        <x:v>Erişilemedi</x:v>
      </x:c>
      <x:c r="L1067" s="16" t="str">
        <x:v>Belirsiz</x:v>
      </x:c>
      <x:c r="M1067" s="16" t="str">
        <x:v>Kahve ürünü</x:v>
      </x:c>
      <x:c r="N1067" s="16" t="str">
        <x:v>Site haritası ürün sayfası</x:v>
      </x:c>
      <x:c r="O1067" s="16" t="str">
        <x:v>Düşük</x:v>
      </x:c>
      <x:c r="P1067" s="19" t="n">
        <x:v>46245</x:v>
      </x:c>
      <x:c r="Q1067" s="20" t="str">
        <x:v>https://coffeemolecule.com/molecules-classic-yellow-grey-latte/</x:v>
      </x:c>
      <x:c r="R1067" s="20" t="str">
        <x:v>Ürün kimliği korundu; eksik alanlar erişilemedi olarak işaretlenecek.</x:v>
      </x:c>
    </x:row>
    <x:row r="1068" ht="40" customHeight="1">
      <x:c r="A1068" s="16" t="str">
        <x:v>Molecule Coffee</x:v>
      </x:c>
      <x:c r="B1068" s="16" t="str">
        <x:v>İstanbul</x:v>
      </x:c>
      <x:c r="C1068" s="16" t="str">
        <x:v>Doğrulandı</x:v>
      </x:c>
      <x:c r="D1068" s="16" t="str">
        <x:v>Ürün kaydı</x:v>
      </x:c>
      <x:c r="E1068" s="16" t="str">
        <x:v>Molecule s Classic Yellow Grey Short Filter</x:v>
      </x:c>
      <x:c r="F1068" s="16" t="str">
        <x:v>Menşe belirtilmemiş</x:v>
      </x:c>
      <x:c r="G1068" s="17" t="str">
        <x:v>Erişilemedi</x:v>
      </x:c>
      <x:c r="H1068" s="16" t="str">
        <x:v>Erişilemedi</x:v>
      </x:c>
      <x:c r="I1068" s="18" t="n">
        <x:v>0</x:v>
      </x:c>
      <x:c r="J1068" s="18" t="str">
        <x:v>Erişilemedi</x:v>
      </x:c>
      <x:c r="K1068" s="18" t="str">
        <x:f>IF(AND(ISNUMBER(G1068),ISNUMBER(I1068)),I1068/G1068*1000,"Erişilemedi")</x:f>
        <x:v>Erişilemedi</x:v>
      </x:c>
      <x:c r="L1068" s="16" t="str">
        <x:v>Belirsiz</x:v>
      </x:c>
      <x:c r="M1068" s="16" t="str">
        <x:v>Kahve ürünü</x:v>
      </x:c>
      <x:c r="N1068" s="16" t="str">
        <x:v>Site haritası ürün sayfası</x:v>
      </x:c>
      <x:c r="O1068" s="16" t="str">
        <x:v>Düşük</x:v>
      </x:c>
      <x:c r="P1068" s="19" t="n">
        <x:v>46245</x:v>
      </x:c>
      <x:c r="Q1068" s="20" t="str">
        <x:v>https://coffeemolecule.com/molecules-classic-yellow-grey-short-filter/</x:v>
      </x:c>
      <x:c r="R1068" s="20" t="str">
        <x:v>Ürün kimliği korundu; eksik alanlar erişilemedi olarak işaretlenecek.</x:v>
      </x:c>
    </x:row>
    <x:row r="1069" ht="40" customHeight="1">
      <x:c r="A1069" s="16" t="str">
        <x:v>Molecule Coffee</x:v>
      </x:c>
      <x:c r="B1069" s="16" t="str">
        <x:v>İstanbul</x:v>
      </x:c>
      <x:c r="C1069" s="16" t="str">
        <x:v>Doğrulandı</x:v>
      </x:c>
      <x:c r="D1069" s="16" t="str">
        <x:v>Ürün kaydı</x:v>
      </x:c>
      <x:c r="E1069" s="16" t="str">
        <x:v>Molecule s Filter</x:v>
      </x:c>
      <x:c r="F1069" s="16" t="str">
        <x:v>Menşe belirtilmemiş</x:v>
      </x:c>
      <x:c r="G1069" s="17" t="str">
        <x:v>Erişilemedi</x:v>
      </x:c>
      <x:c r="H1069" s="16" t="str">
        <x:v>Erişilemedi</x:v>
      </x:c>
      <x:c r="I1069" s="18" t="n">
        <x:v>0</x:v>
      </x:c>
      <x:c r="J1069" s="18" t="str">
        <x:v>Erişilemedi</x:v>
      </x:c>
      <x:c r="K1069" s="18" t="str">
        <x:f>IF(AND(ISNUMBER(G1069),ISNUMBER(I1069)),I1069/G1069*1000,"Erişilemedi")</x:f>
        <x:v>Erişilemedi</x:v>
      </x:c>
      <x:c r="L1069" s="16" t="str">
        <x:v>Belirsiz</x:v>
      </x:c>
      <x:c r="M1069" s="16" t="str">
        <x:v>Kahve ürünü</x:v>
      </x:c>
      <x:c r="N1069" s="16" t="str">
        <x:v>Site haritası ürün sayfası</x:v>
      </x:c>
      <x:c r="O1069" s="16" t="str">
        <x:v>Düşük</x:v>
      </x:c>
      <x:c r="P1069" s="19" t="n">
        <x:v>46245</x:v>
      </x:c>
      <x:c r="Q1069" s="20" t="str">
        <x:v>https://coffeemolecule.com/molecules-filter/</x:v>
      </x:c>
      <x:c r="R1069" s="20" t="str">
        <x:v>Ürün kimliği korundu; eksik alanlar erişilemedi olarak işaretlenecek.</x:v>
      </x:c>
    </x:row>
    <x:row r="1070" ht="40" customHeight="1">
      <x:c r="A1070" s="16" t="str">
        <x:v>Molecule Coffee</x:v>
      </x:c>
      <x:c r="B1070" s="16" t="str">
        <x:v>İstanbul</x:v>
      </x:c>
      <x:c r="C1070" s="16" t="str">
        <x:v>Doğrulandı</x:v>
      </x:c>
      <x:c r="D1070" s="16" t="str">
        <x:v>Ürün kaydı</x:v>
      </x:c>
      <x:c r="E1070" s="16" t="str">
        <x:v>Nicaragua Esmeralda Washed</x:v>
      </x:c>
      <x:c r="F1070" s="16" t="str">
        <x:v>Nikaragua</x:v>
      </x:c>
      <x:c r="G1070" s="17" t="str">
        <x:v>Erişilemedi</x:v>
      </x:c>
      <x:c r="H1070" s="16" t="str">
        <x:v>Erişilemedi</x:v>
      </x:c>
      <x:c r="I1070" s="18" t="n">
        <x:v>0</x:v>
      </x:c>
      <x:c r="J1070" s="18" t="str">
        <x:v>Erişilemedi</x:v>
      </x:c>
      <x:c r="K1070" s="18" t="str">
        <x:f>IF(AND(ISNUMBER(G1070),ISNUMBER(I1070)),I1070/G1070*1000,"Erişilemedi")</x:f>
        <x:v>Erişilemedi</x:v>
      </x:c>
      <x:c r="L1070" s="16" t="str">
        <x:v>Belirsiz</x:v>
      </x:c>
      <x:c r="M1070" s="16" t="str">
        <x:v>Kahve ürünü</x:v>
      </x:c>
      <x:c r="N1070" s="16" t="str">
        <x:v>Site haritası ürün sayfası</x:v>
      </x:c>
      <x:c r="O1070" s="16" t="str">
        <x:v>Düşük</x:v>
      </x:c>
      <x:c r="P1070" s="19" t="n">
        <x:v>46245</x:v>
      </x:c>
      <x:c r="Q1070" s="20" t="str">
        <x:v>https://coffeemolecule.com/nikaragua-kahve-esmeralda-washed/</x:v>
      </x:c>
      <x:c r="R1070" s="20" t="str">
        <x:v>Ürün kimliği korundu; eksik alanlar erişilemedi olarak işaretlenecek.</x:v>
      </x:c>
    </x:row>
    <x:row r="1071" ht="40" customHeight="1">
      <x:c r="A1071" s="16" t="str">
        <x:v>Molecule Coffee</x:v>
      </x:c>
      <x:c r="B1071" s="16" t="str">
        <x:v>İstanbul</x:v>
      </x:c>
      <x:c r="C1071" s="16" t="str">
        <x:v>Doğrulandı</x:v>
      </x:c>
      <x:c r="D1071" s="16" t="str">
        <x:v>Ürün kaydı</x:v>
      </x:c>
      <x:c r="E1071" s="16" t="str">
        <x:v>Nikaragua Kahveleri</x:v>
      </x:c>
      <x:c r="F1071" s="16" t="str">
        <x:v>Nikaragua</x:v>
      </x:c>
      <x:c r="G1071" s="17" t="str">
        <x:v>Erişilemedi</x:v>
      </x:c>
      <x:c r="H1071" s="16" t="str">
        <x:v>Erişilemedi</x:v>
      </x:c>
      <x:c r="I1071" s="18" t="n">
        <x:v>0</x:v>
      </x:c>
      <x:c r="J1071" s="18" t="str">
        <x:v>Erişilemedi</x:v>
      </x:c>
      <x:c r="K1071" s="18" t="str">
        <x:f>IF(AND(ISNUMBER(G1071),ISNUMBER(I1071)),I1071/G1071*1000,"Erişilemedi")</x:f>
        <x:v>Erişilemedi</x:v>
      </x:c>
      <x:c r="L1071" s="16" t="str">
        <x:v>Belirsiz</x:v>
      </x:c>
      <x:c r="M1071" s="16" t="str">
        <x:v>Kahve ürünü</x:v>
      </x:c>
      <x:c r="N1071" s="16" t="str">
        <x:v>Site haritası ürün sayfası</x:v>
      </x:c>
      <x:c r="O1071" s="16" t="str">
        <x:v>Düşük</x:v>
      </x:c>
      <x:c r="P1071" s="19" t="n">
        <x:v>46245</x:v>
      </x:c>
      <x:c r="Q1071" s="20" t="str">
        <x:v>https://coffeemolecule.com/nikaragua-kahveleri/</x:v>
      </x:c>
      <x:c r="R1071" s="20" t="str">
        <x:v>Ürün kimliği korundu; eksik alanlar erişilemedi olarak işaretlenecek.</x:v>
      </x:c>
    </x:row>
    <x:row r="1072" ht="40" customHeight="1">
      <x:c r="A1072" s="16" t="str">
        <x:v>Molecule Coffee</x:v>
      </x:c>
      <x:c r="B1072" s="16" t="str">
        <x:v>İstanbul</x:v>
      </x:c>
      <x:c r="C1072" s="16" t="str">
        <x:v>Doğrulandı</x:v>
      </x:c>
      <x:c r="D1072" s="16" t="str">
        <x:v>Ürün kaydı</x:v>
      </x:c>
      <x:c r="E1072" s="16" t="str">
        <x:v>Red Türk Kahvesi Takımı</x:v>
      </x:c>
      <x:c r="F1072" s="16" t="str">
        <x:v>Menşe belirtilmemiş</x:v>
      </x:c>
      <x:c r="G1072" s="17" t="str">
        <x:v>Erişilemedi</x:v>
      </x:c>
      <x:c r="H1072" s="16" t="str">
        <x:v>Erişilemedi</x:v>
      </x:c>
      <x:c r="I1072" s="18" t="n">
        <x:v>0</x:v>
      </x:c>
      <x:c r="J1072" s="18" t="str">
        <x:v>Erişilemedi</x:v>
      </x:c>
      <x:c r="K1072" s="18" t="str">
        <x:f>IF(AND(ISNUMBER(G1072),ISNUMBER(I1072)),I1072/G1072*1000,"Erişilemedi")</x:f>
        <x:v>Erişilemedi</x:v>
      </x:c>
      <x:c r="L1072" s="16" t="str">
        <x:v>Belirsiz</x:v>
      </x:c>
      <x:c r="M1072" s="16" t="str">
        <x:v>Kahve ürünü</x:v>
      </x:c>
      <x:c r="N1072" s="16" t="str">
        <x:v>Site haritası ürün sayfası</x:v>
      </x:c>
      <x:c r="O1072" s="16" t="str">
        <x:v>Düşük</x:v>
      </x:c>
      <x:c r="P1072" s="19" t="n">
        <x:v>46245</x:v>
      </x:c>
      <x:c r="Q1072" s="20" t="str">
        <x:v>https://coffeemolecule.com/red-turk-kahvesi-takimi/</x:v>
      </x:c>
      <x:c r="R1072" s="20" t="str">
        <x:v>Ürün kimliği korundu; eksik alanlar erişilemedi olarak işaretlenecek.</x:v>
      </x:c>
    </x:row>
    <x:row r="1073" ht="40" customHeight="1">
      <x:c r="A1073" s="16" t="str">
        <x:v>Molecule Coffee</x:v>
      </x:c>
      <x:c r="B1073" s="16" t="str">
        <x:v>İstanbul</x:v>
      </x:c>
      <x:c r="C1073" s="16" t="str">
        <x:v>Doğrulandı</x:v>
      </x:c>
      <x:c r="D1073" s="16" t="str">
        <x:v>Ürün kaydı</x:v>
      </x:c>
      <x:c r="E1073" s="16" t="str">
        <x:v>SCA 2020 Covid-19 Küresel Salgını Güncesi</x:v>
      </x:c>
      <x:c r="F1073" s="16" t="str">
        <x:v>Menşe belirtilmemiş</x:v>
      </x:c>
      <x:c r="G1073" s="17" t="str">
        <x:v>Erişilemedi</x:v>
      </x:c>
      <x:c r="H1073" s="16" t="str">
        <x:v>Erişilemedi</x:v>
      </x:c>
      <x:c r="I1073" s="18" t="n">
        <x:v>0</x:v>
      </x:c>
      <x:c r="J1073" s="18" t="str">
        <x:v>Erişilemedi</x:v>
      </x:c>
      <x:c r="K1073" s="18" t="str">
        <x:f>IF(AND(ISNUMBER(G1073),ISNUMBER(I1073)),I1073/G1073*1000,"Erişilemedi")</x:f>
        <x:v>Erişilemedi</x:v>
      </x:c>
      <x:c r="L1073" s="16" t="str">
        <x:v>Belirsiz</x:v>
      </x:c>
      <x:c r="M1073" s="16" t="str">
        <x:v>Kahve ürünü</x:v>
      </x:c>
      <x:c r="N1073" s="16" t="str">
        <x:v>Site haritası ürün sayfası</x:v>
      </x:c>
      <x:c r="O1073" s="16" t="str">
        <x:v>Düşük</x:v>
      </x:c>
      <x:c r="P1073" s="19" t="n">
        <x:v>46245</x:v>
      </x:c>
      <x:c r="Q1073" s="20" t="str">
        <x:v>https://coffeemolecule.com/sca-2020-covid-19-kuresel-salgini-guncesi/</x:v>
      </x:c>
      <x:c r="R1073" s="20" t="str">
        <x:v>Ürün kimliği korundu; eksik alanlar erişilemedi olarak işaretlenecek.</x:v>
      </x:c>
    </x:row>
    <x:row r="1074" ht="40" customHeight="1">
      <x:c r="A1074" s="16" t="str">
        <x:v>Molecule Coffee</x:v>
      </x:c>
      <x:c r="B1074" s="16" t="str">
        <x:v>İstanbul</x:v>
      </x:c>
      <x:c r="C1074" s="16" t="str">
        <x:v>Doğrulandı</x:v>
      </x:c>
      <x:c r="D1074" s="16" t="str">
        <x:v>Ürün kaydı</x:v>
      </x:c>
      <x:c r="E1074" s="16" t="str">
        <x:v>Shop</x:v>
      </x:c>
      <x:c r="F1074" s="16" t="str">
        <x:v>Menşe belirtilmemiş</x:v>
      </x:c>
      <x:c r="G1074" s="17" t="str">
        <x:v>Erişilemedi</x:v>
      </x:c>
      <x:c r="H1074" s="16" t="str">
        <x:v>Erişilemedi</x:v>
      </x:c>
      <x:c r="I1074" s="18" t="n">
        <x:v>0</x:v>
      </x:c>
      <x:c r="J1074" s="18" t="str">
        <x:v>Erişilemedi</x:v>
      </x:c>
      <x:c r="K1074" s="18" t="str">
        <x:f>IF(AND(ISNUMBER(G1074),ISNUMBER(I1074)),I1074/G1074*1000,"Erişilemedi")</x:f>
        <x:v>Erişilemedi</x:v>
      </x:c>
      <x:c r="L1074" s="16" t="str">
        <x:v>Belirsiz</x:v>
      </x:c>
      <x:c r="M1074" s="16" t="str">
        <x:v>Kahve ürünü</x:v>
      </x:c>
      <x:c r="N1074" s="16" t="str">
        <x:v>Site haritası ürün sayfası</x:v>
      </x:c>
      <x:c r="O1074" s="16" t="str">
        <x:v>Düşük</x:v>
      </x:c>
      <x:c r="P1074" s="19" t="n">
        <x:v>46245</x:v>
      </x:c>
      <x:c r="Q1074" s="20" t="str">
        <x:v>https://coffeemolecule.com/shop/</x:v>
      </x:c>
      <x:c r="R1074" s="20" t="str">
        <x:v>Ürün kimliği korundu; eksik alanlar erişilemedi olarak işaretlenecek.</x:v>
      </x:c>
    </x:row>
    <x:row r="1075" ht="40" customHeight="1">
      <x:c r="A1075" s="16" t="str">
        <x:v>Mona Coffee</x:v>
      </x:c>
      <x:c r="B1075" s="16" t="str">
        <x:v>Ankara</x:v>
      </x:c>
      <x:c r="C1075" s="16" t="str">
        <x:v>Kısmi doğrulama</x:v>
      </x:c>
      <x:c r="D1075" s="16" t="str">
        <x:v>Katalog takip kaydı</x:v>
      </x:c>
      <x:c r="E1075" s="16" t="str">
        <x:v>Ürün kataloğu — ayrıntılı ürün verisine erişilemedi</x:v>
      </x:c>
      <x:c r="F1075" s="16" t="str">
        <x:v>Erişilemedi</x:v>
      </x:c>
      <x:c r="G1075" s="17" t="str">
        <x:v>Erişilemedi</x:v>
      </x:c>
      <x:c r="H1075" s="16" t="str">
        <x:v>Erişilemedi</x:v>
      </x:c>
      <x:c r="I1075" s="18" t="str">
        <x:v>Erişilemedi</x:v>
      </x:c>
      <x:c r="J1075" s="18" t="str">
        <x:v>Erişilemedi</x:v>
      </x:c>
      <x:c r="K1075" s="18" t="str">
        <x:f>IF(AND(ISNUMBER(G1075),ISNUMBER(I1075)),I1075/G1075*1000,"Erişilemedi")</x:f>
        <x:v>Erişilemedi</x:v>
      </x:c>
      <x:c r="L1075" s="16" t="str">
        <x:v>Erişilemedi</x:v>
      </x:c>
      <x:c r="M1075" s="16" t="str">
        <x:v>Katalog/takip kaydı</x:v>
      </x:c>
      <x:c r="N1075" s="16" t="str">
        <x:v>Instagram veya mevcut kaynak</x:v>
      </x:c>
      <x:c r="O1075" s="16" t="str">
        <x:v>Takip gerekli</x:v>
      </x:c>
      <x:c r="P1075" s="19" t="n">
        <x:v>46245</x:v>
      </x:c>
      <x:c r="Q1075" s="20" t="str">
        <x:v>Erişilemedi</x:v>
      </x:c>
      <x:c r="R1075" s="20" t="str">
        <x:v>Ürün adı, gramaj ve fiyat birlikte çıkarılamadı. Bağlantı manuel inceleme için korundu.</x:v>
      </x:c>
    </x:row>
    <x:row r="1076" ht="40" customHeight="1">
      <x:c r="A1076" s="16" t="str">
        <x:v>Montag Coffee Roasters</x:v>
      </x:c>
      <x:c r="B1076" s="16" t="str">
        <x:v>İstanbul</x:v>
      </x:c>
      <x:c r="C1076" s="16" t="str">
        <x:v>Doğrulandı</x:v>
      </x:c>
      <x:c r="D1076" s="16" t="str">
        <x:v>Ürün kaydı</x:v>
      </x:c>
      <x:c r="E1076" s="16" t="str">
        <x:v>ALPACA</x:v>
      </x:c>
      <x:c r="F1076" s="16" t="str">
        <x:v>Peru</x:v>
      </x:c>
      <x:c r="G1076" s="17" t="n">
        <x:v>250</x:v>
      </x:c>
      <x:c r="H1076" s="16" t="str">
        <x:v>Erişildi</x:v>
      </x:c>
      <x:c r="I1076" s="18" t="n">
        <x:v>595</x:v>
      </x:c>
      <x:c r="J1076" s="18" t="str">
        <x:v>Erişildi</x:v>
      </x:c>
      <x:c r="K1076" s="18" t="n">
        <x:f>IF(AND(ISNUMBER(G1076),ISNUMBER(I1076)),I1076/G1076*1000,"Erişilemedi")</x:f>
        <x:v>2380</x:v>
      </x:c>
      <x:c r="L1076" s="16" t="str">
        <x:v>Stokta</x:v>
      </x:c>
      <x:c r="M1076" s="16" t="str">
        <x:v>Tek köken/ürün</x:v>
      </x:c>
      <x:c r="N1076" s="16" t="str">
        <x:v>Shopify ürün akışı</x:v>
      </x:c>
      <x:c r="O1076" s="16" t="str">
        <x:v>Yüksek</x:v>
      </x:c>
      <x:c r="P1076" s="19" t="n">
        <x:v>46245</x:v>
      </x:c>
      <x:c r="Q1076" s="20" t="str">
        <x:v>https://www.montagcoffee.com/products/alpaca-espresso-kahve</x:v>
      </x:c>
      <x:c r="R1076" s="20" t="str">
        <x:v>Öğütüm seçenekleri aynı gramaj ve fiyatta tekilleştirildi.</x:v>
      </x:c>
    </x:row>
    <x:row r="1077" ht="40" customHeight="1">
      <x:c r="A1077" s="16" t="str">
        <x:v>Montag Coffee Roasters</x:v>
      </x:c>
      <x:c r="B1077" s="16" t="str">
        <x:v>İstanbul</x:v>
      </x:c>
      <x:c r="C1077" s="16" t="str">
        <x:v>Doğrulandı</x:v>
      </x:c>
      <x:c r="D1077" s="16" t="str">
        <x:v>Ürün kaydı</x:v>
      </x:c>
      <x:c r="E1077" s="16" t="str">
        <x:v>ALPACA</x:v>
      </x:c>
      <x:c r="F1077" s="16" t="str">
        <x:v>Peru</x:v>
      </x:c>
      <x:c r="G1077" s="17" t="n">
        <x:v>1000</x:v>
      </x:c>
      <x:c r="H1077" s="16" t="str">
        <x:v>Erişildi</x:v>
      </x:c>
      <x:c r="I1077" s="18" t="n">
        <x:v>2142</x:v>
      </x:c>
      <x:c r="J1077" s="18" t="str">
        <x:v>Erişildi</x:v>
      </x:c>
      <x:c r="K1077" s="18" t="n">
        <x:f>IF(AND(ISNUMBER(G1077),ISNUMBER(I1077)),I1077/G1077*1000,"Erişilemedi")</x:f>
        <x:v>2142</x:v>
      </x:c>
      <x:c r="L1077" s="16" t="str">
        <x:v>Stokta</x:v>
      </x:c>
      <x:c r="M1077" s="16" t="str">
        <x:v>Tek köken/ürün</x:v>
      </x:c>
      <x:c r="N1077" s="16" t="str">
        <x:v>Shopify ürün akışı</x:v>
      </x:c>
      <x:c r="O1077" s="16" t="str">
        <x:v>Yüksek</x:v>
      </x:c>
      <x:c r="P1077" s="19" t="n">
        <x:v>46245</x:v>
      </x:c>
      <x:c r="Q1077" s="20" t="str">
        <x:v>https://www.montagcoffee.com/products/alpaca-espresso-kahve</x:v>
      </x:c>
      <x:c r="R1077" s="20" t="str">
        <x:v>Öğütüm seçenekleri aynı gramaj ve fiyatta tekilleştirildi.</x:v>
      </x:c>
    </x:row>
    <x:row r="1078" ht="40" customHeight="1">
      <x:c r="A1078" s="16" t="str">
        <x:v>Montag Coffee Roasters</x:v>
      </x:c>
      <x:c r="B1078" s="16" t="str">
        <x:v>İstanbul</x:v>
      </x:c>
      <x:c r="C1078" s="16" t="str">
        <x:v>Doğrulandı</x:v>
      </x:c>
      <x:c r="D1078" s="16" t="str">
        <x:v>Ürün kaydı</x:v>
      </x:c>
      <x:c r="E1078" s="16" t="str">
        <x:v>APONTE</x:v>
      </x:c>
      <x:c r="F1078" s="16" t="str">
        <x:v>Kolombiya</x:v>
      </x:c>
      <x:c r="G1078" s="17" t="n">
        <x:v>250</x:v>
      </x:c>
      <x:c r="H1078" s="16" t="str">
        <x:v>Erişildi</x:v>
      </x:c>
      <x:c r="I1078" s="18" t="n">
        <x:v>580</x:v>
      </x:c>
      <x:c r="J1078" s="18" t="str">
        <x:v>Erişildi</x:v>
      </x:c>
      <x:c r="K1078" s="18" t="n">
        <x:f>IF(AND(ISNUMBER(G1078),ISNUMBER(I1078)),I1078/G1078*1000,"Erişilemedi")</x:f>
        <x:v>2320</x:v>
      </x:c>
      <x:c r="L1078" s="16" t="str">
        <x:v>Stokta</x:v>
      </x:c>
      <x:c r="M1078" s="16" t="str">
        <x:v>Tek köken/ürün</x:v>
      </x:c>
      <x:c r="N1078" s="16" t="str">
        <x:v>Shopify ürün akışı</x:v>
      </x:c>
      <x:c r="O1078" s="16" t="str">
        <x:v>Yüksek</x:v>
      </x:c>
      <x:c r="P1078" s="19" t="n">
        <x:v>46245</x:v>
      </x:c>
      <x:c r="Q1078" s="20" t="str">
        <x:v>https://www.montagcoffee.com/products/aponte-1</x:v>
      </x:c>
      <x:c r="R1078" s="20" t="str">
        <x:v>Öğütüm seçenekleri aynı gramaj ve fiyatta tekilleştirildi.</x:v>
      </x:c>
    </x:row>
    <x:row r="1079" ht="40" customHeight="1">
      <x:c r="A1079" s="16" t="str">
        <x:v>Montag Coffee Roasters</x:v>
      </x:c>
      <x:c r="B1079" s="16" t="str">
        <x:v>İstanbul</x:v>
      </x:c>
      <x:c r="C1079" s="16" t="str">
        <x:v>Doğrulandı</x:v>
      </x:c>
      <x:c r="D1079" s="16" t="str">
        <x:v>Ürün kaydı</x:v>
      </x:c>
      <x:c r="E1079" s="16" t="str">
        <x:v>APONTE</x:v>
      </x:c>
      <x:c r="F1079" s="16" t="str">
        <x:v>Kolombiya</x:v>
      </x:c>
      <x:c r="G1079" s="17" t="n">
        <x:v>1000</x:v>
      </x:c>
      <x:c r="H1079" s="16" t="str">
        <x:v>Erişildi</x:v>
      </x:c>
      <x:c r="I1079" s="18" t="n">
        <x:v>2088</x:v>
      </x:c>
      <x:c r="J1079" s="18" t="str">
        <x:v>Erişildi</x:v>
      </x:c>
      <x:c r="K1079" s="18" t="n">
        <x:f>IF(AND(ISNUMBER(G1079),ISNUMBER(I1079)),I1079/G1079*1000,"Erişilemedi")</x:f>
        <x:v>2088</x:v>
      </x:c>
      <x:c r="L1079" s="16" t="str">
        <x:v>Stokta</x:v>
      </x:c>
      <x:c r="M1079" s="16" t="str">
        <x:v>Tek köken/ürün</x:v>
      </x:c>
      <x:c r="N1079" s="16" t="str">
        <x:v>Shopify ürün akışı</x:v>
      </x:c>
      <x:c r="O1079" s="16" t="str">
        <x:v>Yüksek</x:v>
      </x:c>
      <x:c r="P1079" s="19" t="n">
        <x:v>46245</x:v>
      </x:c>
      <x:c r="Q1079" s="20" t="str">
        <x:v>https://www.montagcoffee.com/products/aponte-1</x:v>
      </x:c>
      <x:c r="R1079" s="20" t="str">
        <x:v>Öğütüm seçenekleri aynı gramaj ve fiyatta tekilleştirildi.</x:v>
      </x:c>
    </x:row>
    <x:row r="1080" ht="40" customHeight="1">
      <x:c r="A1080" s="16" t="str">
        <x:v>Montag Coffee Roasters</x:v>
      </x:c>
      <x:c r="B1080" s="16" t="str">
        <x:v>İstanbul</x:v>
      </x:c>
      <x:c r="C1080" s="16" t="str">
        <x:v>Doğrulandı</x:v>
      </x:c>
      <x:c r="D1080" s="16" t="str">
        <x:v>Ürün kaydı</x:v>
      </x:c>
      <x:c r="E1080" s="16" t="str">
        <x:v>AUTOMAT</x:v>
      </x:c>
      <x:c r="F1080" s="16" t="str">
        <x:v>Etiyopya | Brezilya | Guatemala</x:v>
      </x:c>
      <x:c r="G1080" s="17" t="n">
        <x:v>250</x:v>
      </x:c>
      <x:c r="H1080" s="16" t="str">
        <x:v>Erişildi</x:v>
      </x:c>
      <x:c r="I1080" s="18" t="n">
        <x:v>540</x:v>
      </x:c>
      <x:c r="J1080" s="18" t="str">
        <x:v>Erişildi</x:v>
      </x:c>
      <x:c r="K1080" s="18" t="n">
        <x:f>IF(AND(ISNUMBER(G1080),ISNUMBER(I1080)),I1080/G1080*1000,"Erişilemedi")</x:f>
        <x:v>2160</x:v>
      </x:c>
      <x:c r="L1080" s="16" t="str">
        <x:v>Stokta</x:v>
      </x:c>
      <x:c r="M1080" s="16" t="str">
        <x:v>Tek köken/ürün</x:v>
      </x:c>
      <x:c r="N1080" s="16" t="str">
        <x:v>Shopify ürün akışı</x:v>
      </x:c>
      <x:c r="O1080" s="16" t="str">
        <x:v>Yüksek</x:v>
      </x:c>
      <x:c r="P1080" s="19" t="n">
        <x:v>46245</x:v>
      </x:c>
      <x:c r="Q1080" s="20" t="str">
        <x:v>https://www.montagcoffee.com/products/automat-filtre-kahve</x:v>
      </x:c>
      <x:c r="R1080" s="20" t="str">
        <x:v>Öğütüm seçenekleri aynı gramaj ve fiyatta tekilleştirildi.</x:v>
      </x:c>
    </x:row>
    <x:row r="1081" ht="40" customHeight="1">
      <x:c r="A1081" s="16" t="str">
        <x:v>Montag Coffee Roasters</x:v>
      </x:c>
      <x:c r="B1081" s="16" t="str">
        <x:v>İstanbul</x:v>
      </x:c>
      <x:c r="C1081" s="16" t="str">
        <x:v>Doğrulandı</x:v>
      </x:c>
      <x:c r="D1081" s="16" t="str">
        <x:v>Ürün kaydı</x:v>
      </x:c>
      <x:c r="E1081" s="16" t="str">
        <x:v>AUTOMAT</x:v>
      </x:c>
      <x:c r="F1081" s="16" t="str">
        <x:v>Etiyopya | Brezilya | Guatemala</x:v>
      </x:c>
      <x:c r="G1081" s="17" t="n">
        <x:v>1000</x:v>
      </x:c>
      <x:c r="H1081" s="16" t="str">
        <x:v>Erişildi</x:v>
      </x:c>
      <x:c r="I1081" s="18" t="n">
        <x:v>1944</x:v>
      </x:c>
      <x:c r="J1081" s="18" t="str">
        <x:v>Erişildi</x:v>
      </x:c>
      <x:c r="K1081" s="18" t="n">
        <x:f>IF(AND(ISNUMBER(G1081),ISNUMBER(I1081)),I1081/G1081*1000,"Erişilemedi")</x:f>
        <x:v>1944</x:v>
      </x:c>
      <x:c r="L1081" s="16" t="str">
        <x:v>Stokta</x:v>
      </x:c>
      <x:c r="M1081" s="16" t="str">
        <x:v>Tek köken/ürün</x:v>
      </x:c>
      <x:c r="N1081" s="16" t="str">
        <x:v>Shopify ürün akışı</x:v>
      </x:c>
      <x:c r="O1081" s="16" t="str">
        <x:v>Yüksek</x:v>
      </x:c>
      <x:c r="P1081" s="19" t="n">
        <x:v>46245</x:v>
      </x:c>
      <x:c r="Q1081" s="20" t="str">
        <x:v>https://www.montagcoffee.com/products/automat-filtre-kahve</x:v>
      </x:c>
      <x:c r="R1081" s="20" t="str">
        <x:v>Öğütüm seçenekleri aynı gramaj ve fiyatta tekilleştirildi.</x:v>
      </x:c>
    </x:row>
    <x:row r="1082" ht="40" customHeight="1">
      <x:c r="A1082" s="16" t="str">
        <x:v>Montag Coffee Roasters</x:v>
      </x:c>
      <x:c r="B1082" s="16" t="str">
        <x:v>İstanbul</x:v>
      </x:c>
      <x:c r="C1082" s="16" t="str">
        <x:v>Doğrulandı</x:v>
      </x:c>
      <x:c r="D1082" s="16" t="str">
        <x:v>Ürün kaydı</x:v>
      </x:c>
      <x:c r="E1082" s="16" t="str">
        <x:v>BUDGET BUNDLE 1</x:v>
      </x:c>
      <x:c r="F1082" s="16" t="str">
        <x:v>Etiyopya | Brezilya | Guatemala</x:v>
      </x:c>
      <x:c r="G1082" s="17" t="n">
        <x:v>250</x:v>
      </x:c>
      <x:c r="H1082" s="16" t="str">
        <x:v>Erişildi</x:v>
      </x:c>
      <x:c r="I1082" s="18" t="n">
        <x:v>1840</x:v>
      </x:c>
      <x:c r="J1082" s="18" t="str">
        <x:v>Erişildi</x:v>
      </x:c>
      <x:c r="K1082" s="18" t="n">
        <x:f>IF(AND(ISNUMBER(G1082),ISNUMBER(I1082)),I1082/G1082*1000,"Erişilemedi")</x:f>
        <x:v>7360</x:v>
      </x:c>
      <x:c r="L1082" s="16" t="str">
        <x:v>Stokta</x:v>
      </x:c>
      <x:c r="M1082" s="16" t="str">
        <x:v>Tek köken/ürün</x:v>
      </x:c>
      <x:c r="N1082" s="16" t="str">
        <x:v>Shopify ürün akışı</x:v>
      </x:c>
      <x:c r="O1082" s="16" t="str">
        <x:v>Yüksek</x:v>
      </x:c>
      <x:c r="P1082" s="19" t="n">
        <x:v>46245</x:v>
      </x:c>
      <x:c r="Q1082" s="20" t="str">
        <x:v>https://www.montagcoffee.com/products/budget-bundle-1</x:v>
      </x:c>
      <x:c r="R1082" s="20" t="str">
        <x:v>Öğütüm seçenekleri aynı gramaj ve fiyatta tekilleştirildi.</x:v>
      </x:c>
    </x:row>
    <x:row r="1083" ht="40" customHeight="1">
      <x:c r="A1083" s="16" t="str">
        <x:v>Montag Coffee Roasters</x:v>
      </x:c>
      <x:c r="B1083" s="16" t="str">
        <x:v>İstanbul</x:v>
      </x:c>
      <x:c r="C1083" s="16" t="str">
        <x:v>Doğrulandı</x:v>
      </x:c>
      <x:c r="D1083" s="16" t="str">
        <x:v>Ürün kaydı</x:v>
      </x:c>
      <x:c r="E1083" s="16" t="str">
        <x:v>BUDGET BUNDLE 1</x:v>
      </x:c>
      <x:c r="F1083" s="16" t="str">
        <x:v>Etiyopya | Brezilya | Guatemala</x:v>
      </x:c>
      <x:c r="G1083" s="17" t="n">
        <x:v>250</x:v>
      </x:c>
      <x:c r="H1083" s="16" t="str">
        <x:v>Erişildi</x:v>
      </x:c>
      <x:c r="I1083" s="18" t="n">
        <x:v>3445</x:v>
      </x:c>
      <x:c r="J1083" s="18" t="str">
        <x:v>Erişildi</x:v>
      </x:c>
      <x:c r="K1083" s="18" t="n">
        <x:f>IF(AND(ISNUMBER(G1083),ISNUMBER(I1083)),I1083/G1083*1000,"Erişilemedi")</x:f>
        <x:v>13780</x:v>
      </x:c>
      <x:c r="L1083" s="16" t="str">
        <x:v>Stokta</x:v>
      </x:c>
      <x:c r="M1083" s="16" t="str">
        <x:v>Tek köken/ürün</x:v>
      </x:c>
      <x:c r="N1083" s="16" t="str">
        <x:v>Shopify ürün akışı</x:v>
      </x:c>
      <x:c r="O1083" s="16" t="str">
        <x:v>Yüksek</x:v>
      </x:c>
      <x:c r="P1083" s="19" t="n">
        <x:v>46245</x:v>
      </x:c>
      <x:c r="Q1083" s="20" t="str">
        <x:v>https://www.montagcoffee.com/products/budget-bundle-1</x:v>
      </x:c>
      <x:c r="R1083" s="20" t="str">
        <x:v>Öğütüm seçenekleri aynı gramaj ve fiyatta tekilleştirildi.</x:v>
      </x:c>
    </x:row>
    <x:row r="1084" ht="40" customHeight="1">
      <x:c r="A1084" s="16" t="str">
        <x:v>Montag Coffee Roasters</x:v>
      </x:c>
      <x:c r="B1084" s="16" t="str">
        <x:v>İstanbul</x:v>
      </x:c>
      <x:c r="C1084" s="16" t="str">
        <x:v>Doğrulandı</x:v>
      </x:c>
      <x:c r="D1084" s="16" t="str">
        <x:v>Ürün kaydı</x:v>
      </x:c>
      <x:c r="E1084" s="16" t="str">
        <x:v>BUDGET BUNDLE 2</x:v>
      </x:c>
      <x:c r="F1084" s="16" t="str">
        <x:v>Etiyopya | Brezilya | Guatemala</x:v>
      </x:c>
      <x:c r="G1084" s="17" t="n">
        <x:v>250</x:v>
      </x:c>
      <x:c r="H1084" s="16" t="str">
        <x:v>Erişildi</x:v>
      </x:c>
      <x:c r="I1084" s="18" t="n">
        <x:v>1840</x:v>
      </x:c>
      <x:c r="J1084" s="18" t="str">
        <x:v>Erişildi</x:v>
      </x:c>
      <x:c r="K1084" s="18" t="n">
        <x:f>IF(AND(ISNUMBER(G1084),ISNUMBER(I1084)),I1084/G1084*1000,"Erişilemedi")</x:f>
        <x:v>7360</x:v>
      </x:c>
      <x:c r="L1084" s="16" t="str">
        <x:v>Stokta</x:v>
      </x:c>
      <x:c r="M1084" s="16" t="str">
        <x:v>Tek köken/ürün</x:v>
      </x:c>
      <x:c r="N1084" s="16" t="str">
        <x:v>Shopify ürün akışı</x:v>
      </x:c>
      <x:c r="O1084" s="16" t="str">
        <x:v>Yüksek</x:v>
      </x:c>
      <x:c r="P1084" s="19" t="n">
        <x:v>46245</x:v>
      </x:c>
      <x:c r="Q1084" s="20" t="str">
        <x:v>https://www.montagcoffee.com/products/budget-bundle-2</x:v>
      </x:c>
      <x:c r="R1084" s="20" t="str">
        <x:v>Öğütüm seçenekleri aynı gramaj ve fiyatta tekilleştirildi.</x:v>
      </x:c>
    </x:row>
    <x:row r="1085" ht="40" customHeight="1">
      <x:c r="A1085" s="16" t="str">
        <x:v>Montag Coffee Roasters</x:v>
      </x:c>
      <x:c r="B1085" s="16" t="str">
        <x:v>İstanbul</x:v>
      </x:c>
      <x:c r="C1085" s="16" t="str">
        <x:v>Doğrulandı</x:v>
      </x:c>
      <x:c r="D1085" s="16" t="str">
        <x:v>Ürün kaydı</x:v>
      </x:c>
      <x:c r="E1085" s="16" t="str">
        <x:v>DESCAFECOL DECAF</x:v>
      </x:c>
      <x:c r="F1085" s="16" t="str">
        <x:v>Menşe belirtilmemiş</x:v>
      </x:c>
      <x:c r="G1085" s="17" t="n">
        <x:v>250</x:v>
      </x:c>
      <x:c r="H1085" s="16" t="str">
        <x:v>Erişildi</x:v>
      </x:c>
      <x:c r="I1085" s="18" t="n">
        <x:v>675</x:v>
      </x:c>
      <x:c r="J1085" s="18" t="str">
        <x:v>Erişildi</x:v>
      </x:c>
      <x:c r="K1085" s="18" t="n">
        <x:f>IF(AND(ISNUMBER(G1085),ISNUMBER(I1085)),I1085/G1085*1000,"Erişilemedi")</x:f>
        <x:v>2700</x:v>
      </x:c>
      <x:c r="L1085" s="16" t="str">
        <x:v>Stokta</x:v>
      </x:c>
      <x:c r="M1085" s="16" t="str">
        <x:v>Tek köken/ürün</x:v>
      </x:c>
      <x:c r="N1085" s="16" t="str">
        <x:v>Shopify ürün akışı</x:v>
      </x:c>
      <x:c r="O1085" s="16" t="str">
        <x:v>Yüksek</x:v>
      </x:c>
      <x:c r="P1085" s="19" t="n">
        <x:v>46245</x:v>
      </x:c>
      <x:c r="Q1085" s="20" t="str">
        <x:v>https://www.montagcoffee.com/products/descafecol-decaf</x:v>
      </x:c>
      <x:c r="R1085" s="20" t="str">
        <x:v>Öğütüm seçenekleri aynı gramaj ve fiyatta tekilleştirildi.</x:v>
      </x:c>
    </x:row>
    <x:row r="1086" ht="40" customHeight="1">
      <x:c r="A1086" s="16" t="str">
        <x:v>Montag Coffee Roasters</x:v>
      </x:c>
      <x:c r="B1086" s="16" t="str">
        <x:v>İstanbul</x:v>
      </x:c>
      <x:c r="C1086" s="16" t="str">
        <x:v>Doğrulandı</x:v>
      </x:c>
      <x:c r="D1086" s="16" t="str">
        <x:v>Ürün kaydı</x:v>
      </x:c>
      <x:c r="E1086" s="16" t="str">
        <x:v>DESCAFECOL DECAF</x:v>
      </x:c>
      <x:c r="F1086" s="16" t="str">
        <x:v>Menşe belirtilmemiş</x:v>
      </x:c>
      <x:c r="G1086" s="17" t="n">
        <x:v>1000</x:v>
      </x:c>
      <x:c r="H1086" s="16" t="str">
        <x:v>Erişildi</x:v>
      </x:c>
      <x:c r="I1086" s="18" t="n">
        <x:v>2410</x:v>
      </x:c>
      <x:c r="J1086" s="18" t="str">
        <x:v>Erişildi</x:v>
      </x:c>
      <x:c r="K1086" s="18" t="n">
        <x:f>IF(AND(ISNUMBER(G1086),ISNUMBER(I1086)),I1086/G1086*1000,"Erişilemedi")</x:f>
        <x:v>2410</x:v>
      </x:c>
      <x:c r="L1086" s="16" t="str">
        <x:v>Stokta</x:v>
      </x:c>
      <x:c r="M1086" s="16" t="str">
        <x:v>Tek köken/ürün</x:v>
      </x:c>
      <x:c r="N1086" s="16" t="str">
        <x:v>Shopify ürün akışı</x:v>
      </x:c>
      <x:c r="O1086" s="16" t="str">
        <x:v>Yüksek</x:v>
      </x:c>
      <x:c r="P1086" s="19" t="n">
        <x:v>46245</x:v>
      </x:c>
      <x:c r="Q1086" s="20" t="str">
        <x:v>https://www.montagcoffee.com/products/descafecol-decaf</x:v>
      </x:c>
      <x:c r="R1086" s="20" t="str">
        <x:v>Öğütüm seçenekleri aynı gramaj ve fiyatta tekilleştirildi.</x:v>
      </x:c>
    </x:row>
    <x:row r="1087" ht="40" customHeight="1">
      <x:c r="A1087" s="16" t="str">
        <x:v>Montag Coffee Roasters</x:v>
      </x:c>
      <x:c r="B1087" s="16" t="str">
        <x:v>İstanbul</x:v>
      </x:c>
      <x:c r="C1087" s="16" t="str">
        <x:v>Doğrulandı</x:v>
      </x:c>
      <x:c r="D1087" s="16" t="str">
        <x:v>Ürün kaydı</x:v>
      </x:c>
      <x:c r="E1087" s="16" t="str">
        <x:v>HARIO V60 DRIP HASSAS TARTI</x:v>
      </x:c>
      <x:c r="F1087" s="16" t="str">
        <x:v>Menşe belirtilmemiş</x:v>
      </x:c>
      <x:c r="G1087" s="17" t="str">
        <x:v>Erişilemedi</x:v>
      </x:c>
      <x:c r="H1087" s="16" t="str">
        <x:v>Erişilemedi</x:v>
      </x:c>
      <x:c r="I1087" s="18" t="str">
        <x:v>Erişilemedi</x:v>
      </x:c>
      <x:c r="J1087" s="18" t="str">
        <x:v>Erişilemedi</x:v>
      </x:c>
      <x:c r="K1087" s="18" t="str">
        <x:f>IF(AND(ISNUMBER(G1087),ISNUMBER(I1087)),I1087/G1087*1000,"Erişilemedi")</x:f>
        <x:v>Erişilemedi</x:v>
      </x:c>
      <x:c r="L1087" s="16" t="str">
        <x:v>Belirsiz</x:v>
      </x:c>
      <x:c r="M1087" s="16" t="str">
        <x:v>Kahve ürünü</x:v>
      </x:c>
      <x:c r="N1087" s="16" t="str">
        <x:v>Shopify ürün akışı</x:v>
      </x:c>
      <x:c r="O1087" s="16" t="str">
        <x:v>Orta</x:v>
      </x:c>
      <x:c r="P1087" s="19" t="n">
        <x:v>46245</x:v>
      </x:c>
      <x:c r="Q1087" s="20" t="str">
        <x:v>https://www.montagcoffee.com/products/hario-hassas-tarti</x:v>
      </x:c>
      <x:c r="R1087" s="20" t="str">
        <x:v>Satış varyantı erişilemedi.</x:v>
      </x:c>
    </x:row>
    <x:row r="1088" ht="40" customHeight="1">
      <x:c r="A1088" s="16" t="str">
        <x:v>Montag Coffee Roasters</x:v>
      </x:c>
      <x:c r="B1088" s="16" t="str">
        <x:v>İstanbul</x:v>
      </x:c>
      <x:c r="C1088" s="16" t="str">
        <x:v>Doğrulandı</x:v>
      </x:c>
      <x:c r="D1088" s="16" t="str">
        <x:v>Ürün kaydı</x:v>
      </x:c>
      <x:c r="E1088" s="16" t="str">
        <x:v>Hario Cold Brew Bottle (Mocca)</x:v>
      </x:c>
      <x:c r="F1088" s="16" t="str">
        <x:v>Menşe belirtilmemiş</x:v>
      </x:c>
      <x:c r="G1088" s="17" t="str">
        <x:v>Erişilemedi</x:v>
      </x:c>
      <x:c r="H1088" s="16" t="str">
        <x:v>Erişilemedi</x:v>
      </x:c>
      <x:c r="I1088" s="18" t="str">
        <x:v>Erişilemedi</x:v>
      </x:c>
      <x:c r="J1088" s="18" t="str">
        <x:v>Erişilemedi</x:v>
      </x:c>
      <x:c r="K1088" s="18" t="str">
        <x:f>IF(AND(ISNUMBER(G1088),ISNUMBER(I1088)),I1088/G1088*1000,"Erişilemedi")</x:f>
        <x:v>Erişilemedi</x:v>
      </x:c>
      <x:c r="L1088" s="16" t="str">
        <x:v>Belirsiz</x:v>
      </x:c>
      <x:c r="M1088" s="16" t="str">
        <x:v>Kahve ürünü</x:v>
      </x:c>
      <x:c r="N1088" s="16" t="str">
        <x:v>Shopify ürün akışı</x:v>
      </x:c>
      <x:c r="O1088" s="16" t="str">
        <x:v>Orta</x:v>
      </x:c>
      <x:c r="P1088" s="19" t="n">
        <x:v>46245</x:v>
      </x:c>
      <x:c r="Q1088" s="20" t="str">
        <x:v>https://www.montagcoffee.com/products/cold-brew-sisesi</x:v>
      </x:c>
      <x:c r="R1088" s="20" t="str">
        <x:v>Satış varyantı erişilemedi.</x:v>
      </x:c>
    </x:row>
    <x:row r="1089" ht="40" customHeight="1">
      <x:c r="A1089" s="16" t="str">
        <x:v>Montag Coffee Roasters</x:v>
      </x:c>
      <x:c r="B1089" s="16" t="str">
        <x:v>İstanbul</x:v>
      </x:c>
      <x:c r="C1089" s="16" t="str">
        <x:v>Doğrulandı</x:v>
      </x:c>
      <x:c r="D1089" s="16" t="str">
        <x:v>Ürün kaydı</x:v>
      </x:c>
      <x:c r="E1089" s="16" t="str">
        <x:v>LALESA</x:v>
      </x:c>
      <x:c r="F1089" s="16" t="str">
        <x:v>Etiyopya</x:v>
      </x:c>
      <x:c r="G1089" s="17" t="n">
        <x:v>250</x:v>
      </x:c>
      <x:c r="H1089" s="16" t="str">
        <x:v>Erişildi</x:v>
      </x:c>
      <x:c r="I1089" s="18" t="n">
        <x:v>740</x:v>
      </x:c>
      <x:c r="J1089" s="18" t="str">
        <x:v>Erişildi</x:v>
      </x:c>
      <x:c r="K1089" s="18" t="n">
        <x:f>IF(AND(ISNUMBER(G1089),ISNUMBER(I1089)),I1089/G1089*1000,"Erişilemedi")</x:f>
        <x:v>2960</x:v>
      </x:c>
      <x:c r="L1089" s="16" t="str">
        <x:v>Stokta</x:v>
      </x:c>
      <x:c r="M1089" s="16" t="str">
        <x:v>Tek köken/ürün</x:v>
      </x:c>
      <x:c r="N1089" s="16" t="str">
        <x:v>Shopify ürün akışı</x:v>
      </x:c>
      <x:c r="O1089" s="16" t="str">
        <x:v>Yüksek</x:v>
      </x:c>
      <x:c r="P1089" s="19" t="n">
        <x:v>46245</x:v>
      </x:c>
      <x:c r="Q1089" s="20" t="str">
        <x:v>https://www.montagcoffee.com/products/lalesa-1</x:v>
      </x:c>
      <x:c r="R1089" s="20" t="str">
        <x:v>Öğütüm seçenekleri aynı gramaj ve fiyatta tekilleştirildi.</x:v>
      </x:c>
    </x:row>
    <x:row r="1090" ht="40" customHeight="1">
      <x:c r="A1090" s="16" t="str">
        <x:v>Montag Coffee Roasters</x:v>
      </x:c>
      <x:c r="B1090" s="16" t="str">
        <x:v>İstanbul</x:v>
      </x:c>
      <x:c r="C1090" s="16" t="str">
        <x:v>Doğrulandı</x:v>
      </x:c>
      <x:c r="D1090" s="16" t="str">
        <x:v>Ürün kaydı</x:v>
      </x:c>
      <x:c r="E1090" s="16" t="str">
        <x:v>LALESA</x:v>
      </x:c>
      <x:c r="F1090" s="16" t="str">
        <x:v>Etiyopya</x:v>
      </x:c>
      <x:c r="G1090" s="17" t="n">
        <x:v>1000</x:v>
      </x:c>
      <x:c r="H1090" s="16" t="str">
        <x:v>Erişildi</x:v>
      </x:c>
      <x:c r="I1090" s="18" t="n">
        <x:v>2664</x:v>
      </x:c>
      <x:c r="J1090" s="18" t="str">
        <x:v>Erişildi</x:v>
      </x:c>
      <x:c r="K1090" s="18" t="n">
        <x:f>IF(AND(ISNUMBER(G1090),ISNUMBER(I1090)),I1090/G1090*1000,"Erişilemedi")</x:f>
        <x:v>2664</x:v>
      </x:c>
      <x:c r="L1090" s="16" t="str">
        <x:v>Stokta</x:v>
      </x:c>
      <x:c r="M1090" s="16" t="str">
        <x:v>Tek köken/ürün</x:v>
      </x:c>
      <x:c r="N1090" s="16" t="str">
        <x:v>Shopify ürün akışı</x:v>
      </x:c>
      <x:c r="O1090" s="16" t="str">
        <x:v>Yüksek</x:v>
      </x:c>
      <x:c r="P1090" s="19" t="n">
        <x:v>46245</x:v>
      </x:c>
      <x:c r="Q1090" s="20" t="str">
        <x:v>https://www.montagcoffee.com/products/lalesa-1</x:v>
      </x:c>
      <x:c r="R1090" s="20" t="str">
        <x:v>Öğütüm seçenekleri aynı gramaj ve fiyatta tekilleştirildi.</x:v>
      </x:c>
    </x:row>
    <x:row r="1091" ht="40" customHeight="1">
      <x:c r="A1091" s="16" t="str">
        <x:v>Montag Coffee Roasters</x:v>
      </x:c>
      <x:c r="B1091" s="16" t="str">
        <x:v>İstanbul</x:v>
      </x:c>
      <x:c r="C1091" s="16" t="str">
        <x:v>Doğrulandı</x:v>
      </x:c>
      <x:c r="D1091" s="16" t="str">
        <x:v>Ürün kaydı</x:v>
      </x:c>
      <x:c r="E1091" s="16" t="str">
        <x:v>LALESA KAPSÜL KAHVE</x:v>
      </x:c>
      <x:c r="F1091" s="16" t="str">
        <x:v>Etiyopya</x:v>
      </x:c>
      <x:c r="G1091" s="17" t="str">
        <x:v>Erişilemedi</x:v>
      </x:c>
      <x:c r="H1091" s="16" t="str">
        <x:v>Erişilemedi</x:v>
      </x:c>
      <x:c r="I1091" s="18" t="n">
        <x:v>175</x:v>
      </x:c>
      <x:c r="J1091" s="18" t="str">
        <x:v>Erişildi</x:v>
      </x:c>
      <x:c r="K1091" s="18" t="str">
        <x:f>IF(AND(ISNUMBER(G1091),ISNUMBER(I1091)),I1091/G1091*1000,"Erişilemedi")</x:f>
        <x:v>Erişilemedi</x:v>
      </x:c>
      <x:c r="L1091" s="16" t="str">
        <x:v>Stokta</x:v>
      </x:c>
      <x:c r="M1091" s="16" t="str">
        <x:v>Kahve ürünü</x:v>
      </x:c>
      <x:c r="N1091" s="16" t="str">
        <x:v>Shopify ürün akışı</x:v>
      </x:c>
      <x:c r="O1091" s="16" t="str">
        <x:v>Orta</x:v>
      </x:c>
      <x:c r="P1091" s="19" t="n">
        <x:v>46245</x:v>
      </x:c>
      <x:c r="Q1091" s="20" t="str">
        <x:v>https://www.montagcoffee.com/products/lalesa-kapsul-kahve</x:v>
      </x:c>
      <x:c r="R1091" s="20" t="str">
        <x:v>Öğütüm seçenekleri tekilleştirildi.</x:v>
      </x:c>
    </x:row>
    <x:row r="1092" ht="40" customHeight="1">
      <x:c r="A1092" s="16" t="str">
        <x:v>Montag Coffee Roasters</x:v>
      </x:c>
      <x:c r="B1092" s="16" t="str">
        <x:v>İstanbul</x:v>
      </x:c>
      <x:c r="C1092" s="16" t="str">
        <x:v>Doğrulandı</x:v>
      </x:c>
      <x:c r="D1092" s="16" t="str">
        <x:v>Ürün kaydı</x:v>
      </x:c>
      <x:c r="E1092" s="16" t="str">
        <x:v>LUNA</x:v>
      </x:c>
      <x:c r="F1092" s="16" t="str">
        <x:v>Etiyopya | Brezilya | Guatemala</x:v>
      </x:c>
      <x:c r="G1092" s="17" t="n">
        <x:v>250</x:v>
      </x:c>
      <x:c r="H1092" s="16" t="str">
        <x:v>Erişildi</x:v>
      </x:c>
      <x:c r="I1092" s="18" t="n">
        <x:v>540</x:v>
      </x:c>
      <x:c r="J1092" s="18" t="str">
        <x:v>Erişildi</x:v>
      </x:c>
      <x:c r="K1092" s="18" t="n">
        <x:f>IF(AND(ISNUMBER(G1092),ISNUMBER(I1092)),I1092/G1092*1000,"Erişilemedi")</x:f>
        <x:v>2160</x:v>
      </x:c>
      <x:c r="L1092" s="16" t="str">
        <x:v>Stokta</x:v>
      </x:c>
      <x:c r="M1092" s="16" t="str">
        <x:v>Tek köken/ürün</x:v>
      </x:c>
      <x:c r="N1092" s="16" t="str">
        <x:v>Shopify ürün akışı</x:v>
      </x:c>
      <x:c r="O1092" s="16" t="str">
        <x:v>Yüksek</x:v>
      </x:c>
      <x:c r="P1092" s="19" t="n">
        <x:v>46245</x:v>
      </x:c>
      <x:c r="Q1092" s="20" t="str">
        <x:v>https://www.montagcoffee.com/products/luna-espresso-kahve</x:v>
      </x:c>
      <x:c r="R1092" s="20" t="str">
        <x:v>Öğütüm seçenekleri aynı gramaj ve fiyatta tekilleştirildi.</x:v>
      </x:c>
    </x:row>
    <x:row r="1093" ht="40" customHeight="1">
      <x:c r="A1093" s="16" t="str">
        <x:v>Montag Coffee Roasters</x:v>
      </x:c>
      <x:c r="B1093" s="16" t="str">
        <x:v>İstanbul</x:v>
      </x:c>
      <x:c r="C1093" s="16" t="str">
        <x:v>Doğrulandı</x:v>
      </x:c>
      <x:c r="D1093" s="16" t="str">
        <x:v>Ürün kaydı</x:v>
      </x:c>
      <x:c r="E1093" s="16" t="str">
        <x:v>LUNA</x:v>
      </x:c>
      <x:c r="F1093" s="16" t="str">
        <x:v>Etiyopya | Brezilya | Guatemala</x:v>
      </x:c>
      <x:c r="G1093" s="17" t="n">
        <x:v>1000</x:v>
      </x:c>
      <x:c r="H1093" s="16" t="str">
        <x:v>Erişildi</x:v>
      </x:c>
      <x:c r="I1093" s="18" t="n">
        <x:v>1944</x:v>
      </x:c>
      <x:c r="J1093" s="18" t="str">
        <x:v>Erişildi</x:v>
      </x:c>
      <x:c r="K1093" s="18" t="n">
        <x:f>IF(AND(ISNUMBER(G1093),ISNUMBER(I1093)),I1093/G1093*1000,"Erişilemedi")</x:f>
        <x:v>1944</x:v>
      </x:c>
      <x:c r="L1093" s="16" t="str">
        <x:v>Stokta</x:v>
      </x:c>
      <x:c r="M1093" s="16" t="str">
        <x:v>Tek köken/ürün</x:v>
      </x:c>
      <x:c r="N1093" s="16" t="str">
        <x:v>Shopify ürün akışı</x:v>
      </x:c>
      <x:c r="O1093" s="16" t="str">
        <x:v>Yüksek</x:v>
      </x:c>
      <x:c r="P1093" s="19" t="n">
        <x:v>46245</x:v>
      </x:c>
      <x:c r="Q1093" s="20" t="str">
        <x:v>https://www.montagcoffee.com/products/luna-espresso-kahve</x:v>
      </x:c>
      <x:c r="R1093" s="20" t="str">
        <x:v>Öğütüm seçenekleri aynı gramaj ve fiyatta tekilleştirildi.</x:v>
      </x:c>
    </x:row>
    <x:row r="1094" ht="40" customHeight="1">
      <x:c r="A1094" s="16" t="str">
        <x:v>Montag Coffee Roasters</x:v>
      </x:c>
      <x:c r="B1094" s="16" t="str">
        <x:v>İstanbul</x:v>
      </x:c>
      <x:c r="C1094" s="16" t="str">
        <x:v>Doğrulandı</x:v>
      </x:c>
      <x:c r="D1094" s="16" t="str">
        <x:v>Ürün kaydı</x:v>
      </x:c>
      <x:c r="E1094" s="16" t="str">
        <x:v>LUNA DARK ROAST</x:v>
      </x:c>
      <x:c r="F1094" s="16" t="str">
        <x:v>Etiyopya | Brezilya | Guatemala</x:v>
      </x:c>
      <x:c r="G1094" s="17" t="n">
        <x:v>250</x:v>
      </x:c>
      <x:c r="H1094" s="16" t="str">
        <x:v>Erişildi</x:v>
      </x:c>
      <x:c r="I1094" s="18" t="n">
        <x:v>540</x:v>
      </x:c>
      <x:c r="J1094" s="18" t="str">
        <x:v>Erişildi</x:v>
      </x:c>
      <x:c r="K1094" s="18" t="n">
        <x:f>IF(AND(ISNUMBER(G1094),ISNUMBER(I1094)),I1094/G1094*1000,"Erişilemedi")</x:f>
        <x:v>2160</x:v>
      </x:c>
      <x:c r="L1094" s="16" t="str">
        <x:v>Stokta</x:v>
      </x:c>
      <x:c r="M1094" s="16" t="str">
        <x:v>Tek köken/ürün</x:v>
      </x:c>
      <x:c r="N1094" s="16" t="str">
        <x:v>Shopify ürün akışı</x:v>
      </x:c>
      <x:c r="O1094" s="16" t="str">
        <x:v>Yüksek</x:v>
      </x:c>
      <x:c r="P1094" s="19" t="n">
        <x:v>46245</x:v>
      </x:c>
      <x:c r="Q1094" s="20" t="str">
        <x:v>https://www.montagcoffee.com/products/luna-dark-roast-montag-coffee</x:v>
      </x:c>
      <x:c r="R1094" s="20" t="str">
        <x:v>Öğütüm seçenekleri aynı gramaj ve fiyatta tekilleştirildi.</x:v>
      </x:c>
    </x:row>
    <x:row r="1095" ht="40" customHeight="1">
      <x:c r="A1095" s="16" t="str">
        <x:v>Montag Coffee Roasters</x:v>
      </x:c>
      <x:c r="B1095" s="16" t="str">
        <x:v>İstanbul</x:v>
      </x:c>
      <x:c r="C1095" s="16" t="str">
        <x:v>Doğrulandı</x:v>
      </x:c>
      <x:c r="D1095" s="16" t="str">
        <x:v>Ürün kaydı</x:v>
      </x:c>
      <x:c r="E1095" s="16" t="str">
        <x:v>LUNA DARK ROAST</x:v>
      </x:c>
      <x:c r="F1095" s="16" t="str">
        <x:v>Etiyopya | Brezilya | Guatemala</x:v>
      </x:c>
      <x:c r="G1095" s="17" t="n">
        <x:v>1000</x:v>
      </x:c>
      <x:c r="H1095" s="16" t="str">
        <x:v>Erişildi</x:v>
      </x:c>
      <x:c r="I1095" s="18" t="n">
        <x:v>1944</x:v>
      </x:c>
      <x:c r="J1095" s="18" t="str">
        <x:v>Erişildi</x:v>
      </x:c>
      <x:c r="K1095" s="18" t="n">
        <x:f>IF(AND(ISNUMBER(G1095),ISNUMBER(I1095)),I1095/G1095*1000,"Erişilemedi")</x:f>
        <x:v>1944</x:v>
      </x:c>
      <x:c r="L1095" s="16" t="str">
        <x:v>Stokta</x:v>
      </x:c>
      <x:c r="M1095" s="16" t="str">
        <x:v>Tek köken/ürün</x:v>
      </x:c>
      <x:c r="N1095" s="16" t="str">
        <x:v>Shopify ürün akışı</x:v>
      </x:c>
      <x:c r="O1095" s="16" t="str">
        <x:v>Yüksek</x:v>
      </x:c>
      <x:c r="P1095" s="19" t="n">
        <x:v>46245</x:v>
      </x:c>
      <x:c r="Q1095" s="20" t="str">
        <x:v>https://www.montagcoffee.com/products/luna-dark-roast-montag-coffee</x:v>
      </x:c>
      <x:c r="R1095" s="20" t="str">
        <x:v>Öğütüm seçenekleri aynı gramaj ve fiyatta tekilleştirildi.</x:v>
      </x:c>
    </x:row>
    <x:row r="1096" ht="40" customHeight="1">
      <x:c r="A1096" s="16" t="str">
        <x:v>Montag Coffee Roasters</x:v>
      </x:c>
      <x:c r="B1096" s="16" t="str">
        <x:v>İstanbul</x:v>
      </x:c>
      <x:c r="C1096" s="16" t="str">
        <x:v>Doğrulandı</x:v>
      </x:c>
      <x:c r="D1096" s="16" t="str">
        <x:v>Ürün kaydı</x:v>
      </x:c>
      <x:c r="E1096" s="16" t="str">
        <x:v>MACIZO</x:v>
      </x:c>
      <x:c r="F1096" s="16" t="str">
        <x:v>Kolombiya | Ekvador</x:v>
      </x:c>
      <x:c r="G1096" s="17" t="n">
        <x:v>250</x:v>
      </x:c>
      <x:c r="H1096" s="16" t="str">
        <x:v>Erişildi</x:v>
      </x:c>
      <x:c r="I1096" s="18" t="n">
        <x:v>625</x:v>
      </x:c>
      <x:c r="J1096" s="18" t="str">
        <x:v>Erişildi</x:v>
      </x:c>
      <x:c r="K1096" s="18" t="n">
        <x:f>IF(AND(ISNUMBER(G1096),ISNUMBER(I1096)),I1096/G1096*1000,"Erişilemedi")</x:f>
        <x:v>2500</x:v>
      </x:c>
      <x:c r="L1096" s="16" t="str">
        <x:v>Stokta</x:v>
      </x:c>
      <x:c r="M1096" s="16" t="str">
        <x:v>Tek köken/ürün</x:v>
      </x:c>
      <x:c r="N1096" s="16" t="str">
        <x:v>Shopify ürün akışı</x:v>
      </x:c>
      <x:c r="O1096" s="16" t="str">
        <x:v>Yüksek</x:v>
      </x:c>
      <x:c r="P1096" s="19" t="n">
        <x:v>46245</x:v>
      </x:c>
      <x:c r="Q1096" s="20" t="str">
        <x:v>https://www.montagcoffee.com/products/macizo</x:v>
      </x:c>
      <x:c r="R1096" s="20" t="str">
        <x:v>Öğütüm seçenekleri aynı gramaj ve fiyatta tekilleştirildi.</x:v>
      </x:c>
    </x:row>
    <x:row r="1097" ht="40" customHeight="1">
      <x:c r="A1097" s="16" t="str">
        <x:v>Montag Coffee Roasters</x:v>
      </x:c>
      <x:c r="B1097" s="16" t="str">
        <x:v>İstanbul</x:v>
      </x:c>
      <x:c r="C1097" s="16" t="str">
        <x:v>Doğrulandı</x:v>
      </x:c>
      <x:c r="D1097" s="16" t="str">
        <x:v>Ürün kaydı</x:v>
      </x:c>
      <x:c r="E1097" s="16" t="str">
        <x:v>MACIZO</x:v>
      </x:c>
      <x:c r="F1097" s="16" t="str">
        <x:v>Kolombiya | Ekvador</x:v>
      </x:c>
      <x:c r="G1097" s="17" t="n">
        <x:v>1000</x:v>
      </x:c>
      <x:c r="H1097" s="16" t="str">
        <x:v>Erişildi</x:v>
      </x:c>
      <x:c r="I1097" s="18" t="n">
        <x:v>2250</x:v>
      </x:c>
      <x:c r="J1097" s="18" t="str">
        <x:v>Erişildi</x:v>
      </x:c>
      <x:c r="K1097" s="18" t="n">
        <x:f>IF(AND(ISNUMBER(G1097),ISNUMBER(I1097)),I1097/G1097*1000,"Erişilemedi")</x:f>
        <x:v>2250</x:v>
      </x:c>
      <x:c r="L1097" s="16" t="str">
        <x:v>Stokta</x:v>
      </x:c>
      <x:c r="M1097" s="16" t="str">
        <x:v>Tek köken/ürün</x:v>
      </x:c>
      <x:c r="N1097" s="16" t="str">
        <x:v>Shopify ürün akışı</x:v>
      </x:c>
      <x:c r="O1097" s="16" t="str">
        <x:v>Yüksek</x:v>
      </x:c>
      <x:c r="P1097" s="19" t="n">
        <x:v>46245</x:v>
      </x:c>
      <x:c r="Q1097" s="20" t="str">
        <x:v>https://www.montagcoffee.com/products/macizo</x:v>
      </x:c>
      <x:c r="R1097" s="20" t="str">
        <x:v>Öğütüm seçenekleri aynı gramaj ve fiyatta tekilleştirildi.</x:v>
      </x:c>
    </x:row>
    <x:row r="1098" ht="40" customHeight="1">
      <x:c r="A1098" s="16" t="str">
        <x:v>Montag Coffee Roasters</x:v>
      </x:c>
      <x:c r="B1098" s="16" t="str">
        <x:v>İstanbul</x:v>
      </x:c>
      <x:c r="C1098" s="16" t="str">
        <x:v>Doğrulandı</x:v>
      </x:c>
      <x:c r="D1098" s="16" t="str">
        <x:v>Ürün kaydı</x:v>
      </x:c>
      <x:c r="E1098" s="16" t="str">
        <x:v>OPAL GEISHA</x:v>
      </x:c>
      <x:c r="F1098" s="16" t="str">
        <x:v>Kolombiya</x:v>
      </x:c>
      <x:c r="G1098" s="17" t="n">
        <x:v>150</x:v>
      </x:c>
      <x:c r="H1098" s="16" t="str">
        <x:v>Erişildi</x:v>
      </x:c>
      <x:c r="I1098" s="18" t="n">
        <x:v>1290</x:v>
      </x:c>
      <x:c r="J1098" s="18" t="str">
        <x:v>Erişildi</x:v>
      </x:c>
      <x:c r="K1098" s="18" t="n">
        <x:f>IF(AND(ISNUMBER(G1098),ISNUMBER(I1098)),I1098/G1098*1000,"Erişilemedi")</x:f>
        <x:v>8600</x:v>
      </x:c>
      <x:c r="L1098" s="16" t="str">
        <x:v>Stokta</x:v>
      </x:c>
      <x:c r="M1098" s="16" t="str">
        <x:v>Tek köken/ürün</x:v>
      </x:c>
      <x:c r="N1098" s="16" t="str">
        <x:v>Shopify ürün akışı</x:v>
      </x:c>
      <x:c r="O1098" s="16" t="str">
        <x:v>Yüksek</x:v>
      </x:c>
      <x:c r="P1098" s="19" t="n">
        <x:v>46245</x:v>
      </x:c>
      <x:c r="Q1098" s="20" t="str">
        <x:v>https://www.montagcoffee.com/products/opal-geisha</x:v>
      </x:c>
      <x:c r="R1098" s="20" t="str">
        <x:v>Öğütüm seçenekleri aynı gramaj ve fiyatta tekilleştirildi.</x:v>
      </x:c>
    </x:row>
    <x:row r="1099" ht="40" customHeight="1">
      <x:c r="A1099" s="16" t="str">
        <x:v>Montag Coffee Roasters</x:v>
      </x:c>
      <x:c r="B1099" s="16" t="str">
        <x:v>İstanbul</x:v>
      </x:c>
      <x:c r="C1099" s="16" t="str">
        <x:v>Doğrulandı</x:v>
      </x:c>
      <x:c r="D1099" s="16" t="str">
        <x:v>Ürün kaydı</x:v>
      </x:c>
      <x:c r="E1099" s="16" t="str">
        <x:v>OPAL GEISHA</x:v>
      </x:c>
      <x:c r="F1099" s="16" t="str">
        <x:v>Kolombiya</x:v>
      </x:c>
      <x:c r="G1099" s="17" t="n">
        <x:v>150</x:v>
      </x:c>
      <x:c r="H1099" s="16" t="str">
        <x:v>Erişildi</x:v>
      </x:c>
      <x:c r="I1099" s="18" t="n">
        <x:v>1990</x:v>
      </x:c>
      <x:c r="J1099" s="18" t="str">
        <x:v>Erişildi</x:v>
      </x:c>
      <x:c r="K1099" s="18" t="n">
        <x:f>IF(AND(ISNUMBER(G1099),ISNUMBER(I1099)),I1099/G1099*1000,"Erişilemedi")</x:f>
        <x:v>13266.666666666668</x:v>
      </x:c>
      <x:c r="L1099" s="16" t="str">
        <x:v>Stokta</x:v>
      </x:c>
      <x:c r="M1099" s="16" t="str">
        <x:v>Tek köken/ürün</x:v>
      </x:c>
      <x:c r="N1099" s="16" t="str">
        <x:v>Shopify ürün akışı</x:v>
      </x:c>
      <x:c r="O1099" s="16" t="str">
        <x:v>Yüksek</x:v>
      </x:c>
      <x:c r="P1099" s="19" t="n">
        <x:v>46245</x:v>
      </x:c>
      <x:c r="Q1099" s="20" t="str">
        <x:v>https://www.montagcoffee.com/products/opal-geisha</x:v>
      </x:c>
      <x:c r="R1099" s="20" t="str">
        <x:v>Öğütüm seçenekleri aynı gramaj ve fiyatta tekilleştirildi.</x:v>
      </x:c>
    </x:row>
    <x:row r="1100" ht="40" customHeight="1">
      <x:c r="A1100" s="16" t="str">
        <x:v>Montag Coffee Roasters</x:v>
      </x:c>
      <x:c r="B1100" s="16" t="str">
        <x:v>İstanbul</x:v>
      </x:c>
      <x:c r="C1100" s="16" t="str">
        <x:v>Doğrulandı</x:v>
      </x:c>
      <x:c r="D1100" s="16" t="str">
        <x:v>Ürün kaydı</x:v>
      </x:c>
      <x:c r="E1100" s="16" t="str">
        <x:v>PANCHOY</x:v>
      </x:c>
      <x:c r="F1100" s="16" t="str">
        <x:v>Guatemala</x:v>
      </x:c>
      <x:c r="G1100" s="17" t="n">
        <x:v>250</x:v>
      </x:c>
      <x:c r="H1100" s="16" t="str">
        <x:v>Erişildi</x:v>
      </x:c>
      <x:c r="I1100" s="18" t="n">
        <x:v>590</x:v>
      </x:c>
      <x:c r="J1100" s="18" t="str">
        <x:v>Erişildi</x:v>
      </x:c>
      <x:c r="K1100" s="18" t="n">
        <x:f>IF(AND(ISNUMBER(G1100),ISNUMBER(I1100)),I1100/G1100*1000,"Erişilemedi")</x:f>
        <x:v>2360</x:v>
      </x:c>
      <x:c r="L1100" s="16" t="str">
        <x:v>Stokta</x:v>
      </x:c>
      <x:c r="M1100" s="16" t="str">
        <x:v>Tek köken/ürün</x:v>
      </x:c>
      <x:c r="N1100" s="16" t="str">
        <x:v>Shopify ürün akışı</x:v>
      </x:c>
      <x:c r="O1100" s="16" t="str">
        <x:v>Yüksek</x:v>
      </x:c>
      <x:c r="P1100" s="19" t="n">
        <x:v>46245</x:v>
      </x:c>
      <x:c r="Q1100" s="20" t="str">
        <x:v>https://www.montagcoffee.com/products/panchoy-1</x:v>
      </x:c>
      <x:c r="R1100" s="20" t="str">
        <x:v>Öğütüm seçenekleri aynı gramaj ve fiyatta tekilleştirildi.</x:v>
      </x:c>
    </x:row>
    <x:row r="1101" ht="40" customHeight="1">
      <x:c r="A1101" s="16" t="str">
        <x:v>Montag Coffee Roasters</x:v>
      </x:c>
      <x:c r="B1101" s="16" t="str">
        <x:v>İstanbul</x:v>
      </x:c>
      <x:c r="C1101" s="16" t="str">
        <x:v>Doğrulandı</x:v>
      </x:c>
      <x:c r="D1101" s="16" t="str">
        <x:v>Ürün kaydı</x:v>
      </x:c>
      <x:c r="E1101" s="16" t="str">
        <x:v>PANCHOY</x:v>
      </x:c>
      <x:c r="F1101" s="16" t="str">
        <x:v>Guatemala</x:v>
      </x:c>
      <x:c r="G1101" s="17" t="n">
        <x:v>1000</x:v>
      </x:c>
      <x:c r="H1101" s="16" t="str">
        <x:v>Erişildi</x:v>
      </x:c>
      <x:c r="I1101" s="18" t="n">
        <x:v>2124</x:v>
      </x:c>
      <x:c r="J1101" s="18" t="str">
        <x:v>Erişildi</x:v>
      </x:c>
      <x:c r="K1101" s="18" t="n">
        <x:f>IF(AND(ISNUMBER(G1101),ISNUMBER(I1101)),I1101/G1101*1000,"Erişilemedi")</x:f>
        <x:v>2124</x:v>
      </x:c>
      <x:c r="L1101" s="16" t="str">
        <x:v>Stokta</x:v>
      </x:c>
      <x:c r="M1101" s="16" t="str">
        <x:v>Tek köken/ürün</x:v>
      </x:c>
      <x:c r="N1101" s="16" t="str">
        <x:v>Shopify ürün akışı</x:v>
      </x:c>
      <x:c r="O1101" s="16" t="str">
        <x:v>Yüksek</x:v>
      </x:c>
      <x:c r="P1101" s="19" t="n">
        <x:v>46245</x:v>
      </x:c>
      <x:c r="Q1101" s="20" t="str">
        <x:v>https://www.montagcoffee.com/products/panchoy-1</x:v>
      </x:c>
      <x:c r="R1101" s="20" t="str">
        <x:v>Öğütüm seçenekleri aynı gramaj ve fiyatta tekilleştirildi.</x:v>
      </x:c>
    </x:row>
    <x:row r="1102" ht="40" customHeight="1">
      <x:c r="A1102" s="16" t="str">
        <x:v>Montag Coffee Roasters</x:v>
      </x:c>
      <x:c r="B1102" s="16" t="str">
        <x:v>İstanbul</x:v>
      </x:c>
      <x:c r="C1102" s="16" t="str">
        <x:v>Doğrulandı</x:v>
      </x:c>
      <x:c r="D1102" s="16" t="str">
        <x:v>Ürün kaydı</x:v>
      </x:c>
      <x:c r="E1102" s="16" t="str">
        <x:v>PINK LASSO</x:v>
      </x:c>
      <x:c r="F1102" s="16" t="str">
        <x:v>Kolombiya</x:v>
      </x:c>
      <x:c r="G1102" s="17" t="n">
        <x:v>250</x:v>
      </x:c>
      <x:c r="H1102" s="16" t="str">
        <x:v>Erişildi</x:v>
      </x:c>
      <x:c r="I1102" s="18" t="n">
        <x:v>1200</x:v>
      </x:c>
      <x:c r="J1102" s="18" t="str">
        <x:v>Erişildi</x:v>
      </x:c>
      <x:c r="K1102" s="18" t="n">
        <x:f>IF(AND(ISNUMBER(G1102),ISNUMBER(I1102)),I1102/G1102*1000,"Erişilemedi")</x:f>
        <x:v>4800</x:v>
      </x:c>
      <x:c r="L1102" s="16" t="str">
        <x:v>Stokta</x:v>
      </x:c>
      <x:c r="M1102" s="16" t="str">
        <x:v>Tek köken/ürün</x:v>
      </x:c>
      <x:c r="N1102" s="16" t="str">
        <x:v>Shopify ürün akışı</x:v>
      </x:c>
      <x:c r="O1102" s="16" t="str">
        <x:v>Yüksek</x:v>
      </x:c>
      <x:c r="P1102" s="19" t="n">
        <x:v>46245</x:v>
      </x:c>
      <x:c r="Q1102" s="20" t="str">
        <x:v>https://www.montagcoffee.com/products/pink-lasso</x:v>
      </x:c>
      <x:c r="R1102" s="20" t="str">
        <x:v>Öğütüm seçenekleri aynı gramaj ve fiyatta tekilleştirildi.</x:v>
      </x:c>
    </x:row>
    <x:row r="1103" ht="40" customHeight="1">
      <x:c r="A1103" s="16" t="str">
        <x:v>Montag Coffee Roasters</x:v>
      </x:c>
      <x:c r="B1103" s="16" t="str">
        <x:v>İstanbul</x:v>
      </x:c>
      <x:c r="C1103" s="16" t="str">
        <x:v>Doğrulandı</x:v>
      </x:c>
      <x:c r="D1103" s="16" t="str">
        <x:v>Ürün kaydı</x:v>
      </x:c>
      <x:c r="E1103" s="16" t="str">
        <x:v>PINK LASSO</x:v>
      </x:c>
      <x:c r="F1103" s="16" t="str">
        <x:v>Kolombiya</x:v>
      </x:c>
      <x:c r="G1103" s="17" t="n">
        <x:v>1000</x:v>
      </x:c>
      <x:c r="H1103" s="16" t="str">
        <x:v>Erişildi</x:v>
      </x:c>
      <x:c r="I1103" s="18" t="n">
        <x:v>3840</x:v>
      </x:c>
      <x:c r="J1103" s="18" t="str">
        <x:v>Erişildi</x:v>
      </x:c>
      <x:c r="K1103" s="18" t="n">
        <x:f>IF(AND(ISNUMBER(G1103),ISNUMBER(I1103)),I1103/G1103*1000,"Erişilemedi")</x:f>
        <x:v>3840</x:v>
      </x:c>
      <x:c r="L1103" s="16" t="str">
        <x:v>Stokta</x:v>
      </x:c>
      <x:c r="M1103" s="16" t="str">
        <x:v>Tek köken/ürün</x:v>
      </x:c>
      <x:c r="N1103" s="16" t="str">
        <x:v>Shopify ürün akışı</x:v>
      </x:c>
      <x:c r="O1103" s="16" t="str">
        <x:v>Yüksek</x:v>
      </x:c>
      <x:c r="P1103" s="19" t="n">
        <x:v>46245</x:v>
      </x:c>
      <x:c r="Q1103" s="20" t="str">
        <x:v>https://www.montagcoffee.com/products/pink-lasso</x:v>
      </x:c>
      <x:c r="R1103" s="20" t="str">
        <x:v>Öğütüm seçenekleri aynı gramaj ve fiyatta tekilleştirildi.</x:v>
      </x:c>
    </x:row>
    <x:row r="1104" ht="40" customHeight="1">
      <x:c r="A1104" s="16" t="str">
        <x:v>Montag Coffee Roasters</x:v>
      </x:c>
      <x:c r="B1104" s="16" t="str">
        <x:v>İstanbul</x:v>
      </x:c>
      <x:c r="C1104" s="16" t="str">
        <x:v>Doğrulandı</x:v>
      </x:c>
      <x:c r="D1104" s="16" t="str">
        <x:v>Ürün kaydı</x:v>
      </x:c>
      <x:c r="E1104" s="16" t="str">
        <x:v>RED VERGARA</x:v>
      </x:c>
      <x:c r="F1104" s="16" t="str">
        <x:v>Kolombiya</x:v>
      </x:c>
      <x:c r="G1104" s="17" t="n">
        <x:v>150</x:v>
      </x:c>
      <x:c r="H1104" s="16" t="str">
        <x:v>Erişildi</x:v>
      </x:c>
      <x:c r="I1104" s="18" t="n">
        <x:v>1100</x:v>
      </x:c>
      <x:c r="J1104" s="18" t="str">
        <x:v>Erişildi</x:v>
      </x:c>
      <x:c r="K1104" s="18" t="n">
        <x:f>IF(AND(ISNUMBER(G1104),ISNUMBER(I1104)),I1104/G1104*1000,"Erişilemedi")</x:f>
        <x:v>7333.333333333333</x:v>
      </x:c>
      <x:c r="L1104" s="16" t="str">
        <x:v>Stokta</x:v>
      </x:c>
      <x:c r="M1104" s="16" t="str">
        <x:v>Tek köken/ürün</x:v>
      </x:c>
      <x:c r="N1104" s="16" t="str">
        <x:v>Shopify ürün akışı</x:v>
      </x:c>
      <x:c r="O1104" s="16" t="str">
        <x:v>Yüksek</x:v>
      </x:c>
      <x:c r="P1104" s="19" t="n">
        <x:v>46245</x:v>
      </x:c>
      <x:c r="Q1104" s="20" t="str">
        <x:v>https://www.montagcoffee.com/products/red-vergara</x:v>
      </x:c>
      <x:c r="R1104" s="20" t="str">
        <x:v>Öğütüm seçenekleri aynı gramaj ve fiyatta tekilleştirildi.</x:v>
      </x:c>
    </x:row>
    <x:row r="1105" ht="40" customHeight="1">
      <x:c r="A1105" s="16" t="str">
        <x:v>Montag Coffee Roasters</x:v>
      </x:c>
      <x:c r="B1105" s="16" t="str">
        <x:v>İstanbul</x:v>
      </x:c>
      <x:c r="C1105" s="16" t="str">
        <x:v>Doğrulandı</x:v>
      </x:c>
      <x:c r="D1105" s="16" t="str">
        <x:v>Ürün kaydı</x:v>
      </x:c>
      <x:c r="E1105" s="16" t="str">
        <x:v>RED VERGARA</x:v>
      </x:c>
      <x:c r="F1105" s="16" t="str">
        <x:v>Kolombiya</x:v>
      </x:c>
      <x:c r="G1105" s="17" t="n">
        <x:v>150</x:v>
      </x:c>
      <x:c r="H1105" s="16" t="str">
        <x:v>Erişildi</x:v>
      </x:c>
      <x:c r="I1105" s="18" t="n">
        <x:v>1870</x:v>
      </x:c>
      <x:c r="J1105" s="18" t="str">
        <x:v>Erişildi</x:v>
      </x:c>
      <x:c r="K1105" s="18" t="n">
        <x:f>IF(AND(ISNUMBER(G1105),ISNUMBER(I1105)),I1105/G1105*1000,"Erişilemedi")</x:f>
        <x:v>12466.666666666666</x:v>
      </x:c>
      <x:c r="L1105" s="16" t="str">
        <x:v>Stokta</x:v>
      </x:c>
      <x:c r="M1105" s="16" t="str">
        <x:v>Tek köken/ürün</x:v>
      </x:c>
      <x:c r="N1105" s="16" t="str">
        <x:v>Shopify ürün akışı</x:v>
      </x:c>
      <x:c r="O1105" s="16" t="str">
        <x:v>Yüksek</x:v>
      </x:c>
      <x:c r="P1105" s="19" t="n">
        <x:v>46245</x:v>
      </x:c>
      <x:c r="Q1105" s="20" t="str">
        <x:v>https://www.montagcoffee.com/products/red-vergara</x:v>
      </x:c>
      <x:c r="R1105" s="20" t="str">
        <x:v>Öğütüm seçenekleri aynı gramaj ve fiyatta tekilleştirildi.</x:v>
      </x:c>
    </x:row>
    <x:row r="1106" ht="40" customHeight="1">
      <x:c r="A1106" s="16" t="str">
        <x:v>Montag Coffee Roasters</x:v>
      </x:c>
      <x:c r="B1106" s="16" t="str">
        <x:v>İstanbul</x:v>
      </x:c>
      <x:c r="C1106" s="16" t="str">
        <x:v>Doğrulandı</x:v>
      </x:c>
      <x:c r="D1106" s="16" t="str">
        <x:v>Ürün kaydı</x:v>
      </x:c>
      <x:c r="E1106" s="16" t="str">
        <x:v>WATERMELON</x:v>
      </x:c>
      <x:c r="F1106" s="16" t="str">
        <x:v>Kolombiya</x:v>
      </x:c>
      <x:c r="G1106" s="17" t="n">
        <x:v>150</x:v>
      </x:c>
      <x:c r="H1106" s="16" t="str">
        <x:v>Erişildi</x:v>
      </x:c>
      <x:c r="I1106" s="18" t="n">
        <x:v>990</x:v>
      </x:c>
      <x:c r="J1106" s="18" t="str">
        <x:v>Erişildi</x:v>
      </x:c>
      <x:c r="K1106" s="18" t="n">
        <x:f>IF(AND(ISNUMBER(G1106),ISNUMBER(I1106)),I1106/G1106*1000,"Erişilemedi")</x:f>
        <x:v>6600</x:v>
      </x:c>
      <x:c r="L1106" s="16" t="str">
        <x:v>Stokta</x:v>
      </x:c>
      <x:c r="M1106" s="16" t="str">
        <x:v>Tek köken/ürün</x:v>
      </x:c>
      <x:c r="N1106" s="16" t="str">
        <x:v>Shopify ürün akışı</x:v>
      </x:c>
      <x:c r="O1106" s="16" t="str">
        <x:v>Yüksek</x:v>
      </x:c>
      <x:c r="P1106" s="19" t="n">
        <x:v>46245</x:v>
      </x:c>
      <x:c r="Q1106" s="20" t="str">
        <x:v>https://www.montagcoffee.com/products/watermelon</x:v>
      </x:c>
      <x:c r="R1106" s="20" t="str">
        <x:v>Öğütüm seçenekleri aynı gramaj ve fiyatta tekilleştirildi.</x:v>
      </x:c>
    </x:row>
    <x:row r="1107" ht="40" customHeight="1">
      <x:c r="A1107" s="16" t="str">
        <x:v>Montag Coffee Roasters</x:v>
      </x:c>
      <x:c r="B1107" s="16" t="str">
        <x:v>İstanbul</x:v>
      </x:c>
      <x:c r="C1107" s="16" t="str">
        <x:v>Doğrulandı</x:v>
      </x:c>
      <x:c r="D1107" s="16" t="str">
        <x:v>Ürün kaydı</x:v>
      </x:c>
      <x:c r="E1107" s="16" t="str">
        <x:v>WATERMELON</x:v>
      </x:c>
      <x:c r="F1107" s="16" t="str">
        <x:v>Kolombiya</x:v>
      </x:c>
      <x:c r="G1107" s="17" t="n">
        <x:v>150</x:v>
      </x:c>
      <x:c r="H1107" s="16" t="str">
        <x:v>Erişildi</x:v>
      </x:c>
      <x:c r="I1107" s="18" t="n">
        <x:v>1680</x:v>
      </x:c>
      <x:c r="J1107" s="18" t="str">
        <x:v>Erişildi</x:v>
      </x:c>
      <x:c r="K1107" s="18" t="n">
        <x:f>IF(AND(ISNUMBER(G1107),ISNUMBER(I1107)),I1107/G1107*1000,"Erişilemedi")</x:f>
        <x:v>11200</x:v>
      </x:c>
      <x:c r="L1107" s="16" t="str">
        <x:v>Stokta</x:v>
      </x:c>
      <x:c r="M1107" s="16" t="str">
        <x:v>Tek köken/ürün</x:v>
      </x:c>
      <x:c r="N1107" s="16" t="str">
        <x:v>Shopify ürün akışı</x:v>
      </x:c>
      <x:c r="O1107" s="16" t="str">
        <x:v>Yüksek</x:v>
      </x:c>
      <x:c r="P1107" s="19" t="n">
        <x:v>46245</x:v>
      </x:c>
      <x:c r="Q1107" s="20" t="str">
        <x:v>https://www.montagcoffee.com/products/watermelon</x:v>
      </x:c>
      <x:c r="R1107" s="20" t="str">
        <x:v>Öğütüm seçenekleri aynı gramaj ve fiyatta tekilleştirildi.</x:v>
      </x:c>
    </x:row>
    <x:row r="1108" ht="40" customHeight="1">
      <x:c r="A1108" s="16" t="str">
        <x:v>Montag Coffee Roasters</x:v>
      </x:c>
      <x:c r="B1108" s="16" t="str">
        <x:v>İstanbul</x:v>
      </x:c>
      <x:c r="C1108" s="16" t="str">
        <x:v>Doğrulandı</x:v>
      </x:c>
      <x:c r="D1108" s="16" t="str">
        <x:v>Ürün kaydı</x:v>
      </x:c>
      <x:c r="E1108" s="16" t="str">
        <x:v>YELLOW LASSO</x:v>
      </x:c>
      <x:c r="F1108" s="16" t="str">
        <x:v>Kolombiya | Brezilya</x:v>
      </x:c>
      <x:c r="G1108" s="17" t="n">
        <x:v>250</x:v>
      </x:c>
      <x:c r="H1108" s="16" t="str">
        <x:v>Erişildi</x:v>
      </x:c>
      <x:c r="I1108" s="18" t="n">
        <x:v>1250</x:v>
      </x:c>
      <x:c r="J1108" s="18" t="str">
        <x:v>Erişildi</x:v>
      </x:c>
      <x:c r="K1108" s="18" t="n">
        <x:f>IF(AND(ISNUMBER(G1108),ISNUMBER(I1108)),I1108/G1108*1000,"Erişilemedi")</x:f>
        <x:v>5000</x:v>
      </x:c>
      <x:c r="L1108" s="16" t="str">
        <x:v>Stokta</x:v>
      </x:c>
      <x:c r="M1108" s="16" t="str">
        <x:v>Tek köken/ürün</x:v>
      </x:c>
      <x:c r="N1108" s="16" t="str">
        <x:v>Shopify ürün akışı</x:v>
      </x:c>
      <x:c r="O1108" s="16" t="str">
        <x:v>Yüksek</x:v>
      </x:c>
      <x:c r="P1108" s="19" t="n">
        <x:v>46245</x:v>
      </x:c>
      <x:c r="Q1108" s="20" t="str">
        <x:v>https://www.montagcoffee.com/products/yellow-lasso</x:v>
      </x:c>
      <x:c r="R1108" s="20" t="str">
        <x:v>Öğütüm seçenekleri aynı gramaj ve fiyatta tekilleştirildi.</x:v>
      </x:c>
    </x:row>
    <x:row r="1109" ht="40" customHeight="1">
      <x:c r="A1109" s="16" t="str">
        <x:v>Montag Coffee Roasters</x:v>
      </x:c>
      <x:c r="B1109" s="16" t="str">
        <x:v>İstanbul</x:v>
      </x:c>
      <x:c r="C1109" s="16" t="str">
        <x:v>Doğrulandı</x:v>
      </x:c>
      <x:c r="D1109" s="16" t="str">
        <x:v>Ürün kaydı</x:v>
      </x:c>
      <x:c r="E1109" s="16" t="str">
        <x:v>YELLOW LASSO</x:v>
      </x:c>
      <x:c r="F1109" s="16" t="str">
        <x:v>Kolombiya | Brezilya</x:v>
      </x:c>
      <x:c r="G1109" s="17" t="n">
        <x:v>250</x:v>
      </x:c>
      <x:c r="H1109" s="16" t="str">
        <x:v>Erişildi</x:v>
      </x:c>
      <x:c r="I1109" s="18" t="n">
        <x:v>2125</x:v>
      </x:c>
      <x:c r="J1109" s="18" t="str">
        <x:v>Erişildi</x:v>
      </x:c>
      <x:c r="K1109" s="18" t="n">
        <x:f>IF(AND(ISNUMBER(G1109),ISNUMBER(I1109)),I1109/G1109*1000,"Erişilemedi")</x:f>
        <x:v>8500</x:v>
      </x:c>
      <x:c r="L1109" s="16" t="str">
        <x:v>Stokta</x:v>
      </x:c>
      <x:c r="M1109" s="16" t="str">
        <x:v>Tek köken/ürün</x:v>
      </x:c>
      <x:c r="N1109" s="16" t="str">
        <x:v>Shopify ürün akışı</x:v>
      </x:c>
      <x:c r="O1109" s="16" t="str">
        <x:v>Yüksek</x:v>
      </x:c>
      <x:c r="P1109" s="19" t="n">
        <x:v>46245</x:v>
      </x:c>
      <x:c r="Q1109" s="20" t="str">
        <x:v>https://www.montagcoffee.com/products/yellow-lasso</x:v>
      </x:c>
      <x:c r="R1109" s="20" t="str">
        <x:v>Öğütüm seçenekleri aynı gramaj ve fiyatta tekilleştirildi.</x:v>
      </x:c>
    </x:row>
    <x:row r="1110" ht="40" customHeight="1">
      <x:c r="A1110" s="16" t="str">
        <x:v>Montag Coffee Roasters</x:v>
      </x:c>
      <x:c r="B1110" s="16" t="str">
        <x:v>İstanbul</x:v>
      </x:c>
      <x:c r="C1110" s="16" t="str">
        <x:v>Doğrulandı</x:v>
      </x:c>
      <x:c r="D1110" s="16" t="str">
        <x:v>Ürün kaydı</x:v>
      </x:c>
      <x:c r="E1110" s="16" t="str">
        <x:v>YELLOW LASSO</x:v>
      </x:c>
      <x:c r="F1110" s="16" t="str">
        <x:v>Kolombiya | Brezilya</x:v>
      </x:c>
      <x:c r="G1110" s="17" t="n">
        <x:v>1000</x:v>
      </x:c>
      <x:c r="H1110" s="16" t="str">
        <x:v>Erişildi</x:v>
      </x:c>
      <x:c r="I1110" s="18" t="n">
        <x:v>3990</x:v>
      </x:c>
      <x:c r="J1110" s="18" t="str">
        <x:v>Erişildi</x:v>
      </x:c>
      <x:c r="K1110" s="18" t="n">
        <x:f>IF(AND(ISNUMBER(G1110),ISNUMBER(I1110)),I1110/G1110*1000,"Erişilemedi")</x:f>
        <x:v>3990</x:v>
      </x:c>
      <x:c r="L1110" s="16" t="str">
        <x:v>Stokta</x:v>
      </x:c>
      <x:c r="M1110" s="16" t="str">
        <x:v>Tek köken/ürün</x:v>
      </x:c>
      <x:c r="N1110" s="16" t="str">
        <x:v>Shopify ürün akışı</x:v>
      </x:c>
      <x:c r="O1110" s="16" t="str">
        <x:v>Yüksek</x:v>
      </x:c>
      <x:c r="P1110" s="19" t="n">
        <x:v>46245</x:v>
      </x:c>
      <x:c r="Q1110" s="20" t="str">
        <x:v>https://www.montagcoffee.com/products/yellow-lasso</x:v>
      </x:c>
      <x:c r="R1110" s="20" t="str">
        <x:v>Öğütüm seçenekleri aynı gramaj ve fiyatta tekilleştirildi.</x:v>
      </x:c>
    </x:row>
    <x:row r="1111" ht="40" customHeight="1">
      <x:c r="A1111" s="16" t="str">
        <x:v>Nish Kahve</x:v>
      </x:c>
      <x:c r="B1111" s="16" t="str"/>
      <x:c r="C1111" s="16" t="str">
        <x:v>Kısmi doğrulama</x:v>
      </x:c>
      <x:c r="D1111" s="16" t="str">
        <x:v>Katalog takip kaydı</x:v>
      </x:c>
      <x:c r="E1111" s="16" t="str">
        <x:v>Ürün kataloğu — ayrıntılı ürün verisine erişilemedi</x:v>
      </x:c>
      <x:c r="F1111" s="16" t="str">
        <x:v>Erişilemedi</x:v>
      </x:c>
      <x:c r="G1111" s="17" t="str">
        <x:v>Erişilemedi</x:v>
      </x:c>
      <x:c r="H1111" s="16" t="str">
        <x:v>Erişilemedi</x:v>
      </x:c>
      <x:c r="I1111" s="18" t="str">
        <x:v>Erişilemedi</x:v>
      </x:c>
      <x:c r="J1111" s="18" t="str">
        <x:v>Erişilemedi</x:v>
      </x:c>
      <x:c r="K1111" s="18" t="str">
        <x:f>IF(AND(ISNUMBER(G1111),ISNUMBER(I1111)),I1111/G1111*1000,"Erişilemedi")</x:f>
        <x:v>Erişilemedi</x:v>
      </x:c>
      <x:c r="L1111" s="16" t="str">
        <x:v>Erişilemedi</x:v>
      </x:c>
      <x:c r="M1111" s="16" t="str">
        <x:v>Katalog/takip kaydı</x:v>
      </x:c>
      <x:c r="N1111" s="16" t="str">
        <x:v>Instagram veya mevcut kaynak</x:v>
      </x:c>
      <x:c r="O1111" s="16" t="str">
        <x:v>Takip gerekli</x:v>
      </x:c>
      <x:c r="P1111" s="19" t="n">
        <x:v>46245</x:v>
      </x:c>
      <x:c r="Q1111" s="20" t="str">
        <x:v>Erişilemedi</x:v>
      </x:c>
      <x:c r="R1111" s="20" t="str">
        <x:v>Ürün adı, gramaj ve fiyat birlikte çıkarılamadı. Bağlantı manuel inceleme için korundu.</x:v>
      </x:c>
    </x:row>
    <x:row r="1112" ht="40" customHeight="1">
      <x:c r="A1112" s="16" t="str">
        <x:v>Nitka Coffee</x:v>
      </x:c>
      <x:c r="B1112" s="16" t="str">
        <x:v>Ankara</x:v>
      </x:c>
      <x:c r="C1112" s="16" t="str">
        <x:v>Kısmi doğrulama</x:v>
      </x:c>
      <x:c r="D1112" s="16" t="str">
        <x:v>Katalog takip kaydı</x:v>
      </x:c>
      <x:c r="E1112" s="16" t="str">
        <x:v>Ürün kataloğu — ayrıntılı ürün verisine erişilemedi</x:v>
      </x:c>
      <x:c r="F1112" s="16" t="str">
        <x:v>Erişilemedi</x:v>
      </x:c>
      <x:c r="G1112" s="17" t="str">
        <x:v>Erişilemedi</x:v>
      </x:c>
      <x:c r="H1112" s="16" t="str">
        <x:v>Erişilemedi</x:v>
      </x:c>
      <x:c r="I1112" s="18" t="str">
        <x:v>Erişilemedi</x:v>
      </x:c>
      <x:c r="J1112" s="18" t="str">
        <x:v>Erişilemedi</x:v>
      </x:c>
      <x:c r="K1112" s="18" t="str">
        <x:f>IF(AND(ISNUMBER(G1112),ISNUMBER(I1112)),I1112/G1112*1000,"Erişilemedi")</x:f>
        <x:v>Erişilemedi</x:v>
      </x:c>
      <x:c r="L1112" s="16" t="str">
        <x:v>Erişilemedi</x:v>
      </x:c>
      <x:c r="M1112" s="16" t="str">
        <x:v>Katalog/takip kaydı</x:v>
      </x:c>
      <x:c r="N1112" s="16" t="str">
        <x:v>Instagram veya mevcut kaynak</x:v>
      </x:c>
      <x:c r="O1112" s="16" t="str">
        <x:v>Takip gerekli</x:v>
      </x:c>
      <x:c r="P1112" s="19" t="n">
        <x:v>46245</x:v>
      </x:c>
      <x:c r="Q1112" s="20" t="str">
        <x:v>Erişilemedi</x:v>
      </x:c>
      <x:c r="R1112" s="20" t="str">
        <x:v>Ürün adı, gramaj ve fiyat birlikte çıkarılamadı. Bağlantı manuel inceleme için korundu.</x:v>
      </x:c>
    </x:row>
    <x:row r="1113" ht="40" customHeight="1">
      <x:c r="A1113" s="16" t="str">
        <x:v>Noite Coffee</x:v>
      </x:c>
      <x:c r="B1113" s="16" t="str">
        <x:v>İstanbul</x:v>
      </x:c>
      <x:c r="C1113" s="16" t="str">
        <x:v>Doğrulandı</x:v>
      </x:c>
      <x:c r="D1113" s="16" t="str">
        <x:v>Ürün kaydı</x:v>
      </x:c>
      <x:c r="E1113" s="16" t="str">
        <x:v>Colombia, El Progreso Washed Carbonic Maceration | Noite Coffee Roaster</x:v>
      </x:c>
      <x:c r="F1113" s="16" t="str">
        <x:v>Kolombiya</x:v>
      </x:c>
      <x:c r="G1113" s="17" t="str">
        <x:v>Erişilemedi</x:v>
      </x:c>
      <x:c r="H1113" s="16" t="str">
        <x:v>Erişilemedi</x:v>
      </x:c>
      <x:c r="I1113" s="18" t="n">
        <x:v>0</x:v>
      </x:c>
      <x:c r="J1113" s="18" t="str">
        <x:v>Erişilemedi</x:v>
      </x:c>
      <x:c r="K1113" s="18" t="str">
        <x:f>IF(AND(ISNUMBER(G1113),ISNUMBER(I1113)),I1113/G1113*1000,"Erişilemedi")</x:f>
        <x:v>Erişilemedi</x:v>
      </x:c>
      <x:c r="L1113" s="16" t="str">
        <x:v>Belirsiz</x:v>
      </x:c>
      <x:c r="M1113" s="16" t="str">
        <x:v>Kahve ürünü</x:v>
      </x:c>
      <x:c r="N1113" s="16" t="str">
        <x:v>Site haritası ürün sayfası</x:v>
      </x:c>
      <x:c r="O1113" s="16" t="str">
        <x:v>Düşük</x:v>
      </x:c>
      <x:c r="P1113" s="19" t="n">
        <x:v>46245</x:v>
      </x:c>
      <x:c r="Q1113" s="20" t="str">
        <x:v>https://www.noitecoffee.com/product-page/colombia-el-progreso-washed-carbonic-maceration</x:v>
      </x:c>
      <x:c r="R1113" s="20" t="str">
        <x:v>Ürün kimliği korundu; eksik alanlar erişilemedi olarak işaretlenecek.</x:v>
      </x:c>
    </x:row>
    <x:row r="1114" ht="40" customHeight="1">
      <x:c r="A1114" s="16" t="str">
        <x:v>Noite Coffee</x:v>
      </x:c>
      <x:c r="B1114" s="16" t="str">
        <x:v>İstanbul</x:v>
      </x:c>
      <x:c r="C1114" s="16" t="str">
        <x:v>Doğrulandı</x:v>
      </x:c>
      <x:c r="D1114" s="16" t="str">
        <x:v>Ürün kaydı</x:v>
      </x:c>
      <x:c r="E1114" s="16" t="str">
        <x:v>Colombia, La Loma Sidra Cold Fermentation | Noite Coffee Roaster</x:v>
      </x:c>
      <x:c r="F1114" s="16" t="str">
        <x:v>Kolombiya</x:v>
      </x:c>
      <x:c r="G1114" s="17" t="str">
        <x:v>Erişilemedi</x:v>
      </x:c>
      <x:c r="H1114" s="16" t="str">
        <x:v>Erişilemedi</x:v>
      </x:c>
      <x:c r="I1114" s="18" t="n">
        <x:v>0</x:v>
      </x:c>
      <x:c r="J1114" s="18" t="str">
        <x:v>Erişilemedi</x:v>
      </x:c>
      <x:c r="K1114" s="18" t="str">
        <x:f>IF(AND(ISNUMBER(G1114),ISNUMBER(I1114)),I1114/G1114*1000,"Erişilemedi")</x:f>
        <x:v>Erişilemedi</x:v>
      </x:c>
      <x:c r="L1114" s="16" t="str">
        <x:v>Belirsiz</x:v>
      </x:c>
      <x:c r="M1114" s="16" t="str">
        <x:v>Kahve ürünü</x:v>
      </x:c>
      <x:c r="N1114" s="16" t="str">
        <x:v>Site haritası ürün sayfası</x:v>
      </x:c>
      <x:c r="O1114" s="16" t="str">
        <x:v>Düşük</x:v>
      </x:c>
      <x:c r="P1114" s="19" t="n">
        <x:v>46245</x:v>
      </x:c>
      <x:c r="Q1114" s="20" t="str">
        <x:v>https://www.noitecoffee.com/product-page/colombia-monteblanco-sidra</x:v>
      </x:c>
      <x:c r="R1114" s="20" t="str">
        <x:v>Ürün kimliği korundu; eksik alanlar erişilemedi olarak işaretlenecek.</x:v>
      </x:c>
    </x:row>
    <x:row r="1115" ht="40" customHeight="1">
      <x:c r="A1115" s="16" t="str">
        <x:v>Noite Coffee</x:v>
      </x:c>
      <x:c r="B1115" s="16" t="str">
        <x:v>İstanbul</x:v>
      </x:c>
      <x:c r="C1115" s="16" t="str">
        <x:v>Doğrulandı</x:v>
      </x:c>
      <x:c r="D1115" s="16" t="str">
        <x:v>Ürün kaydı</x:v>
      </x:c>
      <x:c r="E1115" s="16" t="str">
        <x:v>Ethiopia, Bochesa Washed | Noite Coffee Roaster</x:v>
      </x:c>
      <x:c r="F1115" s="16" t="str">
        <x:v>Etiyopya</x:v>
      </x:c>
      <x:c r="G1115" s="17" t="str">
        <x:v>Erişilemedi</x:v>
      </x:c>
      <x:c r="H1115" s="16" t="str">
        <x:v>Erişilemedi</x:v>
      </x:c>
      <x:c r="I1115" s="18" t="n">
        <x:v>0</x:v>
      </x:c>
      <x:c r="J1115" s="18" t="str">
        <x:v>Erişilemedi</x:v>
      </x:c>
      <x:c r="K1115" s="18" t="str">
        <x:f>IF(AND(ISNUMBER(G1115),ISNUMBER(I1115)),I1115/G1115*1000,"Erişilemedi")</x:f>
        <x:v>Erişilemedi</x:v>
      </x:c>
      <x:c r="L1115" s="16" t="str">
        <x:v>Belirsiz</x:v>
      </x:c>
      <x:c r="M1115" s="16" t="str">
        <x:v>Kahve ürünü</x:v>
      </x:c>
      <x:c r="N1115" s="16" t="str">
        <x:v>Site haritası ürün sayfası</x:v>
      </x:c>
      <x:c r="O1115" s="16" t="str">
        <x:v>Düşük</x:v>
      </x:c>
      <x:c r="P1115" s="19" t="n">
        <x:v>46245</x:v>
      </x:c>
      <x:c r="Q1115" s="20" t="str">
        <x:v>https://www.noitecoffee.com/product-page/ethiopa-bochesa</x:v>
      </x:c>
      <x:c r="R1115" s="20" t="str">
        <x:v>Ürün kimliği korundu; eksik alanlar erişilemedi olarak işaretlenecek.</x:v>
      </x:c>
    </x:row>
    <x:row r="1116" ht="40" customHeight="1">
      <x:c r="A1116" s="16" t="str">
        <x:v>Noite Coffee</x:v>
      </x:c>
      <x:c r="B1116" s="16" t="str">
        <x:v>İstanbul</x:v>
      </x:c>
      <x:c r="C1116" s="16" t="str">
        <x:v>Doğrulandı</x:v>
      </x:c>
      <x:c r="D1116" s="16" t="str">
        <x:v>Ürün kaydı</x:v>
      </x:c>
      <x:c r="E1116" s="16" t="str">
        <x:v>Kahve İşleme Yöntemlerini Keşfedin</x:v>
      </x:c>
      <x:c r="F1116" s="16" t="str">
        <x:v>Etiyopya</x:v>
      </x:c>
      <x:c r="G1116" s="17" t="str">
        <x:v>Erişilemedi</x:v>
      </x:c>
      <x:c r="H1116" s="16" t="str">
        <x:v>Erişilemedi</x:v>
      </x:c>
      <x:c r="I1116" s="18" t="n">
        <x:v>0</x:v>
      </x:c>
      <x:c r="J1116" s="18" t="str">
        <x:v>Erişilemedi</x:v>
      </x:c>
      <x:c r="K1116" s="18" t="str">
        <x:f>IF(AND(ISNUMBER(G1116),ISNUMBER(I1116)),I1116/G1116*1000,"Erişilemedi")</x:f>
        <x:v>Erişilemedi</x:v>
      </x:c>
      <x:c r="L1116" s="16" t="str">
        <x:v>Belirsiz</x:v>
      </x:c>
      <x:c r="M1116" s="16" t="str">
        <x:v>Kahve ürünü</x:v>
      </x:c>
      <x:c r="N1116" s="16" t="str">
        <x:v>Site haritası ürün sayfası</x:v>
      </x:c>
      <x:c r="O1116" s="16" t="str">
        <x:v>Düşük</x:v>
      </x:c>
      <x:c r="P1116" s="19" t="n">
        <x:v>46245</x:v>
      </x:c>
      <x:c r="Q1116" s="20" t="str">
        <x:v>https://www.noitecoffee.com/post/kahve-i-şleme-yöntemlerini-keşfedin</x:v>
      </x:c>
      <x:c r="R1116" s="20" t="str">
        <x:v>Ürün kimliği korundu; eksik alanlar erişilemedi olarak işaretlenecek.</x:v>
      </x:c>
    </x:row>
    <x:row r="1117" ht="40" customHeight="1">
      <x:c r="A1117" s="16" t="str">
        <x:v>Noite Coffee</x:v>
      </x:c>
      <x:c r="B1117" s="16" t="str">
        <x:v>İstanbul</x:v>
      </x:c>
      <x:c r="C1117" s="16" t="str">
        <x:v>Doğrulandı</x:v>
      </x:c>
      <x:c r="D1117" s="16" t="str">
        <x:v>Ürün kaydı</x:v>
      </x:c>
      <x:c r="E1117" s="16" t="str">
        <x:v>Timemore Icicle Cold Brewer | Noite Coffee Roaster</x:v>
      </x:c>
      <x:c r="F1117" s="16" t="str">
        <x:v>Menşe belirtilmemiş</x:v>
      </x:c>
      <x:c r="G1117" s="17" t="str">
        <x:v>Erişilemedi</x:v>
      </x:c>
      <x:c r="H1117" s="16" t="str">
        <x:v>Erişilemedi</x:v>
      </x:c>
      <x:c r="I1117" s="18" t="n">
        <x:v>0</x:v>
      </x:c>
      <x:c r="J1117" s="18" t="str">
        <x:v>Erişilemedi</x:v>
      </x:c>
      <x:c r="K1117" s="18" t="str">
        <x:f>IF(AND(ISNUMBER(G1117),ISNUMBER(I1117)),I1117/G1117*1000,"Erişilemedi")</x:f>
        <x:v>Erişilemedi</x:v>
      </x:c>
      <x:c r="L1117" s="16" t="str">
        <x:v>Belirsiz</x:v>
      </x:c>
      <x:c r="M1117" s="16" t="str">
        <x:v>Kahve ürünü</x:v>
      </x:c>
      <x:c r="N1117" s="16" t="str">
        <x:v>Site haritası ürün sayfası</x:v>
      </x:c>
      <x:c r="O1117" s="16" t="str">
        <x:v>Düşük</x:v>
      </x:c>
      <x:c r="P1117" s="19" t="n">
        <x:v>46245</x:v>
      </x:c>
      <x:c r="Q1117" s="20" t="str">
        <x:v>https://www.noitecoffee.com/product-page/timemore-icicle-cold-brewer</x:v>
      </x:c>
      <x:c r="R1117" s="20" t="str">
        <x:v>Ürün kimliği korundu; eksik alanlar erişilemedi olarak işaretlenecek.</x:v>
      </x:c>
    </x:row>
    <x:row r="1118" ht="40" customHeight="1">
      <x:c r="A1118" s="16" t="str">
        <x:v>Nok Coffee</x:v>
      </x:c>
      <x:c r="B1118" s="16" t="str">
        <x:v>İzmir</x:v>
      </x:c>
      <x:c r="C1118" s="16" t="str">
        <x:v>Kısmi doğrulama</x:v>
      </x:c>
      <x:c r="D1118" s="16" t="str">
        <x:v>Ürün kaydı</x:v>
      </x:c>
      <x:c r="E1118" s="16" t="str">
        <x:v>Barista Espresso Kahve Harmanı - 200 gr</x:v>
      </x:c>
      <x:c r="F1118" s="16" t="str">
        <x:v>Brezilya | Guatemala | Honduras</x:v>
      </x:c>
      <x:c r="G1118" s="17" t="n">
        <x:v>200</x:v>
      </x:c>
      <x:c r="H1118" s="16" t="str">
        <x:v>Erişildi</x:v>
      </x:c>
      <x:c r="I1118" s="18" t="str">
        <x:v>Erişilemedi</x:v>
      </x:c>
      <x:c r="J1118" s="18" t="str">
        <x:v>Erişilemedi</x:v>
      </x:c>
      <x:c r="K1118" s="18" t="str">
        <x:f>IF(AND(ISNUMBER(G1118),ISNUMBER(I1118)),I1118/G1118*1000,"Erişilemedi")</x:f>
        <x:v>Erişilemedi</x:v>
      </x:c>
      <x:c r="L1118" s="16" t="str">
        <x:v>Belirsiz</x:v>
      </x:c>
      <x:c r="M1118" s="16" t="str">
        <x:v>Harman</x:v>
      </x:c>
      <x:c r="N1118" s="16" t="str">
        <x:v>Shopify ürün akışı</x:v>
      </x:c>
      <x:c r="O1118" s="16" t="str">
        <x:v>Orta</x:v>
      </x:c>
      <x:c r="P1118" s="19" t="n">
        <x:v>46245</x:v>
      </x:c>
      <x:c r="Q1118" s="20" t="str">
        <x:v>https://www.nokcoffee.com/products/barista-espresso-kahve-harmani-200-gr-1</x:v>
      </x:c>
      <x:c r="R1118" s="20" t="str">
        <x:v>Satış varyantı erişilemedi.</x:v>
      </x:c>
    </x:row>
    <x:row r="1119" ht="40" customHeight="1">
      <x:c r="A1119" s="16" t="str">
        <x:v>Nok Coffee</x:v>
      </x:c>
      <x:c r="B1119" s="16" t="str">
        <x:v>İzmir</x:v>
      </x:c>
      <x:c r="C1119" s="16" t="str">
        <x:v>Kısmi doğrulama</x:v>
      </x:c>
      <x:c r="D1119" s="16" t="str">
        <x:v>Ürün kaydı</x:v>
      </x:c>
      <x:c r="E1119" s="16" t="str">
        <x:v>Barista Espresso Kahve Harmanı Çekirdek (Öğütülmemiş) - 1 Kg</x:v>
      </x:c>
      <x:c r="F1119" s="16" t="str">
        <x:v>Brezilya | Guatemala | Honduras</x:v>
      </x:c>
      <x:c r="G1119" s="17" t="n">
        <x:v>1000</x:v>
      </x:c>
      <x:c r="H1119" s="16" t="str">
        <x:v>Erişildi</x:v>
      </x:c>
      <x:c r="I1119" s="18" t="n">
        <x:v>858</x:v>
      </x:c>
      <x:c r="J1119" s="18" t="str">
        <x:v>Erişildi</x:v>
      </x:c>
      <x:c r="K1119" s="18" t="n">
        <x:f>IF(AND(ISNUMBER(G1119),ISNUMBER(I1119)),I1119/G1119*1000,"Erişilemedi")</x:f>
        <x:v>858</x:v>
      </x:c>
      <x:c r="L1119" s="16" t="str">
        <x:v>Stokta</x:v>
      </x:c>
      <x:c r="M1119" s="16" t="str">
        <x:v>Harman</x:v>
      </x:c>
      <x:c r="N1119" s="16" t="str">
        <x:v>Shopify ürün akışı</x:v>
      </x:c>
      <x:c r="O1119" s="16" t="str">
        <x:v>Yüksek</x:v>
      </x:c>
      <x:c r="P1119" s="19" t="n">
        <x:v>46245</x:v>
      </x:c>
      <x:c r="Q1119" s="20" t="str">
        <x:v>https://www.nokcoffee.com/products/barista-espresso-kahve-harmani-cekirdek-ogutulmemis</x:v>
      </x:c>
      <x:c r="R1119" s="20" t="str">
        <x:v>Öğütüm seçenekleri aynı gramaj ve fiyatta tekilleştirildi.</x:v>
      </x:c>
    </x:row>
    <x:row r="1120" ht="40" customHeight="1">
      <x:c r="A1120" s="16" t="str">
        <x:v>Nok Coffee</x:v>
      </x:c>
      <x:c r="B1120" s="16" t="str">
        <x:v>İzmir</x:v>
      </x:c>
      <x:c r="C1120" s="16" t="str">
        <x:v>Kısmi doğrulama</x:v>
      </x:c>
      <x:c r="D1120" s="16" t="str">
        <x:v>Ürün kaydı</x:v>
      </x:c>
      <x:c r="E1120" s="16" t="str">
        <x:v>Brazil Mogiana Bella Giana - 200 Gr</x:v>
      </x:c>
      <x:c r="F1120" s="16" t="str">
        <x:v>Brezilya</x:v>
      </x:c>
      <x:c r="G1120" s="17" t="n">
        <x:v>200</x:v>
      </x:c>
      <x:c r="H1120" s="16" t="str">
        <x:v>Erişildi</x:v>
      </x:c>
      <x:c r="I1120" s="18" t="str">
        <x:v>Erişilemedi</x:v>
      </x:c>
      <x:c r="J1120" s="18" t="str">
        <x:v>Erişilemedi</x:v>
      </x:c>
      <x:c r="K1120" s="18" t="str">
        <x:f>IF(AND(ISNUMBER(G1120),ISNUMBER(I1120)),I1120/G1120*1000,"Erişilemedi")</x:f>
        <x:v>Erişilemedi</x:v>
      </x:c>
      <x:c r="L1120" s="16" t="str">
        <x:v>Belirsiz</x:v>
      </x:c>
      <x:c r="M1120" s="16" t="str">
        <x:v>Kahve ürünü</x:v>
      </x:c>
      <x:c r="N1120" s="16" t="str">
        <x:v>Shopify ürün akışı</x:v>
      </x:c>
      <x:c r="O1120" s="16" t="str">
        <x:v>Orta</x:v>
      </x:c>
      <x:c r="P1120" s="19" t="n">
        <x:v>46245</x:v>
      </x:c>
      <x:c r="Q1120" s="20" t="str">
        <x:v>https://www.nokcoffee.com/products/brazil-mogiana-bella-giana-200-gr-1</x:v>
      </x:c>
      <x:c r="R1120" s="20" t="str">
        <x:v>Satış varyantı erişilemedi.</x:v>
      </x:c>
    </x:row>
    <x:row r="1121" ht="40" customHeight="1">
      <x:c r="A1121" s="16" t="str">
        <x:v>Nok Coffee</x:v>
      </x:c>
      <x:c r="B1121" s="16" t="str">
        <x:v>İzmir</x:v>
      </x:c>
      <x:c r="C1121" s="16" t="str">
        <x:v>Kısmi doğrulama</x:v>
      </x:c>
      <x:c r="D1121" s="16" t="str">
        <x:v>Ürün kaydı</x:v>
      </x:c>
      <x:c r="E1121" s="16" t="str">
        <x:v>Brazil Mogiana Bella Giana - Çekirdek (Öğütülmemiş) 1 Kg</x:v>
      </x:c>
      <x:c r="F1121" s="16" t="str">
        <x:v>Brezilya</x:v>
      </x:c>
      <x:c r="G1121" s="17" t="n">
        <x:v>1000</x:v>
      </x:c>
      <x:c r="H1121" s="16" t="str">
        <x:v>Erişildi</x:v>
      </x:c>
      <x:c r="I1121" s="18" t="n">
        <x:v>870.1</x:v>
      </x:c>
      <x:c r="J1121" s="18" t="str">
        <x:v>Erişildi</x:v>
      </x:c>
      <x:c r="K1121" s="18" t="n">
        <x:f>IF(AND(ISNUMBER(G1121),ISNUMBER(I1121)),I1121/G1121*1000,"Erişilemedi")</x:f>
        <x:v>870.1</x:v>
      </x:c>
      <x:c r="L1121" s="16" t="str">
        <x:v>Stokta</x:v>
      </x:c>
      <x:c r="M1121" s="16" t="str">
        <x:v>Tek köken/ürün</x:v>
      </x:c>
      <x:c r="N1121" s="16" t="str">
        <x:v>Shopify ürün akışı</x:v>
      </x:c>
      <x:c r="O1121" s="16" t="str">
        <x:v>Yüksek</x:v>
      </x:c>
      <x:c r="P1121" s="19" t="n">
        <x:v>46245</x:v>
      </x:c>
      <x:c r="Q1121" s="20" t="str">
        <x:v>https://www.nokcoffee.com/products/brazil-mogiana-bella-giana-cekirdek-ogutulmemis-1-kg</x:v>
      </x:c>
      <x:c r="R1121" s="20" t="str">
        <x:v>Öğütüm seçenekleri aynı gramaj ve fiyatta tekilleştirildi.</x:v>
      </x:c>
    </x:row>
    <x:row r="1122" ht="40" customHeight="1">
      <x:c r="A1122" s="16" t="str">
        <x:v>Nok Coffee</x:v>
      </x:c>
      <x:c r="B1122" s="16" t="str">
        <x:v>İzmir</x:v>
      </x:c>
      <x:c r="C1122" s="16" t="str">
        <x:v>Kısmi doğrulama</x:v>
      </x:c>
      <x:c r="D1122" s="16" t="str">
        <x:v>Ürün kaydı</x:v>
      </x:c>
      <x:c r="E1122" s="16" t="str">
        <x:v>Brazil Rio Minas Çiğ Yeşil Kahve Çekirdek 1kg</x:v>
      </x:c>
      <x:c r="F1122" s="16" t="str">
        <x:v>Brezilya</x:v>
      </x:c>
      <x:c r="G1122" s="17" t="n">
        <x:v>1000</x:v>
      </x:c>
      <x:c r="H1122" s="16" t="str">
        <x:v>Erişildi</x:v>
      </x:c>
      <x:c r="I1122" s="18" t="n">
        <x:v>525.35</x:v>
      </x:c>
      <x:c r="J1122" s="18" t="str">
        <x:v>Erişildi</x:v>
      </x:c>
      <x:c r="K1122" s="18" t="n">
        <x:f>IF(AND(ISNUMBER(G1122),ISNUMBER(I1122)),I1122/G1122*1000,"Erişilemedi")</x:f>
        <x:v>525.35</x:v>
      </x:c>
      <x:c r="L1122" s="16" t="str">
        <x:v>Stokta</x:v>
      </x:c>
      <x:c r="M1122" s="16" t="str">
        <x:v>Tek köken/ürün</x:v>
      </x:c>
      <x:c r="N1122" s="16" t="str">
        <x:v>Shopify ürün akışı</x:v>
      </x:c>
      <x:c r="O1122" s="16" t="str">
        <x:v>Yüksek</x:v>
      </x:c>
      <x:c r="P1122" s="19" t="n">
        <x:v>46245</x:v>
      </x:c>
      <x:c r="Q1122" s="20" t="str">
        <x:v>https://www.nokcoffee.com/products/brazil-rio-minas-cig-yesil-kahve-cekirdek</x:v>
      </x:c>
      <x:c r="R1122" s="20" t="str">
        <x:v>Öğütüm seçenekleri aynı gramaj ve fiyatta tekilleştirildi.</x:v>
      </x:c>
    </x:row>
    <x:row r="1123" ht="40" customHeight="1">
      <x:c r="A1123" s="16" t="str">
        <x:v>Nok Coffee</x:v>
      </x:c>
      <x:c r="B1123" s="16" t="str">
        <x:v>İzmir</x:v>
      </x:c>
      <x:c r="C1123" s="16" t="str">
        <x:v>Kısmi doğrulama</x:v>
      </x:c>
      <x:c r="D1123" s="16" t="str">
        <x:v>Ürün kaydı</x:v>
      </x:c>
      <x:c r="E1123" s="16" t="str">
        <x:v>Breakfast Filtre Kahve Harmanı - 200 gr</x:v>
      </x:c>
      <x:c r="F1123" s="16" t="str">
        <x:v>Brezilya | Hindistan</x:v>
      </x:c>
      <x:c r="G1123" s="17" t="n">
        <x:v>200</x:v>
      </x:c>
      <x:c r="H1123" s="16" t="str">
        <x:v>Erişildi</x:v>
      </x:c>
      <x:c r="I1123" s="18" t="str">
        <x:v>Erişilemedi</x:v>
      </x:c>
      <x:c r="J1123" s="18" t="str">
        <x:v>Erişilemedi</x:v>
      </x:c>
      <x:c r="K1123" s="18" t="str">
        <x:f>IF(AND(ISNUMBER(G1123),ISNUMBER(I1123)),I1123/G1123*1000,"Erişilemedi")</x:f>
        <x:v>Erişilemedi</x:v>
      </x:c>
      <x:c r="L1123" s="16" t="str">
        <x:v>Belirsiz</x:v>
      </x:c>
      <x:c r="M1123" s="16" t="str">
        <x:v>Harman</x:v>
      </x:c>
      <x:c r="N1123" s="16" t="str">
        <x:v>Shopify ürün akışı</x:v>
      </x:c>
      <x:c r="O1123" s="16" t="str">
        <x:v>Orta</x:v>
      </x:c>
      <x:c r="P1123" s="19" t="n">
        <x:v>46245</x:v>
      </x:c>
      <x:c r="Q1123" s="20" t="str">
        <x:v>https://www.nokcoffee.com/products/breakfast-filtre-kahve-harmani-200-gr-1</x:v>
      </x:c>
      <x:c r="R1123" s="20" t="str">
        <x:v>Satış varyantı erişilemedi.</x:v>
      </x:c>
    </x:row>
    <x:row r="1124" ht="40" customHeight="1">
      <x:c r="A1124" s="16" t="str">
        <x:v>Nok Coffee</x:v>
      </x:c>
      <x:c r="B1124" s="16" t="str">
        <x:v>İzmir</x:v>
      </x:c>
      <x:c r="C1124" s="16" t="str">
        <x:v>Kısmi doğrulama</x:v>
      </x:c>
      <x:c r="D1124" s="16" t="str">
        <x:v>Ürün kaydı</x:v>
      </x:c>
      <x:c r="E1124" s="16" t="str">
        <x:v>Colombia Excelso Popayan Çiğ Yeşil Kahve Çekirdek 1kg</x:v>
      </x:c>
      <x:c r="F1124" s="16" t="str">
        <x:v>Kolombiya</x:v>
      </x:c>
      <x:c r="G1124" s="17" t="n">
        <x:v>1000</x:v>
      </x:c>
      <x:c r="H1124" s="16" t="str">
        <x:v>Erişildi</x:v>
      </x:c>
      <x:c r="I1124" s="18" t="str">
        <x:v>Erişilemedi</x:v>
      </x:c>
      <x:c r="J1124" s="18" t="str">
        <x:v>Erişilemedi</x:v>
      </x:c>
      <x:c r="K1124" s="18" t="str">
        <x:f>IF(AND(ISNUMBER(G1124),ISNUMBER(I1124)),I1124/G1124*1000,"Erişilemedi")</x:f>
        <x:v>Erişilemedi</x:v>
      </x:c>
      <x:c r="L1124" s="16" t="str">
        <x:v>Belirsiz</x:v>
      </x:c>
      <x:c r="M1124" s="16" t="str">
        <x:v>Kahve ürünü</x:v>
      </x:c>
      <x:c r="N1124" s="16" t="str">
        <x:v>Shopify ürün akışı</x:v>
      </x:c>
      <x:c r="O1124" s="16" t="str">
        <x:v>Orta</x:v>
      </x:c>
      <x:c r="P1124" s="19" t="n">
        <x:v>46245</x:v>
      </x:c>
      <x:c r="Q1124" s="20" t="str">
        <x:v>https://www.nokcoffee.com/products/colombia-excelso-popayan-cig-yesil-kahve-cekirdek-1kg</x:v>
      </x:c>
      <x:c r="R1124" s="20" t="str">
        <x:v>Satış varyantı erişilemedi.</x:v>
      </x:c>
    </x:row>
    <x:row r="1125" ht="40" customHeight="1">
      <x:c r="A1125" s="16" t="str">
        <x:v>Nok Coffee</x:v>
      </x:c>
      <x:c r="B1125" s="16" t="str">
        <x:v>İzmir</x:v>
      </x:c>
      <x:c r="C1125" s="16" t="str">
        <x:v>Kısmi doğrulama</x:v>
      </x:c>
      <x:c r="D1125" s="16" t="str">
        <x:v>Ürün kaydı</x:v>
      </x:c>
      <x:c r="E1125" s="16" t="str">
        <x:v>Colombia Supremo Çiğ Yeşil Kahve Çekirdek 1kg</x:v>
      </x:c>
      <x:c r="F1125" s="16" t="str">
        <x:v>Kolombiya</x:v>
      </x:c>
      <x:c r="G1125" s="17" t="n">
        <x:v>1000</x:v>
      </x:c>
      <x:c r="H1125" s="16" t="str">
        <x:v>Erişildi</x:v>
      </x:c>
      <x:c r="I1125" s="18" t="str">
        <x:v>Erişilemedi</x:v>
      </x:c>
      <x:c r="J1125" s="18" t="str">
        <x:v>Erişilemedi</x:v>
      </x:c>
      <x:c r="K1125" s="18" t="str">
        <x:f>IF(AND(ISNUMBER(G1125),ISNUMBER(I1125)),I1125/G1125*1000,"Erişilemedi")</x:f>
        <x:v>Erişilemedi</x:v>
      </x:c>
      <x:c r="L1125" s="16" t="str">
        <x:v>Belirsiz</x:v>
      </x:c>
      <x:c r="M1125" s="16" t="str">
        <x:v>Kahve ürünü</x:v>
      </x:c>
      <x:c r="N1125" s="16" t="str">
        <x:v>Shopify ürün akışı</x:v>
      </x:c>
      <x:c r="O1125" s="16" t="str">
        <x:v>Orta</x:v>
      </x:c>
      <x:c r="P1125" s="19" t="n">
        <x:v>46245</x:v>
      </x:c>
      <x:c r="Q1125" s="20" t="str">
        <x:v>https://www.nokcoffee.com/products/colombia-cig-yesil-kahve-cekirdek</x:v>
      </x:c>
      <x:c r="R1125" s="20" t="str">
        <x:v>Satış varyantı erişilemedi.</x:v>
      </x:c>
    </x:row>
    <x:row r="1126" ht="40" customHeight="1">
      <x:c r="A1126" s="16" t="str">
        <x:v>Nok Coffee</x:v>
      </x:c>
      <x:c r="B1126" s="16" t="str">
        <x:v>İzmir</x:v>
      </x:c>
      <x:c r="C1126" s="16" t="str">
        <x:v>Kısmi doğrulama</x:v>
      </x:c>
      <x:c r="D1126" s="16" t="str">
        <x:v>Ürün kaydı</x:v>
      </x:c>
      <x:c r="E1126" s="16" t="str">
        <x:v>Colombia Supremo Huila Çekirdek Kahve 1 Kg x 10 Adet (Koli)</x:v>
      </x:c>
      <x:c r="F1126" s="16" t="str">
        <x:v>Kolombiya</x:v>
      </x:c>
      <x:c r="G1126" s="17" t="n">
        <x:v>1000</x:v>
      </x:c>
      <x:c r="H1126" s="16" t="str">
        <x:v>Erişildi</x:v>
      </x:c>
      <x:c r="I1126" s="18" t="n">
        <x:v>7700</x:v>
      </x:c>
      <x:c r="J1126" s="18" t="str">
        <x:v>Erişildi</x:v>
      </x:c>
      <x:c r="K1126" s="18" t="n">
        <x:f>IF(AND(ISNUMBER(G1126),ISNUMBER(I1126)),I1126/G1126*1000,"Erişilemedi")</x:f>
        <x:v>7700</x:v>
      </x:c>
      <x:c r="L1126" s="16" t="str">
        <x:v>Stokta</x:v>
      </x:c>
      <x:c r="M1126" s="16" t="str">
        <x:v>Tek köken/ürün</x:v>
      </x:c>
      <x:c r="N1126" s="16" t="str">
        <x:v>Shopify ürün akışı</x:v>
      </x:c>
      <x:c r="O1126" s="16" t="str">
        <x:v>Yüksek</x:v>
      </x:c>
      <x:c r="P1126" s="19" t="n">
        <x:v>46245</x:v>
      </x:c>
      <x:c r="Q1126" s="20" t="str">
        <x:v>https://www.nokcoffee.com/products/colombia-supremo-huila-cekirdek-kahve-1-kg-x-10-adet-koli</x:v>
      </x:c>
      <x:c r="R1126" s="20" t="str">
        <x:v>Öğütüm seçenekleri aynı gramaj ve fiyatta tekilleştirildi.</x:v>
      </x:c>
    </x:row>
    <x:row r="1127" ht="40" customHeight="1">
      <x:c r="A1127" s="16" t="str">
        <x:v>Nok Coffee</x:v>
      </x:c>
      <x:c r="B1127" s="16" t="str">
        <x:v>İzmir</x:v>
      </x:c>
      <x:c r="C1127" s="16" t="str">
        <x:v>Kısmi doğrulama</x:v>
      </x:c>
      <x:c r="D1127" s="16" t="str">
        <x:v>Ürün kaydı</x:v>
      </x:c>
      <x:c r="E1127" s="16" t="str">
        <x:v>Colombia Supremo Huila Rafael - 200 Gr</x:v>
      </x:c>
      <x:c r="F1127" s="16" t="str">
        <x:v>Kolombiya</x:v>
      </x:c>
      <x:c r="G1127" s="17" t="n">
        <x:v>200</x:v>
      </x:c>
      <x:c r="H1127" s="16" t="str">
        <x:v>Erişildi</x:v>
      </x:c>
      <x:c r="I1127" s="18" t="str">
        <x:v>Erişilemedi</x:v>
      </x:c>
      <x:c r="J1127" s="18" t="str">
        <x:v>Erişilemedi</x:v>
      </x:c>
      <x:c r="K1127" s="18" t="str">
        <x:f>IF(AND(ISNUMBER(G1127),ISNUMBER(I1127)),I1127/G1127*1000,"Erişilemedi")</x:f>
        <x:v>Erişilemedi</x:v>
      </x:c>
      <x:c r="L1127" s="16" t="str">
        <x:v>Belirsiz</x:v>
      </x:c>
      <x:c r="M1127" s="16" t="str">
        <x:v>Kahve ürünü</x:v>
      </x:c>
      <x:c r="N1127" s="16" t="str">
        <x:v>Shopify ürün akışı</x:v>
      </x:c>
      <x:c r="O1127" s="16" t="str">
        <x:v>Orta</x:v>
      </x:c>
      <x:c r="P1127" s="19" t="n">
        <x:v>46245</x:v>
      </x:c>
      <x:c r="Q1127" s="20" t="str">
        <x:v>https://www.nokcoffee.com/products/colombia-supremo-huila-rafael-200-gr-1</x:v>
      </x:c>
      <x:c r="R1127" s="20" t="str">
        <x:v>Satış varyantı erişilemedi.</x:v>
      </x:c>
    </x:row>
    <x:row r="1128" ht="40" customHeight="1">
      <x:c r="A1128" s="16" t="str">
        <x:v>Nok Coffee</x:v>
      </x:c>
      <x:c r="B1128" s="16" t="str">
        <x:v>İzmir</x:v>
      </x:c>
      <x:c r="C1128" s="16" t="str">
        <x:v>Kısmi doğrulama</x:v>
      </x:c>
      <x:c r="D1128" s="16" t="str">
        <x:v>Ürün kaydı</x:v>
      </x:c>
      <x:c r="E1128" s="16" t="str">
        <x:v>Colombia Supremo Huila Rafael - Çekirdek (Öğütülmemiş) - 1 Kg</x:v>
      </x:c>
      <x:c r="F1128" s="16" t="str">
        <x:v>Kolombiya</x:v>
      </x:c>
      <x:c r="G1128" s="17" t="n">
        <x:v>1000</x:v>
      </x:c>
      <x:c r="H1128" s="16" t="str">
        <x:v>Erişildi</x:v>
      </x:c>
      <x:c r="I1128" s="18" t="n">
        <x:v>919</x:v>
      </x:c>
      <x:c r="J1128" s="18" t="str">
        <x:v>Erişildi</x:v>
      </x:c>
      <x:c r="K1128" s="18" t="n">
        <x:f>IF(AND(ISNUMBER(G1128),ISNUMBER(I1128)),I1128/G1128*1000,"Erişilemedi")</x:f>
        <x:v>919</x:v>
      </x:c>
      <x:c r="L1128" s="16" t="str">
        <x:v>Stokta</x:v>
      </x:c>
      <x:c r="M1128" s="16" t="str">
        <x:v>Tek köken/ürün</x:v>
      </x:c>
      <x:c r="N1128" s="16" t="str">
        <x:v>Shopify ürün akışı</x:v>
      </x:c>
      <x:c r="O1128" s="16" t="str">
        <x:v>Yüksek</x:v>
      </x:c>
      <x:c r="P1128" s="19" t="n">
        <x:v>46245</x:v>
      </x:c>
      <x:c r="Q1128" s="20" t="str">
        <x:v>https://www.nokcoffee.com/products/colombia-supremo-huila-rafael-cekirdek-ogutulmemis-1-kg</x:v>
      </x:c>
      <x:c r="R1128" s="20" t="str">
        <x:v>Öğütüm seçenekleri aynı gramaj ve fiyatta tekilleştirildi.</x:v>
      </x:c>
    </x:row>
    <x:row r="1129" ht="40" customHeight="1">
      <x:c r="A1129" s="16" t="str">
        <x:v>Nok Coffee</x:v>
      </x:c>
      <x:c r="B1129" s="16" t="str">
        <x:v>İzmir</x:v>
      </x:c>
      <x:c r="C1129" s="16" t="str">
        <x:v>Kısmi doğrulama</x:v>
      </x:c>
      <x:c r="D1129" s="16" t="str">
        <x:v>Ürün kaydı</x:v>
      </x:c>
      <x:c r="E1129" s="16" t="str">
        <x:v>Costa Rica La Pastora Tarrazu - Çekirdek (Öğütülmemiş) - 1 Kg</x:v>
      </x:c>
      <x:c r="F1129" s="16" t="str">
        <x:v>Kosta Rika</x:v>
      </x:c>
      <x:c r="G1129" s="17" t="n">
        <x:v>1000</x:v>
      </x:c>
      <x:c r="H1129" s="16" t="str">
        <x:v>Erişildi</x:v>
      </x:c>
      <x:c r="I1129" s="18" t="n">
        <x:v>906.5</x:v>
      </x:c>
      <x:c r="J1129" s="18" t="str">
        <x:v>Erişildi</x:v>
      </x:c>
      <x:c r="K1129" s="18" t="n">
        <x:f>IF(AND(ISNUMBER(G1129),ISNUMBER(I1129)),I1129/G1129*1000,"Erişilemedi")</x:f>
        <x:v>906.5</x:v>
      </x:c>
      <x:c r="L1129" s="16" t="str">
        <x:v>Stokta</x:v>
      </x:c>
      <x:c r="M1129" s="16" t="str">
        <x:v>Tek köken/ürün</x:v>
      </x:c>
      <x:c r="N1129" s="16" t="str">
        <x:v>Shopify ürün akışı</x:v>
      </x:c>
      <x:c r="O1129" s="16" t="str">
        <x:v>Yüksek</x:v>
      </x:c>
      <x:c r="P1129" s="19" t="n">
        <x:v>46245</x:v>
      </x:c>
      <x:c r="Q1129" s="20" t="str">
        <x:v>https://www.nokcoffee.com/products/costa-rica-la-pastora-tarrazu-cekirdek-ogutulmemis-1-kg</x:v>
      </x:c>
      <x:c r="R1129" s="20" t="str">
        <x:v>Öğütüm seçenekleri aynı gramaj ve fiyatta tekilleştirildi.</x:v>
      </x:c>
    </x:row>
    <x:row r="1130" ht="40" customHeight="1">
      <x:c r="A1130" s="16" t="str">
        <x:v>Nok Coffee</x:v>
      </x:c>
      <x:c r="B1130" s="16" t="str">
        <x:v>İzmir</x:v>
      </x:c>
      <x:c r="C1130" s="16" t="str">
        <x:v>Kısmi doğrulama</x:v>
      </x:c>
      <x:c r="D1130" s="16" t="str">
        <x:v>Ürün kaydı</x:v>
      </x:c>
      <x:c r="E1130" s="16" t="str">
        <x:v>Çikolata Kalıbı - Silikon - Kahve Çekirdeği</x:v>
      </x:c>
      <x:c r="F1130" s="16" t="str">
        <x:v>Menşe belirtilmemiş</x:v>
      </x:c>
      <x:c r="G1130" s="17" t="str">
        <x:v>Erişilemedi</x:v>
      </x:c>
      <x:c r="H1130" s="16" t="str">
        <x:v>Erişilemedi</x:v>
      </x:c>
      <x:c r="I1130" s="18" t="str">
        <x:v>Erişilemedi</x:v>
      </x:c>
      <x:c r="J1130" s="18" t="str">
        <x:v>Erişilemedi</x:v>
      </x:c>
      <x:c r="K1130" s="18" t="str">
        <x:f>IF(AND(ISNUMBER(G1130),ISNUMBER(I1130)),I1130/G1130*1000,"Erişilemedi")</x:f>
        <x:v>Erişilemedi</x:v>
      </x:c>
      <x:c r="L1130" s="16" t="str">
        <x:v>Belirsiz</x:v>
      </x:c>
      <x:c r="M1130" s="16" t="str">
        <x:v>Kahve ürünü</x:v>
      </x:c>
      <x:c r="N1130" s="16" t="str">
        <x:v>Shopify ürün akışı</x:v>
      </x:c>
      <x:c r="O1130" s="16" t="str">
        <x:v>Orta</x:v>
      </x:c>
      <x:c r="P1130" s="19" t="n">
        <x:v>46245</x:v>
      </x:c>
      <x:c r="Q1130" s="20" t="str">
        <x:v>https://www.nokcoffee.com/products/cikolata-kalibi-silikon-kahve-cekirdegi</x:v>
      </x:c>
      <x:c r="R1130" s="20" t="str">
        <x:v>Satış varyantı erişilemedi.</x:v>
      </x:c>
    </x:row>
    <x:row r="1131" ht="40" customHeight="1">
      <x:c r="A1131" s="16" t="str">
        <x:v>Nok Coffee</x:v>
      </x:c>
      <x:c r="B1131" s="16" t="str">
        <x:v>İzmir</x:v>
      </x:c>
      <x:c r="C1131" s="16" t="str">
        <x:v>Kısmi doğrulama</x:v>
      </x:c>
      <x:c r="D1131" s="16" t="str">
        <x:v>Ürün kaydı</x:v>
      </x:c>
      <x:c r="E1131" s="16" t="str">
        <x:v>Ethiopia Djimmah Grade 4 - 100 gr</x:v>
      </x:c>
      <x:c r="F1131" s="16" t="str">
        <x:v>Etiyopya</x:v>
      </x:c>
      <x:c r="G1131" s="17" t="n">
        <x:v>100</x:v>
      </x:c>
      <x:c r="H1131" s="16" t="str">
        <x:v>Erişildi</x:v>
      </x:c>
      <x:c r="I1131" s="18" t="str">
        <x:v>Erişilemedi</x:v>
      </x:c>
      <x:c r="J1131" s="18" t="str">
        <x:v>Erişilemedi</x:v>
      </x:c>
      <x:c r="K1131" s="18" t="str">
        <x:f>IF(AND(ISNUMBER(G1131),ISNUMBER(I1131)),I1131/G1131*1000,"Erişilemedi")</x:f>
        <x:v>Erişilemedi</x:v>
      </x:c>
      <x:c r="L1131" s="16" t="str">
        <x:v>Belirsiz</x:v>
      </x:c>
      <x:c r="M1131" s="16" t="str">
        <x:v>Kahve ürünü</x:v>
      </x:c>
      <x:c r="N1131" s="16" t="str">
        <x:v>Shopify ürün akışı</x:v>
      </x:c>
      <x:c r="O1131" s="16" t="str">
        <x:v>Orta</x:v>
      </x:c>
      <x:c r="P1131" s="19" t="n">
        <x:v>46245</x:v>
      </x:c>
      <x:c r="Q1131" s="20" t="str">
        <x:v>https://www.nokcoffee.com/products/ethiopia-djimmah-grade-4-100-gr</x:v>
      </x:c>
      <x:c r="R1131" s="20" t="str">
        <x:v>Satış varyantı erişilemedi.</x:v>
      </x:c>
    </x:row>
    <x:row r="1132" ht="40" customHeight="1">
      <x:c r="A1132" s="16" t="str">
        <x:v>Nok Coffee</x:v>
      </x:c>
      <x:c r="B1132" s="16" t="str">
        <x:v>İzmir</x:v>
      </x:c>
      <x:c r="C1132" s="16" t="str">
        <x:v>Kısmi doğrulama</x:v>
      </x:c>
      <x:c r="D1132" s="16" t="str">
        <x:v>Ürün kaydı</x:v>
      </x:c>
      <x:c r="E1132" s="16" t="str">
        <x:v>Ethiopia Djimmah Grade 4 - 200 Gr.</x:v>
      </x:c>
      <x:c r="F1132" s="16" t="str">
        <x:v>Etiyopya</x:v>
      </x:c>
      <x:c r="G1132" s="17" t="n">
        <x:v>200</x:v>
      </x:c>
      <x:c r="H1132" s="16" t="str">
        <x:v>Erişildi</x:v>
      </x:c>
      <x:c r="I1132" s="18" t="str">
        <x:v>Erişilemedi</x:v>
      </x:c>
      <x:c r="J1132" s="18" t="str">
        <x:v>Erişilemedi</x:v>
      </x:c>
      <x:c r="K1132" s="18" t="str">
        <x:f>IF(AND(ISNUMBER(G1132),ISNUMBER(I1132)),I1132/G1132*1000,"Erişilemedi")</x:f>
        <x:v>Erişilemedi</x:v>
      </x:c>
      <x:c r="L1132" s="16" t="str">
        <x:v>Belirsiz</x:v>
      </x:c>
      <x:c r="M1132" s="16" t="str">
        <x:v>Harman</x:v>
      </x:c>
      <x:c r="N1132" s="16" t="str">
        <x:v>Shopify ürün akışı</x:v>
      </x:c>
      <x:c r="O1132" s="16" t="str">
        <x:v>Orta</x:v>
      </x:c>
      <x:c r="P1132" s="19" t="n">
        <x:v>46245</x:v>
      </x:c>
      <x:c r="Q1132" s="20" t="str">
        <x:v>https://www.nokcoffee.com/products/ethiopia-djimmah-grade-4-200-gr-1</x:v>
      </x:c>
      <x:c r="R1132" s="20" t="str">
        <x:v>Satış varyantı erişilemedi.</x:v>
      </x:c>
    </x:row>
    <x:row r="1133" ht="40" customHeight="1">
      <x:c r="A1133" s="16" t="str">
        <x:v>Nok Coffee</x:v>
      </x:c>
      <x:c r="B1133" s="16" t="str">
        <x:v>İzmir</x:v>
      </x:c>
      <x:c r="C1133" s="16" t="str">
        <x:v>Kısmi doğrulama</x:v>
      </x:c>
      <x:c r="D1133" s="16" t="str">
        <x:v>Ürün kaydı</x:v>
      </x:c>
      <x:c r="E1133" s="16" t="str">
        <x:v>Ethiopia Djimmah Grade 4 Çiğ Yeşil Kahve Çekirdek 1 kg</x:v>
      </x:c>
      <x:c r="F1133" s="16" t="str">
        <x:v>Etiyopya</x:v>
      </x:c>
      <x:c r="G1133" s="17" t="n">
        <x:v>1000</x:v>
      </x:c>
      <x:c r="H1133" s="16" t="str">
        <x:v>Erişildi</x:v>
      </x:c>
      <x:c r="I1133" s="18" t="str">
        <x:v>Erişilemedi</x:v>
      </x:c>
      <x:c r="J1133" s="18" t="str">
        <x:v>Erişilemedi</x:v>
      </x:c>
      <x:c r="K1133" s="18" t="str">
        <x:f>IF(AND(ISNUMBER(G1133),ISNUMBER(I1133)),I1133/G1133*1000,"Erişilemedi")</x:f>
        <x:v>Erişilemedi</x:v>
      </x:c>
      <x:c r="L1133" s="16" t="str">
        <x:v>Belirsiz</x:v>
      </x:c>
      <x:c r="M1133" s="16" t="str">
        <x:v>Kahve ürünü</x:v>
      </x:c>
      <x:c r="N1133" s="16" t="str">
        <x:v>Shopify ürün akışı</x:v>
      </x:c>
      <x:c r="O1133" s="16" t="str">
        <x:v>Orta</x:v>
      </x:c>
      <x:c r="P1133" s="19" t="n">
        <x:v>46245</x:v>
      </x:c>
      <x:c r="Q1133" s="20" t="str">
        <x:v>https://www.nokcoffee.com/products/ethiopia-djimmah-yesil-kahve-cekirdek</x:v>
      </x:c>
      <x:c r="R1133" s="20" t="str">
        <x:v>Satış varyantı erişilemedi.</x:v>
      </x:c>
    </x:row>
    <x:row r="1134" ht="40" customHeight="1">
      <x:c r="A1134" s="16" t="str">
        <x:v>Nok Coffee</x:v>
      </x:c>
      <x:c r="B1134" s="16" t="str">
        <x:v>İzmir</x:v>
      </x:c>
      <x:c r="C1134" s="16" t="str">
        <x:v>Kısmi doğrulama</x:v>
      </x:c>
      <x:c r="D1134" s="16" t="str">
        <x:v>Ürün kaydı</x:v>
      </x:c>
      <x:c r="E1134" s="16" t="str">
        <x:v>Ethiopia Djimmah Grade 5 - Çiğ Yeşil Kahve Çekirdek 1kg</x:v>
      </x:c>
      <x:c r="F1134" s="16" t="str">
        <x:v>Etiyopya</x:v>
      </x:c>
      <x:c r="G1134" s="17" t="n">
        <x:v>1000</x:v>
      </x:c>
      <x:c r="H1134" s="16" t="str">
        <x:v>Erişildi</x:v>
      </x:c>
      <x:c r="I1134" s="18" t="n">
        <x:v>479.77</x:v>
      </x:c>
      <x:c r="J1134" s="18" t="str">
        <x:v>Erişildi</x:v>
      </x:c>
      <x:c r="K1134" s="18" t="n">
        <x:f>IF(AND(ISNUMBER(G1134),ISNUMBER(I1134)),I1134/G1134*1000,"Erişilemedi")</x:f>
        <x:v>479.77</x:v>
      </x:c>
      <x:c r="L1134" s="16" t="str">
        <x:v>Stokta</x:v>
      </x:c>
      <x:c r="M1134" s="16" t="str">
        <x:v>Tek köken/ürün</x:v>
      </x:c>
      <x:c r="N1134" s="16" t="str">
        <x:v>Shopify ürün akışı</x:v>
      </x:c>
      <x:c r="O1134" s="16" t="str">
        <x:v>Yüksek</x:v>
      </x:c>
      <x:c r="P1134" s="19" t="n">
        <x:v>46245</x:v>
      </x:c>
      <x:c r="Q1134" s="20" t="str">
        <x:v>https://www.nokcoffee.com/products/ethiopia-djimmah-grade-5-cig-yesil-kahve-cekirdek-1kg</x:v>
      </x:c>
      <x:c r="R1134" s="20" t="str">
        <x:v>Öğütüm seçenekleri aynı gramaj ve fiyatta tekilleştirildi.</x:v>
      </x:c>
    </x:row>
    <x:row r="1135" ht="40" customHeight="1">
      <x:c r="A1135" s="16" t="str">
        <x:v>Nok Coffee</x:v>
      </x:c>
      <x:c r="B1135" s="16" t="str">
        <x:v>İzmir</x:v>
      </x:c>
      <x:c r="C1135" s="16" t="str">
        <x:v>Kısmi doğrulama</x:v>
      </x:c>
      <x:c r="D1135" s="16" t="str">
        <x:v>Ürün kaydı</x:v>
      </x:c>
      <x:c r="E1135" s="16" t="str">
        <x:v>Ethiopia Guji - Çiğ Yeşil Kahve Çekirdek 1kg</x:v>
      </x:c>
      <x:c r="F1135" s="16" t="str">
        <x:v>Etiyopya</x:v>
      </x:c>
      <x:c r="G1135" s="17" t="n">
        <x:v>1000</x:v>
      </x:c>
      <x:c r="H1135" s="16" t="str">
        <x:v>Erişildi</x:v>
      </x:c>
      <x:c r="I1135" s="18" t="str">
        <x:v>Erişilemedi</x:v>
      </x:c>
      <x:c r="J1135" s="18" t="str">
        <x:v>Erişilemedi</x:v>
      </x:c>
      <x:c r="K1135" s="18" t="str">
        <x:f>IF(AND(ISNUMBER(G1135),ISNUMBER(I1135)),I1135/G1135*1000,"Erişilemedi")</x:f>
        <x:v>Erişilemedi</x:v>
      </x:c>
      <x:c r="L1135" s="16" t="str">
        <x:v>Belirsiz</x:v>
      </x:c>
      <x:c r="M1135" s="16" t="str">
        <x:v>Kahve ürünü</x:v>
      </x:c>
      <x:c r="N1135" s="16" t="str">
        <x:v>Shopify ürün akışı</x:v>
      </x:c>
      <x:c r="O1135" s="16" t="str">
        <x:v>Orta</x:v>
      </x:c>
      <x:c r="P1135" s="19" t="n">
        <x:v>46245</x:v>
      </x:c>
      <x:c r="Q1135" s="20" t="str">
        <x:v>https://www.nokcoffee.com/products/ethiopia-guji-cig-yesil-kahve-cekirdek-1kg</x:v>
      </x:c>
      <x:c r="R1135" s="20" t="str">
        <x:v>Satış varyantı erişilemedi.</x:v>
      </x:c>
    </x:row>
    <x:row r="1136" ht="40" customHeight="1">
      <x:c r="A1136" s="16" t="str">
        <x:v>Nok Coffee</x:v>
      </x:c>
      <x:c r="B1136" s="16" t="str">
        <x:v>İzmir</x:v>
      </x:c>
      <x:c r="C1136" s="16" t="str">
        <x:v>Kısmi doğrulama</x:v>
      </x:c>
      <x:c r="D1136" s="16" t="str">
        <x:v>Ürün kaydı</x:v>
      </x:c>
      <x:c r="E1136" s="16" t="str">
        <x:v>Ethiopia Guji Grade 2 - 200 Gr</x:v>
      </x:c>
      <x:c r="F1136" s="16" t="str">
        <x:v>Etiyopya</x:v>
      </x:c>
      <x:c r="G1136" s="17" t="n">
        <x:v>200</x:v>
      </x:c>
      <x:c r="H1136" s="16" t="str">
        <x:v>Erişildi</x:v>
      </x:c>
      <x:c r="I1136" s="18" t="str">
        <x:v>Erişilemedi</x:v>
      </x:c>
      <x:c r="J1136" s="18" t="str">
        <x:v>Erişilemedi</x:v>
      </x:c>
      <x:c r="K1136" s="18" t="str">
        <x:f>IF(AND(ISNUMBER(G1136),ISNUMBER(I1136)),I1136/G1136*1000,"Erişilemedi")</x:f>
        <x:v>Erişilemedi</x:v>
      </x:c>
      <x:c r="L1136" s="16" t="str">
        <x:v>Belirsiz</x:v>
      </x:c>
      <x:c r="M1136" s="16" t="str">
        <x:v>Kahve ürünü</x:v>
      </x:c>
      <x:c r="N1136" s="16" t="str">
        <x:v>Shopify ürün akışı</x:v>
      </x:c>
      <x:c r="O1136" s="16" t="str">
        <x:v>Orta</x:v>
      </x:c>
      <x:c r="P1136" s="19" t="n">
        <x:v>46245</x:v>
      </x:c>
      <x:c r="Q1136" s="20" t="str">
        <x:v>https://www.nokcoffee.com/products/ethiopia-guji-grade-2-200-gr-1</x:v>
      </x:c>
      <x:c r="R1136" s="20" t="str">
        <x:v>Satış varyantı erişilemedi.</x:v>
      </x:c>
    </x:row>
    <x:row r="1137" ht="40" customHeight="1">
      <x:c r="A1137" s="16" t="str">
        <x:v>Nok Coffee</x:v>
      </x:c>
      <x:c r="B1137" s="16" t="str">
        <x:v>İzmir</x:v>
      </x:c>
      <x:c r="C1137" s="16" t="str">
        <x:v>Kısmi doğrulama</x:v>
      </x:c>
      <x:c r="D1137" s="16" t="str">
        <x:v>Ürün kaydı</x:v>
      </x:c>
      <x:c r="E1137" s="16" t="str">
        <x:v>Ethiopia Guji Grade2 - Çekirdek (Öğütülmemiş) - 1 Kg</x:v>
      </x:c>
      <x:c r="F1137" s="16" t="str">
        <x:v>Etiyopya</x:v>
      </x:c>
      <x:c r="G1137" s="17" t="n">
        <x:v>1000</x:v>
      </x:c>
      <x:c r="H1137" s="16" t="str">
        <x:v>Erişildi</x:v>
      </x:c>
      <x:c r="I1137" s="18" t="n">
        <x:v>909.9</x:v>
      </x:c>
      <x:c r="J1137" s="18" t="str">
        <x:v>Erişildi</x:v>
      </x:c>
      <x:c r="K1137" s="18" t="n">
        <x:f>IF(AND(ISNUMBER(G1137),ISNUMBER(I1137)),I1137/G1137*1000,"Erişilemedi")</x:f>
        <x:v>909.9</x:v>
      </x:c>
      <x:c r="L1137" s="16" t="str">
        <x:v>Stokta</x:v>
      </x:c>
      <x:c r="M1137" s="16" t="str">
        <x:v>Tek köken/ürün</x:v>
      </x:c>
      <x:c r="N1137" s="16" t="str">
        <x:v>Shopify ürün akışı</x:v>
      </x:c>
      <x:c r="O1137" s="16" t="str">
        <x:v>Yüksek</x:v>
      </x:c>
      <x:c r="P1137" s="19" t="n">
        <x:v>46245</x:v>
      </x:c>
      <x:c r="Q1137" s="20" t="str">
        <x:v>https://www.nokcoffee.com/products/ethiopia-guji-grade2-cekirdek-ogutulmemis-1-kg</x:v>
      </x:c>
      <x:c r="R1137" s="20" t="str">
        <x:v>Öğütüm seçenekleri aynı gramaj ve fiyatta tekilleştirildi.</x:v>
      </x:c>
    </x:row>
    <x:row r="1138" ht="40" customHeight="1">
      <x:c r="A1138" s="16" t="str">
        <x:v>Nok Coffee</x:v>
      </x:c>
      <x:c r="B1138" s="16" t="str">
        <x:v>İzmir</x:v>
      </x:c>
      <x:c r="C1138" s="16" t="str">
        <x:v>Kısmi doğrulama</x:v>
      </x:c>
      <x:c r="D1138" s="16" t="str">
        <x:v>Ürün kaydı</x:v>
      </x:c>
      <x:c r="E1138" s="16" t="str">
        <x:v>Ethiopia Limu Grade 2 - Çekirdek (Öğütülmemiş) - 1 Kg</x:v>
      </x:c>
      <x:c r="F1138" s="16" t="str">
        <x:v>Etiyopya</x:v>
      </x:c>
      <x:c r="G1138" s="17" t="n">
        <x:v>1000</x:v>
      </x:c>
      <x:c r="H1138" s="16" t="str">
        <x:v>Erişildi</x:v>
      </x:c>
      <x:c r="I1138" s="18" t="n">
        <x:v>780</x:v>
      </x:c>
      <x:c r="J1138" s="18" t="str">
        <x:v>Erişildi</x:v>
      </x:c>
      <x:c r="K1138" s="18" t="n">
        <x:f>IF(AND(ISNUMBER(G1138),ISNUMBER(I1138)),I1138/G1138*1000,"Erişilemedi")</x:f>
        <x:v>780</x:v>
      </x:c>
      <x:c r="L1138" s="16" t="str">
        <x:v>Stokta</x:v>
      </x:c>
      <x:c r="M1138" s="16" t="str">
        <x:v>Tek köken/ürün</x:v>
      </x:c>
      <x:c r="N1138" s="16" t="str">
        <x:v>Shopify ürün akışı</x:v>
      </x:c>
      <x:c r="O1138" s="16" t="str">
        <x:v>Yüksek</x:v>
      </x:c>
      <x:c r="P1138" s="19" t="n">
        <x:v>46245</x:v>
      </x:c>
      <x:c r="Q1138" s="20" t="str">
        <x:v>https://www.nokcoffee.com/products/ethiopia-limu-grade-2-cekirdek-ogutulmemis-1-kg</x:v>
      </x:c>
      <x:c r="R1138" s="20" t="str">
        <x:v>Öğütüm seçenekleri aynı gramaj ve fiyatta tekilleştirildi.</x:v>
      </x:c>
    </x:row>
    <x:row r="1139" ht="40" customHeight="1">
      <x:c r="A1139" s="16" t="str">
        <x:v>Nok Coffee</x:v>
      </x:c>
      <x:c r="B1139" s="16" t="str">
        <x:v>İzmir</x:v>
      </x:c>
      <x:c r="C1139" s="16" t="str">
        <x:v>Kısmi doğrulama</x:v>
      </x:c>
      <x:c r="D1139" s="16" t="str">
        <x:v>Ürün kaydı</x:v>
      </x:c>
      <x:c r="E1139" s="16" t="str">
        <x:v>Ethiopia Sidamo Grade 2 - 200 Gr</x:v>
      </x:c>
      <x:c r="F1139" s="16" t="str">
        <x:v>Etiyopya</x:v>
      </x:c>
      <x:c r="G1139" s="17" t="n">
        <x:v>200</x:v>
      </x:c>
      <x:c r="H1139" s="16" t="str">
        <x:v>Erişildi</x:v>
      </x:c>
      <x:c r="I1139" s="18" t="str">
        <x:v>Erişilemedi</x:v>
      </x:c>
      <x:c r="J1139" s="18" t="str">
        <x:v>Erişilemedi</x:v>
      </x:c>
      <x:c r="K1139" s="18" t="str">
        <x:f>IF(AND(ISNUMBER(G1139),ISNUMBER(I1139)),I1139/G1139*1000,"Erişilemedi")</x:f>
        <x:v>Erişilemedi</x:v>
      </x:c>
      <x:c r="L1139" s="16" t="str">
        <x:v>Belirsiz</x:v>
      </x:c>
      <x:c r="M1139" s="16" t="str">
        <x:v>Kahve ürünü</x:v>
      </x:c>
      <x:c r="N1139" s="16" t="str">
        <x:v>Shopify ürün akışı</x:v>
      </x:c>
      <x:c r="O1139" s="16" t="str">
        <x:v>Orta</x:v>
      </x:c>
      <x:c r="P1139" s="19" t="n">
        <x:v>46245</x:v>
      </x:c>
      <x:c r="Q1139" s="20" t="str">
        <x:v>https://www.nokcoffee.com/products/ethiopia-sidamo-grade-2-200-gr-1</x:v>
      </x:c>
      <x:c r="R1139" s="20" t="str">
        <x:v>Satış varyantı erişilemedi.</x:v>
      </x:c>
    </x:row>
    <x:row r="1140" ht="40" customHeight="1">
      <x:c r="A1140" s="16" t="str">
        <x:v>Nok Coffee</x:v>
      </x:c>
      <x:c r="B1140" s="16" t="str">
        <x:v>İzmir</x:v>
      </x:c>
      <x:c r="C1140" s="16" t="str">
        <x:v>Kısmi doğrulama</x:v>
      </x:c>
      <x:c r="D1140" s="16" t="str">
        <x:v>Ürün kaydı</x:v>
      </x:c>
      <x:c r="E1140" s="16" t="str">
        <x:v>Ethiopia Sidamo Grade 2 - Çiğ Yeşil Kahve Çekirdek 1kg</x:v>
      </x:c>
      <x:c r="F1140" s="16" t="str">
        <x:v>Etiyopya</x:v>
      </x:c>
      <x:c r="G1140" s="17" t="n">
        <x:v>1000</x:v>
      </x:c>
      <x:c r="H1140" s="16" t="str">
        <x:v>Erişildi</x:v>
      </x:c>
      <x:c r="I1140" s="18" t="str">
        <x:v>Erişilemedi</x:v>
      </x:c>
      <x:c r="J1140" s="18" t="str">
        <x:v>Erişilemedi</x:v>
      </x:c>
      <x:c r="K1140" s="18" t="str">
        <x:f>IF(AND(ISNUMBER(G1140),ISNUMBER(I1140)),I1140/G1140*1000,"Erişilemedi")</x:f>
        <x:v>Erişilemedi</x:v>
      </x:c>
      <x:c r="L1140" s="16" t="str">
        <x:v>Belirsiz</x:v>
      </x:c>
      <x:c r="M1140" s="16" t="str">
        <x:v>Kahve ürünü</x:v>
      </x:c>
      <x:c r="N1140" s="16" t="str">
        <x:v>Shopify ürün akışı</x:v>
      </x:c>
      <x:c r="O1140" s="16" t="str">
        <x:v>Orta</x:v>
      </x:c>
      <x:c r="P1140" s="19" t="n">
        <x:v>46245</x:v>
      </x:c>
      <x:c r="Q1140" s="20" t="str">
        <x:v>https://www.nokcoffee.com/products/ethiopia-sidamo-grade-2-cig-yesil-kahve-cekirdek-1kg</x:v>
      </x:c>
      <x:c r="R1140" s="20" t="str">
        <x:v>Satış varyantı erişilemedi.</x:v>
      </x:c>
    </x:row>
    <x:row r="1141" ht="40" customHeight="1">
      <x:c r="A1141" s="16" t="str">
        <x:v>Nok Coffee</x:v>
      </x:c>
      <x:c r="B1141" s="16" t="str">
        <x:v>İzmir</x:v>
      </x:c>
      <x:c r="C1141" s="16" t="str">
        <x:v>Kısmi doğrulama</x:v>
      </x:c>
      <x:c r="D1141" s="16" t="str">
        <x:v>Ürün kaydı</x:v>
      </x:c>
      <x:c r="E1141" s="16" t="str">
        <x:v>Ethiopia Sidamo Grade2 - Çekirdek (Öğütülmemiş) - 1 Kg</x:v>
      </x:c>
      <x:c r="F1141" s="16" t="str">
        <x:v>Etiyopya</x:v>
      </x:c>
      <x:c r="G1141" s="17" t="n">
        <x:v>1000</x:v>
      </x:c>
      <x:c r="H1141" s="16" t="str">
        <x:v>Erişildi</x:v>
      </x:c>
      <x:c r="I1141" s="18" t="n">
        <x:v>906.9</x:v>
      </x:c>
      <x:c r="J1141" s="18" t="str">
        <x:v>Erişildi</x:v>
      </x:c>
      <x:c r="K1141" s="18" t="n">
        <x:f>IF(AND(ISNUMBER(G1141),ISNUMBER(I1141)),I1141/G1141*1000,"Erişilemedi")</x:f>
        <x:v>906.9</x:v>
      </x:c>
      <x:c r="L1141" s="16" t="str">
        <x:v>Stokta</x:v>
      </x:c>
      <x:c r="M1141" s="16" t="str">
        <x:v>Tek köken/ürün</x:v>
      </x:c>
      <x:c r="N1141" s="16" t="str">
        <x:v>Shopify ürün akışı</x:v>
      </x:c>
      <x:c r="O1141" s="16" t="str">
        <x:v>Yüksek</x:v>
      </x:c>
      <x:c r="P1141" s="19" t="n">
        <x:v>46245</x:v>
      </x:c>
      <x:c r="Q1141" s="20" t="str">
        <x:v>https://www.nokcoffee.com/products/ethiopia-sidamo-grade2-cekirdek-ogutulmemis-1-kg</x:v>
      </x:c>
      <x:c r="R1141" s="20" t="str">
        <x:v>Öğütüm seçenekleri aynı gramaj ve fiyatta tekilleştirildi.</x:v>
      </x:c>
    </x:row>
    <x:row r="1142" ht="40" customHeight="1">
      <x:c r="A1142" s="16" t="str">
        <x:v>Nok Coffee</x:v>
      </x:c>
      <x:c r="B1142" s="16" t="str">
        <x:v>İzmir</x:v>
      </x:c>
      <x:c r="C1142" s="16" t="str">
        <x:v>Kısmi doğrulama</x:v>
      </x:c>
      <x:c r="D1142" s="16" t="str">
        <x:v>Ürün kaydı</x:v>
      </x:c>
      <x:c r="E1142" s="16" t="str">
        <x:v>Ethiopia Yirgacheffe Grade 2 Çiğ Yeşil Çekirdek 1kg</x:v>
      </x:c>
      <x:c r="F1142" s="16" t="str">
        <x:v>Etiyopya</x:v>
      </x:c>
      <x:c r="G1142" s="17" t="n">
        <x:v>1000</x:v>
      </x:c>
      <x:c r="H1142" s="16" t="str">
        <x:v>Erişildi</x:v>
      </x:c>
      <x:c r="I1142" s="18" t="n">
        <x:v>791.62</x:v>
      </x:c>
      <x:c r="J1142" s="18" t="str">
        <x:v>Erişildi</x:v>
      </x:c>
      <x:c r="K1142" s="18" t="n">
        <x:f>IF(AND(ISNUMBER(G1142),ISNUMBER(I1142)),I1142/G1142*1000,"Erişilemedi")</x:f>
        <x:v>791.62</x:v>
      </x:c>
      <x:c r="L1142" s="16" t="str">
        <x:v>Stokta</x:v>
      </x:c>
      <x:c r="M1142" s="16" t="str">
        <x:v>Tek köken/ürün</x:v>
      </x:c>
      <x:c r="N1142" s="16" t="str">
        <x:v>Shopify ürün akışı</x:v>
      </x:c>
      <x:c r="O1142" s="16" t="str">
        <x:v>Yüksek</x:v>
      </x:c>
      <x:c r="P1142" s="19" t="n">
        <x:v>46245</x:v>
      </x:c>
      <x:c r="Q1142" s="20" t="str">
        <x:v>https://www.nokcoffee.com/products/ethiopia-yirgacheffe-grade-2-cig-yesil-cekirdek-1kg</x:v>
      </x:c>
      <x:c r="R1142" s="20" t="str">
        <x:v>Öğütüm seçenekleri aynı gramaj ve fiyatta tekilleştirildi.</x:v>
      </x:c>
    </x:row>
    <x:row r="1143" ht="40" customHeight="1">
      <x:c r="A1143" s="16" t="str">
        <x:v>Nok Coffee</x:v>
      </x:c>
      <x:c r="B1143" s="16" t="str">
        <x:v>İzmir</x:v>
      </x:c>
      <x:c r="C1143" s="16" t="str">
        <x:v>Kısmi doğrulama</x:v>
      </x:c>
      <x:c r="D1143" s="16" t="str">
        <x:v>Ürün kaydı</x:v>
      </x:c>
      <x:c r="E1143" s="16" t="str">
        <x:v>Ethiopia Yirgacheffe Grade2 - Çekirdek (Öğütülmemiş) - 1 Kg</x:v>
      </x:c>
      <x:c r="F1143" s="16" t="str">
        <x:v>Etiyopya</x:v>
      </x:c>
      <x:c r="G1143" s="17" t="n">
        <x:v>1000</x:v>
      </x:c>
      <x:c r="H1143" s="16" t="str">
        <x:v>Erişildi</x:v>
      </x:c>
      <x:c r="I1143" s="18" t="n">
        <x:v>930.9</x:v>
      </x:c>
      <x:c r="J1143" s="18" t="str">
        <x:v>Erişildi</x:v>
      </x:c>
      <x:c r="K1143" s="18" t="n">
        <x:f>IF(AND(ISNUMBER(G1143),ISNUMBER(I1143)),I1143/G1143*1000,"Erişilemedi")</x:f>
        <x:v>930.9</x:v>
      </x:c>
      <x:c r="L1143" s="16" t="str">
        <x:v>Stokta</x:v>
      </x:c>
      <x:c r="M1143" s="16" t="str">
        <x:v>Tek köken/ürün</x:v>
      </x:c>
      <x:c r="N1143" s="16" t="str">
        <x:v>Shopify ürün akışı</x:v>
      </x:c>
      <x:c r="O1143" s="16" t="str">
        <x:v>Yüksek</x:v>
      </x:c>
      <x:c r="P1143" s="19" t="n">
        <x:v>46245</x:v>
      </x:c>
      <x:c r="Q1143" s="20" t="str">
        <x:v>https://www.nokcoffee.com/products/ethiopia-yirgacheffe-grade2-cekirdek-ogutulmemis-1-kg</x:v>
      </x:c>
      <x:c r="R1143" s="20" t="str">
        <x:v>Öğütüm seçenekleri aynı gramaj ve fiyatta tekilleştirildi.</x:v>
      </x:c>
    </x:row>
    <x:row r="1144" ht="40" customHeight="1">
      <x:c r="A1144" s="16" t="str">
        <x:v>Nok Coffee</x:v>
      </x:c>
      <x:c r="B1144" s="16" t="str">
        <x:v>İzmir</x:v>
      </x:c>
      <x:c r="C1144" s="16" t="str">
        <x:v>Kısmi doğrulama</x:v>
      </x:c>
      <x:c r="D1144" s="16" t="str">
        <x:v>Ürün kaydı</x:v>
      </x:c>
      <x:c r="E1144" s="16" t="str">
        <x:v>French Press Black</x:v>
      </x:c>
      <x:c r="F1144" s="16" t="str">
        <x:v>Menşe belirtilmemiş</x:v>
      </x:c>
      <x:c r="G1144" s="17" t="str">
        <x:v>Erişilemedi</x:v>
      </x:c>
      <x:c r="H1144" s="16" t="str">
        <x:v>Erişilemedi</x:v>
      </x:c>
      <x:c r="I1144" s="18" t="n">
        <x:v>649.82</x:v>
      </x:c>
      <x:c r="J1144" s="18" t="str">
        <x:v>Erişildi</x:v>
      </x:c>
      <x:c r="K1144" s="18" t="str">
        <x:f>IF(AND(ISNUMBER(G1144),ISNUMBER(I1144)),I1144/G1144*1000,"Erişilemedi")</x:f>
        <x:v>Erişilemedi</x:v>
      </x:c>
      <x:c r="L1144" s="16" t="str">
        <x:v>Stokta</x:v>
      </x:c>
      <x:c r="M1144" s="16" t="str">
        <x:v>Kahve ürünü</x:v>
      </x:c>
      <x:c r="N1144" s="16" t="str">
        <x:v>Shopify ürün akışı</x:v>
      </x:c>
      <x:c r="O1144" s="16" t="str">
        <x:v>Orta</x:v>
      </x:c>
      <x:c r="P1144" s="19" t="n">
        <x:v>46245</x:v>
      </x:c>
      <x:c r="Q1144" s="20" t="str">
        <x:v>https://www.nokcoffee.com/products/french-press-duz-350e</x:v>
      </x:c>
      <x:c r="R1144" s="20" t="str">
        <x:v>Öğütüm seçenekleri tekilleştirildi.</x:v>
      </x:c>
    </x:row>
    <x:row r="1145" ht="40" customHeight="1">
      <x:c r="A1145" s="16" t="str">
        <x:v>Nok Coffee</x:v>
      </x:c>
      <x:c r="B1145" s="16" t="str">
        <x:v>İzmir</x:v>
      </x:c>
      <x:c r="C1145" s="16" t="str">
        <x:v>Kısmi doğrulama</x:v>
      </x:c>
      <x:c r="D1145" s="16" t="str">
        <x:v>Ürün kaydı</x:v>
      </x:c>
      <x:c r="E1145" s="16" t="str">
        <x:v>French Press Rose Gold</x:v>
      </x:c>
      <x:c r="F1145" s="16" t="str">
        <x:v>Menşe belirtilmemiş</x:v>
      </x:c>
      <x:c r="G1145" s="17" t="str">
        <x:v>Erişilemedi</x:v>
      </x:c>
      <x:c r="H1145" s="16" t="str">
        <x:v>Erişilemedi</x:v>
      </x:c>
      <x:c r="I1145" s="18" t="n">
        <x:v>689.72</x:v>
      </x:c>
      <x:c r="J1145" s="18" t="str">
        <x:v>Erişildi</x:v>
      </x:c>
      <x:c r="K1145" s="18" t="str">
        <x:f>IF(AND(ISNUMBER(G1145),ISNUMBER(I1145)),I1145/G1145*1000,"Erişilemedi")</x:f>
        <x:v>Erişilemedi</x:v>
      </x:c>
      <x:c r="L1145" s="16" t="str">
        <x:v>Stokta</x:v>
      </x:c>
      <x:c r="M1145" s="16" t="str">
        <x:v>Kahve ürünü</x:v>
      </x:c>
      <x:c r="N1145" s="16" t="str">
        <x:v>Shopify ürün akışı</x:v>
      </x:c>
      <x:c r="O1145" s="16" t="str">
        <x:v>Orta</x:v>
      </x:c>
      <x:c r="P1145" s="19" t="n">
        <x:v>46245</x:v>
      </x:c>
      <x:c r="Q1145" s="20" t="str">
        <x:v>https://www.nokcoffee.com/products/french-press-duz-350b</x:v>
      </x:c>
      <x:c r="R1145" s="20" t="str">
        <x:v>Öğütüm seçenekleri tekilleştirildi.</x:v>
      </x:c>
    </x:row>
    <x:row r="1146" ht="40" customHeight="1">
      <x:c r="A1146" s="16" t="str">
        <x:v>Nok Coffee</x:v>
      </x:c>
      <x:c r="B1146" s="16" t="str">
        <x:v>İzmir</x:v>
      </x:c>
      <x:c r="C1146" s="16" t="str">
        <x:v>Kısmi doğrulama</x:v>
      </x:c>
      <x:c r="D1146" s="16" t="str">
        <x:v>Ürün kaydı</x:v>
      </x:c>
      <x:c r="E1146" s="16" t="str">
        <x:v>French Press Silver</x:v>
      </x:c>
      <x:c r="F1146" s="16" t="str">
        <x:v>Menşe belirtilmemiş</x:v>
      </x:c>
      <x:c r="G1146" s="17" t="str">
        <x:v>Erişilemedi</x:v>
      </x:c>
      <x:c r="H1146" s="16" t="str">
        <x:v>Erişilemedi</x:v>
      </x:c>
      <x:c r="I1146" s="18" t="n">
        <x:v>672.62</x:v>
      </x:c>
      <x:c r="J1146" s="18" t="str">
        <x:v>Erişildi</x:v>
      </x:c>
      <x:c r="K1146" s="18" t="str">
        <x:f>IF(AND(ISNUMBER(G1146),ISNUMBER(I1146)),I1146/G1146*1000,"Erişilemedi")</x:f>
        <x:v>Erişilemedi</x:v>
      </x:c>
      <x:c r="L1146" s="16" t="str">
        <x:v>Stokta</x:v>
      </x:c>
      <x:c r="M1146" s="16" t="str">
        <x:v>Kahve ürünü</x:v>
      </x:c>
      <x:c r="N1146" s="16" t="str">
        <x:v>Shopify ürün akışı</x:v>
      </x:c>
      <x:c r="O1146" s="16" t="str">
        <x:v>Orta</x:v>
      </x:c>
      <x:c r="P1146" s="19" t="n">
        <x:v>46245</x:v>
      </x:c>
      <x:c r="Q1146" s="20" t="str">
        <x:v>https://www.nokcoffee.com/products/french-pressduz-350d</x:v>
      </x:c>
      <x:c r="R1146" s="20" t="str">
        <x:v>Öğütüm seçenekleri tekilleştirildi.</x:v>
      </x:c>
    </x:row>
    <x:row r="1147" ht="40" customHeight="1">
      <x:c r="A1147" s="16" t="str">
        <x:v>Nok Coffee</x:v>
      </x:c>
      <x:c r="B1147" s="16" t="str">
        <x:v>İzmir</x:v>
      </x:c>
      <x:c r="C1147" s="16" t="str">
        <x:v>Kısmi doğrulama</x:v>
      </x:c>
      <x:c r="D1147" s="16" t="str">
        <x:v>Ürün kaydı</x:v>
      </x:c>
      <x:c r="E1147" s="16" t="str">
        <x:v>Guatemala El Jaguar - 200 Gr</x:v>
      </x:c>
      <x:c r="F1147" s="16" t="str">
        <x:v>Guatemala</x:v>
      </x:c>
      <x:c r="G1147" s="17" t="n">
        <x:v>200</x:v>
      </x:c>
      <x:c r="H1147" s="16" t="str">
        <x:v>Erişildi</x:v>
      </x:c>
      <x:c r="I1147" s="18" t="str">
        <x:v>Erişilemedi</x:v>
      </x:c>
      <x:c r="J1147" s="18" t="str">
        <x:v>Erişilemedi</x:v>
      </x:c>
      <x:c r="K1147" s="18" t="str">
        <x:f>IF(AND(ISNUMBER(G1147),ISNUMBER(I1147)),I1147/G1147*1000,"Erişilemedi")</x:f>
        <x:v>Erişilemedi</x:v>
      </x:c>
      <x:c r="L1147" s="16" t="str">
        <x:v>Belirsiz</x:v>
      </x:c>
      <x:c r="M1147" s="16" t="str">
        <x:v>Kahve ürünü</x:v>
      </x:c>
      <x:c r="N1147" s="16" t="str">
        <x:v>Shopify ürün akışı</x:v>
      </x:c>
      <x:c r="O1147" s="16" t="str">
        <x:v>Orta</x:v>
      </x:c>
      <x:c r="P1147" s="19" t="n">
        <x:v>46245</x:v>
      </x:c>
      <x:c r="Q1147" s="20" t="str">
        <x:v>https://www.nokcoffee.com/products/guatemala-el-jaguar-200-gr-1</x:v>
      </x:c>
      <x:c r="R1147" s="20" t="str">
        <x:v>Satış varyantı erişilemedi.</x:v>
      </x:c>
    </x:row>
    <x:row r="1148" ht="40" customHeight="1">
      <x:c r="A1148" s="16" t="str">
        <x:v>Nok Coffee</x:v>
      </x:c>
      <x:c r="B1148" s="16" t="str">
        <x:v>İzmir</x:v>
      </x:c>
      <x:c r="C1148" s="16" t="str">
        <x:v>Kısmi doğrulama</x:v>
      </x:c>
      <x:c r="D1148" s="16" t="str">
        <x:v>Ürün kaydı</x:v>
      </x:c>
      <x:c r="E1148" s="16" t="str">
        <x:v>Hassas Kahve Tartısı</x:v>
      </x:c>
      <x:c r="F1148" s="16" t="str">
        <x:v>Menşe belirtilmemiş</x:v>
      </x:c>
      <x:c r="G1148" s="17" t="str">
        <x:v>Erişilemedi</x:v>
      </x:c>
      <x:c r="H1148" s="16" t="str">
        <x:v>Erişilemedi</x:v>
      </x:c>
      <x:c r="I1148" s="18" t="n">
        <x:v>1065.94</x:v>
      </x:c>
      <x:c r="J1148" s="18" t="str">
        <x:v>Erişildi</x:v>
      </x:c>
      <x:c r="K1148" s="18" t="str">
        <x:f>IF(AND(ISNUMBER(G1148),ISNUMBER(I1148)),I1148/G1148*1000,"Erişilemedi")</x:f>
        <x:v>Erişilemedi</x:v>
      </x:c>
      <x:c r="L1148" s="16" t="str">
        <x:v>Stokta</x:v>
      </x:c>
      <x:c r="M1148" s="16" t="str">
        <x:v>Kahve ürünü</x:v>
      </x:c>
      <x:c r="N1148" s="16" t="str">
        <x:v>Shopify ürün akışı</x:v>
      </x:c>
      <x:c r="O1148" s="16" t="str">
        <x:v>Orta</x:v>
      </x:c>
      <x:c r="P1148" s="19" t="n">
        <x:v>46245</x:v>
      </x:c>
      <x:c r="Q1148" s="20" t="str">
        <x:v>https://www.nokcoffee.com/products/hassas-kahve-tartisi-kt-02</x:v>
      </x:c>
      <x:c r="R1148" s="20" t="str">
        <x:v>Öğütüm seçenekleri tekilleştirildi.</x:v>
      </x:c>
    </x:row>
    <x:row r="1149" ht="40" customHeight="1">
      <x:c r="A1149" s="16" t="str">
        <x:v>Nok Coffee</x:v>
      </x:c>
      <x:c r="B1149" s="16" t="str">
        <x:v>İzmir</x:v>
      </x:c>
      <x:c r="C1149" s="16" t="str">
        <x:v>Kısmi doğrulama</x:v>
      </x:c>
      <x:c r="D1149" s="16" t="str">
        <x:v>Ürün kaydı</x:v>
      </x:c>
      <x:c r="E1149" s="16" t="str">
        <x:v>Hassas Kahve Tartısı</x:v>
      </x:c>
      <x:c r="F1149" s="16" t="str">
        <x:v>Menşe belirtilmemiş</x:v>
      </x:c>
      <x:c r="G1149" s="17" t="str">
        <x:v>Erişilemedi</x:v>
      </x:c>
      <x:c r="H1149" s="16" t="str">
        <x:v>Erişilemedi</x:v>
      </x:c>
      <x:c r="I1149" s="18" t="n">
        <x:v>861.87</x:v>
      </x:c>
      <x:c r="J1149" s="18" t="str">
        <x:v>Erişildi</x:v>
      </x:c>
      <x:c r="K1149" s="18" t="str">
        <x:f>IF(AND(ISNUMBER(G1149),ISNUMBER(I1149)),I1149/G1149*1000,"Erişilemedi")</x:f>
        <x:v>Erişilemedi</x:v>
      </x:c>
      <x:c r="L1149" s="16" t="str">
        <x:v>Stokta</x:v>
      </x:c>
      <x:c r="M1149" s="16" t="str">
        <x:v>Kahve ürünü</x:v>
      </x:c>
      <x:c r="N1149" s="16" t="str">
        <x:v>Shopify ürün akışı</x:v>
      </x:c>
      <x:c r="O1149" s="16" t="str">
        <x:v>Orta</x:v>
      </x:c>
      <x:c r="P1149" s="19" t="n">
        <x:v>46245</x:v>
      </x:c>
      <x:c r="Q1149" s="20" t="str">
        <x:v>https://www.nokcoffee.com/products/hassas-kahve-tartisi</x:v>
      </x:c>
      <x:c r="R1149" s="20" t="str">
        <x:v>Öğütüm seçenekleri tekilleştirildi.</x:v>
      </x:c>
    </x:row>
    <x:row r="1150" ht="40" customHeight="1">
      <x:c r="A1150" s="16" t="str">
        <x:v>Nok Coffee</x:v>
      </x:c>
      <x:c r="B1150" s="16" t="str">
        <x:v>İzmir</x:v>
      </x:c>
      <x:c r="C1150" s="16" t="str">
        <x:v>Kısmi doğrulama</x:v>
      </x:c>
      <x:c r="D1150" s="16" t="str">
        <x:v>Ürün kaydı</x:v>
      </x:c>
      <x:c r="E1150" s="16" t="str">
        <x:v>Honduras Finca Rio Colorado - 200 Gr</x:v>
      </x:c>
      <x:c r="F1150" s="16" t="str">
        <x:v>Honduras</x:v>
      </x:c>
      <x:c r="G1150" s="17" t="n">
        <x:v>200</x:v>
      </x:c>
      <x:c r="H1150" s="16" t="str">
        <x:v>Erişildi</x:v>
      </x:c>
      <x:c r="I1150" s="18" t="str">
        <x:v>Erişilemedi</x:v>
      </x:c>
      <x:c r="J1150" s="18" t="str">
        <x:v>Erişilemedi</x:v>
      </x:c>
      <x:c r="K1150" s="18" t="str">
        <x:f>IF(AND(ISNUMBER(G1150),ISNUMBER(I1150)),I1150/G1150*1000,"Erişilemedi")</x:f>
        <x:v>Erişilemedi</x:v>
      </x:c>
      <x:c r="L1150" s="16" t="str">
        <x:v>Belirsiz</x:v>
      </x:c>
      <x:c r="M1150" s="16" t="str">
        <x:v>Kahve ürünü</x:v>
      </x:c>
      <x:c r="N1150" s="16" t="str">
        <x:v>Shopify ürün akışı</x:v>
      </x:c>
      <x:c r="O1150" s="16" t="str">
        <x:v>Orta</x:v>
      </x:c>
      <x:c r="P1150" s="19" t="n">
        <x:v>46245</x:v>
      </x:c>
      <x:c r="Q1150" s="20" t="str">
        <x:v>https://www.nokcoffee.com/products/honduras-finca-rio-colorado-200-gr-1</x:v>
      </x:c>
      <x:c r="R1150" s="20" t="str">
        <x:v>Satış varyantı erişilemedi.</x:v>
      </x:c>
    </x:row>
    <x:row r="1151" ht="40" customHeight="1">
      <x:c r="A1151" s="16" t="str">
        <x:v>Nok Coffee</x:v>
      </x:c>
      <x:c r="B1151" s="16" t="str">
        <x:v>İzmir</x:v>
      </x:c>
      <x:c r="C1151" s="16" t="str">
        <x:v>Kısmi doğrulama</x:v>
      </x:c>
      <x:c r="D1151" s="16" t="str">
        <x:v>Ürün kaydı</x:v>
      </x:c>
      <x:c r="E1151" s="16" t="str">
        <x:v>Honduras Finca Rio Colorado - Çekirdek (Öğütülmemiş) - 1 Kg</x:v>
      </x:c>
      <x:c r="F1151" s="16" t="str">
        <x:v>Honduras</x:v>
      </x:c>
      <x:c r="G1151" s="17" t="n">
        <x:v>1000</x:v>
      </x:c>
      <x:c r="H1151" s="16" t="str">
        <x:v>Erişildi</x:v>
      </x:c>
      <x:c r="I1151" s="18" t="n">
        <x:v>909</x:v>
      </x:c>
      <x:c r="J1151" s="18" t="str">
        <x:v>Erişildi</x:v>
      </x:c>
      <x:c r="K1151" s="18" t="n">
        <x:f>IF(AND(ISNUMBER(G1151),ISNUMBER(I1151)),I1151/G1151*1000,"Erişilemedi")</x:f>
        <x:v>909</x:v>
      </x:c>
      <x:c r="L1151" s="16" t="str">
        <x:v>Stokta</x:v>
      </x:c>
      <x:c r="M1151" s="16" t="str">
        <x:v>Tek köken/ürün</x:v>
      </x:c>
      <x:c r="N1151" s="16" t="str">
        <x:v>Shopify ürün akışı</x:v>
      </x:c>
      <x:c r="O1151" s="16" t="str">
        <x:v>Yüksek</x:v>
      </x:c>
      <x:c r="P1151" s="19" t="n">
        <x:v>46245</x:v>
      </x:c>
      <x:c r="Q1151" s="20" t="str">
        <x:v>https://www.nokcoffee.com/products/honduras-finca-rio-colorado-cekirdek-ogutulmemis-1-kg</x:v>
      </x:c>
      <x:c r="R1151" s="20" t="str">
        <x:v>Öğütüm seçenekleri aynı gramaj ve fiyatta tekilleştirildi.</x:v>
      </x:c>
    </x:row>
    <x:row r="1152" ht="40" customHeight="1">
      <x:c r="A1152" s="16" t="str">
        <x:v>Nok Coffee</x:v>
      </x:c>
      <x:c r="B1152" s="16" t="str">
        <x:v>İzmir</x:v>
      </x:c>
      <x:c r="C1152" s="16" t="str">
        <x:v>Kısmi doğrulama</x:v>
      </x:c>
      <x:c r="D1152" s="16" t="str">
        <x:v>Ürün kaydı</x:v>
      </x:c>
      <x:c r="E1152" s="16" t="str">
        <x:v>India Robusta Çiğ Yeşil Kahve Çekirdek 1kg</x:v>
      </x:c>
      <x:c r="F1152" s="16" t="str">
        <x:v>Hindistan</x:v>
      </x:c>
      <x:c r="G1152" s="17" t="n">
        <x:v>1000</x:v>
      </x:c>
      <x:c r="H1152" s="16" t="str">
        <x:v>Erişildi</x:v>
      </x:c>
      <x:c r="I1152" s="18" t="str">
        <x:v>Erişilemedi</x:v>
      </x:c>
      <x:c r="J1152" s="18" t="str">
        <x:v>Erişilemedi</x:v>
      </x:c>
      <x:c r="K1152" s="18" t="str">
        <x:f>IF(AND(ISNUMBER(G1152),ISNUMBER(I1152)),I1152/G1152*1000,"Erişilemedi")</x:f>
        <x:v>Erişilemedi</x:v>
      </x:c>
      <x:c r="L1152" s="16" t="str">
        <x:v>Belirsiz</x:v>
      </x:c>
      <x:c r="M1152" s="16" t="str">
        <x:v>Kahve ürünü</x:v>
      </x:c>
      <x:c r="N1152" s="16" t="str">
        <x:v>Shopify ürün akışı</x:v>
      </x:c>
      <x:c r="O1152" s="16" t="str">
        <x:v>Orta</x:v>
      </x:c>
      <x:c r="P1152" s="19" t="n">
        <x:v>46245</x:v>
      </x:c>
      <x:c r="Q1152" s="20" t="str">
        <x:v>https://www.nokcoffee.com/products/india-robusta-cherry-aa-cig-yesil-kahve-cekirdek</x:v>
      </x:c>
      <x:c r="R1152" s="20" t="str">
        <x:v>Satış varyantı erişilemedi.</x:v>
      </x:c>
    </x:row>
    <x:row r="1153" ht="40" customHeight="1">
      <x:c r="A1153" s="16" t="str">
        <x:v>Nok Coffee</x:v>
      </x:c>
      <x:c r="B1153" s="16" t="str">
        <x:v>İzmir</x:v>
      </x:c>
      <x:c r="C1153" s="16" t="str">
        <x:v>Kısmi doğrulama</x:v>
      </x:c>
      <x:c r="D1153" s="16" t="str">
        <x:v>Ürün kaydı</x:v>
      </x:c>
      <x:c r="E1153" s="16" t="str">
        <x:v>Intenso Espresso Çekirdek Kahve 1 Kg x 10 Adet (Koli)</x:v>
      </x:c>
      <x:c r="F1153" s="16" t="str">
        <x:v>Harman – menşe belirtilmemiş</x:v>
      </x:c>
      <x:c r="G1153" s="17" t="n">
        <x:v>1000</x:v>
      </x:c>
      <x:c r="H1153" s="16" t="str">
        <x:v>Erişildi</x:v>
      </x:c>
      <x:c r="I1153" s="18" t="n">
        <x:v>5600</x:v>
      </x:c>
      <x:c r="J1153" s="18" t="str">
        <x:v>Erişildi</x:v>
      </x:c>
      <x:c r="K1153" s="18" t="n">
        <x:f>IF(AND(ISNUMBER(G1153),ISNUMBER(I1153)),I1153/G1153*1000,"Erişilemedi")</x:f>
        <x:v>5600</x:v>
      </x:c>
      <x:c r="L1153" s="16" t="str">
        <x:v>Stokta</x:v>
      </x:c>
      <x:c r="M1153" s="16" t="str">
        <x:v>Harman</x:v>
      </x:c>
      <x:c r="N1153" s="16" t="str">
        <x:v>Shopify ürün akışı</x:v>
      </x:c>
      <x:c r="O1153" s="16" t="str">
        <x:v>Yüksek</x:v>
      </x:c>
      <x:c r="P1153" s="19" t="n">
        <x:v>46245</x:v>
      </x:c>
      <x:c r="Q1153" s="20" t="str">
        <x:v>https://www.nokcoffee.com/products/espresso-cekirdek-kahve-1-kg-x-10-adet-koli</x:v>
      </x:c>
      <x:c r="R1153" s="20" t="str">
        <x:v>Öğütüm seçenekleri aynı gramaj ve fiyatta tekilleştirildi.</x:v>
      </x:c>
    </x:row>
    <x:row r="1154" ht="40" customHeight="1">
      <x:c r="A1154" s="16" t="str">
        <x:v>Nok Coffee</x:v>
      </x:c>
      <x:c r="B1154" s="16" t="str">
        <x:v>İzmir</x:v>
      </x:c>
      <x:c r="C1154" s="16" t="str">
        <x:v>Kısmi doğrulama</x:v>
      </x:c>
      <x:c r="D1154" s="16" t="str">
        <x:v>Ürün kaydı</x:v>
      </x:c>
      <x:c r="E1154" s="16" t="str">
        <x:v>Intenso Espresso Kahve Harmanı - 200 gr</x:v>
      </x:c>
      <x:c r="F1154" s="16" t="str">
        <x:v>Brezilya | Hindistan</x:v>
      </x:c>
      <x:c r="G1154" s="17" t="n">
        <x:v>200</x:v>
      </x:c>
      <x:c r="H1154" s="16" t="str">
        <x:v>Erişildi</x:v>
      </x:c>
      <x:c r="I1154" s="18" t="str">
        <x:v>Erişilemedi</x:v>
      </x:c>
      <x:c r="J1154" s="18" t="str">
        <x:v>Erişilemedi</x:v>
      </x:c>
      <x:c r="K1154" s="18" t="str">
        <x:f>IF(AND(ISNUMBER(G1154),ISNUMBER(I1154)),I1154/G1154*1000,"Erişilemedi")</x:f>
        <x:v>Erişilemedi</x:v>
      </x:c>
      <x:c r="L1154" s="16" t="str">
        <x:v>Belirsiz</x:v>
      </x:c>
      <x:c r="M1154" s="16" t="str">
        <x:v>Harman</x:v>
      </x:c>
      <x:c r="N1154" s="16" t="str">
        <x:v>Shopify ürün akışı</x:v>
      </x:c>
      <x:c r="O1154" s="16" t="str">
        <x:v>Orta</x:v>
      </x:c>
      <x:c r="P1154" s="19" t="n">
        <x:v>46245</x:v>
      </x:c>
      <x:c r="Q1154" s="20" t="str">
        <x:v>https://www.nokcoffee.com/products/intenso-espresso-kahve-harmani-200-gr-1</x:v>
      </x:c>
      <x:c r="R1154" s="20" t="str">
        <x:v>Satış varyantı erişilemedi.</x:v>
      </x:c>
    </x:row>
    <x:row r="1155" ht="40" customHeight="1">
      <x:c r="A1155" s="16" t="str">
        <x:v>Nok Coffee</x:v>
      </x:c>
      <x:c r="B1155" s="16" t="str">
        <x:v>İzmir</x:v>
      </x:c>
      <x:c r="C1155" s="16" t="str">
        <x:v>Kısmi doğrulama</x:v>
      </x:c>
      <x:c r="D1155" s="16" t="str">
        <x:v>Ürün kaydı</x:v>
      </x:c>
      <x:c r="E1155" s="16" t="str">
        <x:v>Intenso Espresso Kahve Harmanı Çekirdek (Öğütülmemiş) 1 Kg</x:v>
      </x:c>
      <x:c r="F1155" s="16" t="str">
        <x:v>Brezilya | Hindistan</x:v>
      </x:c>
      <x:c r="G1155" s="17" t="n">
        <x:v>1000</x:v>
      </x:c>
      <x:c r="H1155" s="16" t="str">
        <x:v>Erişildi</x:v>
      </x:c>
      <x:c r="I1155" s="18" t="n">
        <x:v>747.4</x:v>
      </x:c>
      <x:c r="J1155" s="18" t="str">
        <x:v>Erişildi</x:v>
      </x:c>
      <x:c r="K1155" s="18" t="n">
        <x:f>IF(AND(ISNUMBER(G1155),ISNUMBER(I1155)),I1155/G1155*1000,"Erişilemedi")</x:f>
        <x:v>747.4</x:v>
      </x:c>
      <x:c r="L1155" s="16" t="str">
        <x:v>Stokta</x:v>
      </x:c>
      <x:c r="M1155" s="16" t="str">
        <x:v>Harman</x:v>
      </x:c>
      <x:c r="N1155" s="16" t="str">
        <x:v>Shopify ürün akışı</x:v>
      </x:c>
      <x:c r="O1155" s="16" t="str">
        <x:v>Yüksek</x:v>
      </x:c>
      <x:c r="P1155" s="19" t="n">
        <x:v>46245</x:v>
      </x:c>
      <x:c r="Q1155" s="20" t="str">
        <x:v>https://www.nokcoffee.com/products/intenso-espresso-kahve-harmani-cekirdek-ogutulmemis-1-kg</x:v>
      </x:c>
      <x:c r="R1155" s="20" t="str">
        <x:v>Öğütüm seçenekleri aynı gramaj ve fiyatta tekilleştirildi.</x:v>
      </x:c>
    </x:row>
    <x:row r="1156" ht="40" customHeight="1">
      <x:c r="A1156" s="16" t="str">
        <x:v>Nok Coffee</x:v>
      </x:c>
      <x:c r="B1156" s="16" t="str">
        <x:v>İzmir</x:v>
      </x:c>
      <x:c r="C1156" s="16" t="str">
        <x:v>Kısmi doğrulama</x:v>
      </x:c>
      <x:c r="D1156" s="16" t="str">
        <x:v>Ürün kaydı</x:v>
      </x:c>
      <x:c r="E1156" s="16" t="str">
        <x:v>Italiano Espresso Çekirdek Kahve 1 Kg x 10 Adet (Koli)</x:v>
      </x:c>
      <x:c r="F1156" s="16" t="str">
        <x:v>Harman – menşe belirtilmemiş</x:v>
      </x:c>
      <x:c r="G1156" s="17" t="n">
        <x:v>1000</x:v>
      </x:c>
      <x:c r="H1156" s="16" t="str">
        <x:v>Erişildi</x:v>
      </x:c>
      <x:c r="I1156" s="18" t="n">
        <x:v>6200</x:v>
      </x:c>
      <x:c r="J1156" s="18" t="str">
        <x:v>Erişildi</x:v>
      </x:c>
      <x:c r="K1156" s="18" t="n">
        <x:f>IF(AND(ISNUMBER(G1156),ISNUMBER(I1156)),I1156/G1156*1000,"Erişilemedi")</x:f>
        <x:v>6200</x:v>
      </x:c>
      <x:c r="L1156" s="16" t="str">
        <x:v>Stokta</x:v>
      </x:c>
      <x:c r="M1156" s="16" t="str">
        <x:v>Harman</x:v>
      </x:c>
      <x:c r="N1156" s="16" t="str">
        <x:v>Shopify ürün akışı</x:v>
      </x:c>
      <x:c r="O1156" s="16" t="str">
        <x:v>Yüksek</x:v>
      </x:c>
      <x:c r="P1156" s="19" t="n">
        <x:v>46245</x:v>
      </x:c>
      <x:c r="Q1156" s="20" t="str">
        <x:v>https://www.nokcoffee.com/products/italiano-espresso-cekirdek-kahve-1-kg-x-10-adet-koli</x:v>
      </x:c>
      <x:c r="R1156" s="20" t="str">
        <x:v>Öğütüm seçenekleri aynı gramaj ve fiyatta tekilleştirildi.</x:v>
      </x:c>
    </x:row>
    <x:row r="1157" ht="40" customHeight="1">
      <x:c r="A1157" s="16" t="str">
        <x:v>Nok Coffee</x:v>
      </x:c>
      <x:c r="B1157" s="16" t="str">
        <x:v>İzmir</x:v>
      </x:c>
      <x:c r="C1157" s="16" t="str">
        <x:v>Kısmi doğrulama</x:v>
      </x:c>
      <x:c r="D1157" s="16" t="str">
        <x:v>Ürün kaydı</x:v>
      </x:c>
      <x:c r="E1157" s="16" t="str">
        <x:v>Italiano Espresso Kahve Harmanı - 200 gr</x:v>
      </x:c>
      <x:c r="F1157" s="16" t="str">
        <x:v>Harman – menşe belirtilmemiş</x:v>
      </x:c>
      <x:c r="G1157" s="17" t="n">
        <x:v>200</x:v>
      </x:c>
      <x:c r="H1157" s="16" t="str">
        <x:v>Erişildi</x:v>
      </x:c>
      <x:c r="I1157" s="18" t="str">
        <x:v>Erişilemedi</x:v>
      </x:c>
      <x:c r="J1157" s="18" t="str">
        <x:v>Erişilemedi</x:v>
      </x:c>
      <x:c r="K1157" s="18" t="str">
        <x:f>IF(AND(ISNUMBER(G1157),ISNUMBER(I1157)),I1157/G1157*1000,"Erişilemedi")</x:f>
        <x:v>Erişilemedi</x:v>
      </x:c>
      <x:c r="L1157" s="16" t="str">
        <x:v>Belirsiz</x:v>
      </x:c>
      <x:c r="M1157" s="16" t="str">
        <x:v>Harman</x:v>
      </x:c>
      <x:c r="N1157" s="16" t="str">
        <x:v>Shopify ürün akışı</x:v>
      </x:c>
      <x:c r="O1157" s="16" t="str">
        <x:v>Orta</x:v>
      </x:c>
      <x:c r="P1157" s="19" t="n">
        <x:v>46245</x:v>
      </x:c>
      <x:c r="Q1157" s="20" t="str">
        <x:v>https://www.nokcoffee.com/products/italiano-espresso-kahve-harmani-200-gr-1</x:v>
      </x:c>
      <x:c r="R1157" s="20" t="str">
        <x:v>Satış varyantı erişilemedi.</x:v>
      </x:c>
    </x:row>
    <x:row r="1158" ht="40" customHeight="1">
      <x:c r="A1158" s="16" t="str">
        <x:v>Nok Coffee</x:v>
      </x:c>
      <x:c r="B1158" s="16" t="str">
        <x:v>İzmir</x:v>
      </x:c>
      <x:c r="C1158" s="16" t="str">
        <x:v>Kısmi doğrulama</x:v>
      </x:c>
      <x:c r="D1158" s="16" t="str">
        <x:v>Ürün kaydı</x:v>
      </x:c>
      <x:c r="E1158" s="16" t="str">
        <x:v>Italiano Espresso Kahve Harmanı Çekirdek (Öğütülmemiş) - 1 Kg</x:v>
      </x:c>
      <x:c r="F1158" s="16" t="str">
        <x:v>Etiyopya | Brezilya</x:v>
      </x:c>
      <x:c r="G1158" s="17" t="n">
        <x:v>1000</x:v>
      </x:c>
      <x:c r="H1158" s="16" t="str">
        <x:v>Erişildi</x:v>
      </x:c>
      <x:c r="I1158" s="18" t="n">
        <x:v>750</x:v>
      </x:c>
      <x:c r="J1158" s="18" t="str">
        <x:v>Erişildi</x:v>
      </x:c>
      <x:c r="K1158" s="18" t="n">
        <x:f>IF(AND(ISNUMBER(G1158),ISNUMBER(I1158)),I1158/G1158*1000,"Erişilemedi")</x:f>
        <x:v>750</x:v>
      </x:c>
      <x:c r="L1158" s="16" t="str">
        <x:v>Stokta</x:v>
      </x:c>
      <x:c r="M1158" s="16" t="str">
        <x:v>Harman</x:v>
      </x:c>
      <x:c r="N1158" s="16" t="str">
        <x:v>Shopify ürün akışı</x:v>
      </x:c>
      <x:c r="O1158" s="16" t="str">
        <x:v>Yüksek</x:v>
      </x:c>
      <x:c r="P1158" s="19" t="n">
        <x:v>46245</x:v>
      </x:c>
      <x:c r="Q1158" s="20" t="str">
        <x:v>https://www.nokcoffee.com/products/italiano-espresso-kahve-harmani</x:v>
      </x:c>
      <x:c r="R1158" s="20" t="str">
        <x:v>Öğütüm seçenekleri aynı gramaj ve fiyatta tekilleştirildi.</x:v>
      </x:c>
    </x:row>
    <x:row r="1159" ht="40" customHeight="1">
      <x:c r="A1159" s="16" t="str">
        <x:v>Nok Coffee</x:v>
      </x:c>
      <x:c r="B1159" s="16" t="str">
        <x:v>İzmir</x:v>
      </x:c>
      <x:c r="C1159" s="16" t="str">
        <x:v>Kısmi doğrulama</x:v>
      </x:c>
      <x:c r="D1159" s="16" t="str">
        <x:v>Ürün kaydı</x:v>
      </x:c>
      <x:c r="E1159" s="16" t="str">
        <x:v>Kenya AA Muranga - 200 gr</x:v>
      </x:c>
      <x:c r="F1159" s="16" t="str">
        <x:v>Kenya</x:v>
      </x:c>
      <x:c r="G1159" s="17" t="n">
        <x:v>200</x:v>
      </x:c>
      <x:c r="H1159" s="16" t="str">
        <x:v>Erişildi</x:v>
      </x:c>
      <x:c r="I1159" s="18" t="str">
        <x:v>Erişilemedi</x:v>
      </x:c>
      <x:c r="J1159" s="18" t="str">
        <x:v>Erişilemedi</x:v>
      </x:c>
      <x:c r="K1159" s="18" t="str">
        <x:f>IF(AND(ISNUMBER(G1159),ISNUMBER(I1159)),I1159/G1159*1000,"Erişilemedi")</x:f>
        <x:v>Erişilemedi</x:v>
      </x:c>
      <x:c r="L1159" s="16" t="str">
        <x:v>Belirsiz</x:v>
      </x:c>
      <x:c r="M1159" s="16" t="str">
        <x:v>Kahve ürünü</x:v>
      </x:c>
      <x:c r="N1159" s="16" t="str">
        <x:v>Shopify ürün akışı</x:v>
      </x:c>
      <x:c r="O1159" s="16" t="str">
        <x:v>Orta</x:v>
      </x:c>
      <x:c r="P1159" s="19" t="n">
        <x:v>46245</x:v>
      </x:c>
      <x:c r="Q1159" s="20" t="str">
        <x:v>https://www.nokcoffee.com/products/kenya-aa-muranga-200-gr</x:v>
      </x:c>
      <x:c r="R1159" s="20" t="str">
        <x:v>Satış varyantı erişilemedi.</x:v>
      </x:c>
    </x:row>
    <x:row r="1160" ht="40" customHeight="1">
      <x:c r="A1160" s="16" t="str">
        <x:v>Nok Coffee</x:v>
      </x:c>
      <x:c r="B1160" s="16" t="str">
        <x:v>İzmir</x:v>
      </x:c>
      <x:c r="C1160" s="16" t="str">
        <x:v>Kısmi doğrulama</x:v>
      </x:c>
      <x:c r="D1160" s="16" t="str">
        <x:v>Ürün kaydı</x:v>
      </x:c>
      <x:c r="E1160" s="16" t="str">
        <x:v>Motta Süt Potu 500 ml Mavi</x:v>
      </x:c>
      <x:c r="F1160" s="16" t="str">
        <x:v>Menşe belirtilmemiş</x:v>
      </x:c>
      <x:c r="G1160" s="17" t="str">
        <x:v>Erişilemedi</x:v>
      </x:c>
      <x:c r="H1160" s="16" t="str">
        <x:v>Erişilemedi</x:v>
      </x:c>
      <x:c r="I1160" s="18" t="str">
        <x:v>Erişilemedi</x:v>
      </x:c>
      <x:c r="J1160" s="18" t="str">
        <x:v>Erişilemedi</x:v>
      </x:c>
      <x:c r="K1160" s="18" t="str">
        <x:f>IF(AND(ISNUMBER(G1160),ISNUMBER(I1160)),I1160/G1160*1000,"Erişilemedi")</x:f>
        <x:v>Erişilemedi</x:v>
      </x:c>
      <x:c r="L1160" s="16" t="str">
        <x:v>Belirsiz</x:v>
      </x:c>
      <x:c r="M1160" s="16" t="str">
        <x:v>Kahve ürünü</x:v>
      </x:c>
      <x:c r="N1160" s="16" t="str">
        <x:v>Shopify ürün akışı</x:v>
      </x:c>
      <x:c r="O1160" s="16" t="str">
        <x:v>Orta</x:v>
      </x:c>
      <x:c r="P1160" s="19" t="n">
        <x:v>46245</x:v>
      </x:c>
      <x:c r="Q1160" s="20" t="str">
        <x:v>https://www.nokcoffee.com/products/motto-sut-potu-500-ml-4150-mspt-500m</x:v>
      </x:c>
      <x:c r="R1160" s="20" t="str">
        <x:v>Satış varyantı erişilemedi.</x:v>
      </x:c>
    </x:row>
    <x:row r="1161" ht="40" customHeight="1">
      <x:c r="A1161" s="16" t="str">
        <x:v>Nok Coffee</x:v>
      </x:c>
      <x:c r="B1161" s="16" t="str">
        <x:v>İzmir</x:v>
      </x:c>
      <x:c r="C1161" s="16" t="str">
        <x:v>Kısmi doğrulama</x:v>
      </x:c>
      <x:c r="D1161" s="16" t="str">
        <x:v>Ürün kaydı</x:v>
      </x:c>
      <x:c r="E1161" s="16" t="str">
        <x:v>Motta Süt Potu 500 ml Sarı</x:v>
      </x:c>
      <x:c r="F1161" s="16" t="str">
        <x:v>Menşe belirtilmemiş</x:v>
      </x:c>
      <x:c r="G1161" s="17" t="str">
        <x:v>Erişilemedi</x:v>
      </x:c>
      <x:c r="H1161" s="16" t="str">
        <x:v>Erişilemedi</x:v>
      </x:c>
      <x:c r="I1161" s="18" t="str">
        <x:v>Erişilemedi</x:v>
      </x:c>
      <x:c r="J1161" s="18" t="str">
        <x:v>Erişilemedi</x:v>
      </x:c>
      <x:c r="K1161" s="18" t="str">
        <x:f>IF(AND(ISNUMBER(G1161),ISNUMBER(I1161)),I1161/G1161*1000,"Erişilemedi")</x:f>
        <x:v>Erişilemedi</x:v>
      </x:c>
      <x:c r="L1161" s="16" t="str">
        <x:v>Belirsiz</x:v>
      </x:c>
      <x:c r="M1161" s="16" t="str">
        <x:v>Kahve ürünü</x:v>
      </x:c>
      <x:c r="N1161" s="16" t="str">
        <x:v>Shopify ürün akışı</x:v>
      </x:c>
      <x:c r="O1161" s="16" t="str">
        <x:v>Orta</x:v>
      </x:c>
      <x:c r="P1161" s="19" t="n">
        <x:v>46245</x:v>
      </x:c>
      <x:c r="Q1161" s="20" t="str">
        <x:v>https://www.nokcoffee.com/products/motta-sut-potu-500-ml-450-mspt-500s</x:v>
      </x:c>
      <x:c r="R1161" s="20" t="str">
        <x:v>Satış varyantı erişilemedi.</x:v>
      </x:c>
    </x:row>
    <x:row r="1162" ht="40" customHeight="1">
      <x:c r="A1162" s="16" t="str">
        <x:v>Nok Coffee</x:v>
      </x:c>
      <x:c r="B1162" s="16" t="str">
        <x:v>İzmir</x:v>
      </x:c>
      <x:c r="C1162" s="16" t="str">
        <x:v>Kısmi doğrulama</x:v>
      </x:c>
      <x:c r="D1162" s="16" t="str">
        <x:v>Ürün kaydı</x:v>
      </x:c>
      <x:c r="E1162" s="16" t="str">
        <x:v>Nicaragua SHG EP San Jose Estate - 200 Gr</x:v>
      </x:c>
      <x:c r="F1162" s="16" t="str">
        <x:v>Nikaragua</x:v>
      </x:c>
      <x:c r="G1162" s="17" t="n">
        <x:v>200</x:v>
      </x:c>
      <x:c r="H1162" s="16" t="str">
        <x:v>Erişildi</x:v>
      </x:c>
      <x:c r="I1162" s="18" t="str">
        <x:v>Erişilemedi</x:v>
      </x:c>
      <x:c r="J1162" s="18" t="str">
        <x:v>Erişilemedi</x:v>
      </x:c>
      <x:c r="K1162" s="18" t="str">
        <x:f>IF(AND(ISNUMBER(G1162),ISNUMBER(I1162)),I1162/G1162*1000,"Erişilemedi")</x:f>
        <x:v>Erişilemedi</x:v>
      </x:c>
      <x:c r="L1162" s="16" t="str">
        <x:v>Belirsiz</x:v>
      </x:c>
      <x:c r="M1162" s="16" t="str">
        <x:v>Kahve ürünü</x:v>
      </x:c>
      <x:c r="N1162" s="16" t="str">
        <x:v>Shopify ürün akışı</x:v>
      </x:c>
      <x:c r="O1162" s="16" t="str">
        <x:v>Orta</x:v>
      </x:c>
      <x:c r="P1162" s="19" t="n">
        <x:v>46245</x:v>
      </x:c>
      <x:c r="Q1162" s="20" t="str">
        <x:v>https://www.nokcoffee.com/products/nicaragua-shg-ep-san-jose-estate-200-gr-1</x:v>
      </x:c>
      <x:c r="R1162" s="20" t="str">
        <x:v>Satış varyantı erişilemedi.</x:v>
      </x:c>
    </x:row>
    <x:row r="1163" ht="40" customHeight="1">
      <x:c r="A1163" s="16" t="str">
        <x:v>Nok Coffee</x:v>
      </x:c>
      <x:c r="B1163" s="16" t="str">
        <x:v>İzmir</x:v>
      </x:c>
      <x:c r="C1163" s="16" t="str">
        <x:v>Kısmi doğrulama</x:v>
      </x:c>
      <x:c r="D1163" s="16" t="str">
        <x:v>Ürün kaydı</x:v>
      </x:c>
      <x:c r="E1163" s="16" t="str">
        <x:v>Nitelikli Türk Kahvesi - 200 gr (Rio Minas)</x:v>
      </x:c>
      <x:c r="F1163" s="16" t="str">
        <x:v>Harman – menşe belirtilmemiş</x:v>
      </x:c>
      <x:c r="G1163" s="17" t="n">
        <x:v>200</x:v>
      </x:c>
      <x:c r="H1163" s="16" t="str">
        <x:v>Erişildi</x:v>
      </x:c>
      <x:c r="I1163" s="18" t="str">
        <x:v>Erişilemedi</x:v>
      </x:c>
      <x:c r="J1163" s="18" t="str">
        <x:v>Erişilemedi</x:v>
      </x:c>
      <x:c r="K1163" s="18" t="str">
        <x:f>IF(AND(ISNUMBER(G1163),ISNUMBER(I1163)),I1163/G1163*1000,"Erişilemedi")</x:f>
        <x:v>Erişilemedi</x:v>
      </x:c>
      <x:c r="L1163" s="16" t="str">
        <x:v>Belirsiz</x:v>
      </x:c>
      <x:c r="M1163" s="16" t="str">
        <x:v>Harman</x:v>
      </x:c>
      <x:c r="N1163" s="16" t="str">
        <x:v>Shopify ürün akışı</x:v>
      </x:c>
      <x:c r="O1163" s="16" t="str">
        <x:v>Orta</x:v>
      </x:c>
      <x:c r="P1163" s="19" t="n">
        <x:v>46245</x:v>
      </x:c>
      <x:c r="Q1163" s="20" t="str">
        <x:v>https://www.nokcoffee.com/products/nitelikli-turk-kahvesi-200-gr-rio-minas</x:v>
      </x:c>
      <x:c r="R1163" s="20" t="str">
        <x:v>Satış varyantı erişilemedi.</x:v>
      </x:c>
    </x:row>
    <x:row r="1164" ht="40" customHeight="1">
      <x:c r="A1164" s="16" t="str">
        <x:v>Nok Coffee</x:v>
      </x:c>
      <x:c r="B1164" s="16" t="str">
        <x:v>İzmir</x:v>
      </x:c>
      <x:c r="C1164" s="16" t="str">
        <x:v>Kısmi doğrulama</x:v>
      </x:c>
      <x:c r="D1164" s="16" t="str">
        <x:v>Ürün kaydı</x:v>
      </x:c>
      <x:c r="E1164" s="16" t="str">
        <x:v>Nitelikli Türk Kahvesi Çekirdek - 1 Kg (Rio Minas)</x:v>
      </x:c>
      <x:c r="F1164" s="16" t="str">
        <x:v>Brezilya</x:v>
      </x:c>
      <x:c r="G1164" s="17" t="n">
        <x:v>1000</x:v>
      </x:c>
      <x:c r="H1164" s="16" t="str">
        <x:v>Erişildi</x:v>
      </x:c>
      <x:c r="I1164" s="18" t="n">
        <x:v>738.9</x:v>
      </x:c>
      <x:c r="J1164" s="18" t="str">
        <x:v>Erişildi</x:v>
      </x:c>
      <x:c r="K1164" s="18" t="n">
        <x:f>IF(AND(ISNUMBER(G1164),ISNUMBER(I1164)),I1164/G1164*1000,"Erişilemedi")</x:f>
        <x:v>738.9</x:v>
      </x:c>
      <x:c r="L1164" s="16" t="str">
        <x:v>Stokta</x:v>
      </x:c>
      <x:c r="M1164" s="16" t="str">
        <x:v>Harman</x:v>
      </x:c>
      <x:c r="N1164" s="16" t="str">
        <x:v>Shopify ürün akışı</x:v>
      </x:c>
      <x:c r="O1164" s="16" t="str">
        <x:v>Yüksek</x:v>
      </x:c>
      <x:c r="P1164" s="19" t="n">
        <x:v>46245</x:v>
      </x:c>
      <x:c r="Q1164" s="20" t="str">
        <x:v>https://www.nokcoffee.com/products/nitelikli-turk-kahvesi-cekirdek-1-kg-rio-minas</x:v>
      </x:c>
      <x:c r="R1164" s="20" t="str">
        <x:v>Öğütüm seçenekleri aynı gramaj ve fiyatta tekilleştirildi.</x:v>
      </x:c>
    </x:row>
    <x:row r="1165" ht="40" customHeight="1">
      <x:c r="A1165" s="16" t="str">
        <x:v>Nok Coffee</x:v>
      </x:c>
      <x:c r="B1165" s="16" t="str">
        <x:v>İzmir</x:v>
      </x:c>
      <x:c r="C1165" s="16" t="str">
        <x:v>Kısmi doğrulama</x:v>
      </x:c>
      <x:c r="D1165" s="16" t="str">
        <x:v>Ürün kaydı</x:v>
      </x:c>
      <x:c r="E1165" s="16" t="str">
        <x:v>Peru Papagayo SHB EP Grade 1 - Çekirdek (Öğütülmemiş) 1 kg</x:v>
      </x:c>
      <x:c r="F1165" s="16" t="str">
        <x:v>Peru</x:v>
      </x:c>
      <x:c r="G1165" s="17" t="n">
        <x:v>1000</x:v>
      </x:c>
      <x:c r="H1165" s="16" t="str">
        <x:v>Erişildi</x:v>
      </x:c>
      <x:c r="I1165" s="18" t="n">
        <x:v>919.1</x:v>
      </x:c>
      <x:c r="J1165" s="18" t="str">
        <x:v>Erişildi</x:v>
      </x:c>
      <x:c r="K1165" s="18" t="n">
        <x:f>IF(AND(ISNUMBER(G1165),ISNUMBER(I1165)),I1165/G1165*1000,"Erişilemedi")</x:f>
        <x:v>919.1</x:v>
      </x:c>
      <x:c r="L1165" s="16" t="str">
        <x:v>Stokta</x:v>
      </x:c>
      <x:c r="M1165" s="16" t="str">
        <x:v>Tek köken/ürün</x:v>
      </x:c>
      <x:c r="N1165" s="16" t="str">
        <x:v>Shopify ürün akışı</x:v>
      </x:c>
      <x:c r="O1165" s="16" t="str">
        <x:v>Yüksek</x:v>
      </x:c>
      <x:c r="P1165" s="19" t="n">
        <x:v>46245</x:v>
      </x:c>
      <x:c r="Q1165" s="20" t="str">
        <x:v>https://www.nokcoffee.com/products/peru-papagayo-shb-ep-grade-1-cekirdek-ogutulmemis-1-kg</x:v>
      </x:c>
      <x:c r="R1165" s="20" t="str">
        <x:v>Öğütüm seçenekleri aynı gramaj ve fiyatta tekilleştirildi.</x:v>
      </x:c>
    </x:row>
    <x:row r="1166" ht="40" customHeight="1">
      <x:c r="A1166" s="16" t="str">
        <x:v>Nok Coffee</x:v>
      </x:c>
      <x:c r="B1166" s="16" t="str">
        <x:v>İzmir</x:v>
      </x:c>
      <x:c r="C1166" s="16" t="str">
        <x:v>Kısmi doğrulama</x:v>
      </x:c>
      <x:c r="D1166" s="16" t="str">
        <x:v>Ürün kaydı</x:v>
      </x:c>
      <x:c r="E1166" s="16" t="str">
        <x:v>Press Kahve Demleme</x:v>
      </x:c>
      <x:c r="F1166" s="16" t="str">
        <x:v>Menşe belirtilmemiş</x:v>
      </x:c>
      <x:c r="G1166" s="17" t="str">
        <x:v>Erişilemedi</x:v>
      </x:c>
      <x:c r="H1166" s="16" t="str">
        <x:v>Erişilemedi</x:v>
      </x:c>
      <x:c r="I1166" s="18" t="str">
        <x:v>Erişilemedi</x:v>
      </x:c>
      <x:c r="J1166" s="18" t="str">
        <x:v>Erişilemedi</x:v>
      </x:c>
      <x:c r="K1166" s="18" t="str">
        <x:f>IF(AND(ISNUMBER(G1166),ISNUMBER(I1166)),I1166/G1166*1000,"Erişilemedi")</x:f>
        <x:v>Erişilemedi</x:v>
      </x:c>
      <x:c r="L1166" s="16" t="str">
        <x:v>Belirsiz</x:v>
      </x:c>
      <x:c r="M1166" s="16" t="str">
        <x:v>Kahve ürünü</x:v>
      </x:c>
      <x:c r="N1166" s="16" t="str">
        <x:v>Shopify ürün akışı</x:v>
      </x:c>
      <x:c r="O1166" s="16" t="str">
        <x:v>Orta</x:v>
      </x:c>
      <x:c r="P1166" s="19" t="n">
        <x:v>46245</x:v>
      </x:c>
      <x:c r="Q1166" s="20" t="str">
        <x:v>https://www.nokcoffee.com/products/kahve-demleme-pd-01</x:v>
      </x:c>
      <x:c r="R1166" s="20" t="str">
        <x:v>Satış varyantı erişilemedi.</x:v>
      </x:c>
    </x:row>
    <x:row r="1167" ht="40" customHeight="1">
      <x:c r="A1167" s="16" t="str">
        <x:v>Nok Coffee</x:v>
      </x:c>
      <x:c r="B1167" s="16" t="str">
        <x:v>İzmir</x:v>
      </x:c>
      <x:c r="C1167" s="16" t="str">
        <x:v>Kısmi doğrulama</x:v>
      </x:c>
      <x:c r="D1167" s="16" t="str">
        <x:v>Ürün kaydı</x:v>
      </x:c>
      <x:c r="E1167" s="16" t="str">
        <x:v>Soğuk Kahve Demleme Şişe 850 Ml</x:v>
      </x:c>
      <x:c r="F1167" s="16" t="str">
        <x:v>Menşe belirtilmemiş</x:v>
      </x:c>
      <x:c r="G1167" s="17" t="str">
        <x:v>Erişilemedi</x:v>
      </x:c>
      <x:c r="H1167" s="16" t="str">
        <x:v>Erişilemedi</x:v>
      </x:c>
      <x:c r="I1167" s="18" t="str">
        <x:v>Erişilemedi</x:v>
      </x:c>
      <x:c r="J1167" s="18" t="str">
        <x:v>Erişilemedi</x:v>
      </x:c>
      <x:c r="K1167" s="18" t="str">
        <x:f>IF(AND(ISNUMBER(G1167),ISNUMBER(I1167)),I1167/G1167*1000,"Erişilemedi")</x:f>
        <x:v>Erişilemedi</x:v>
      </x:c>
      <x:c r="L1167" s="16" t="str">
        <x:v>Belirsiz</x:v>
      </x:c>
      <x:c r="M1167" s="16" t="str">
        <x:v>Kahve ürünü</x:v>
      </x:c>
      <x:c r="N1167" s="16" t="str">
        <x:v>Shopify ürün akışı</x:v>
      </x:c>
      <x:c r="O1167" s="16" t="str">
        <x:v>Orta</x:v>
      </x:c>
      <x:c r="P1167" s="19" t="n">
        <x:v>46245</x:v>
      </x:c>
      <x:c r="Q1167" s="20" t="str">
        <x:v>https://www.nokcoffee.com/products/kahve-demleme</x:v>
      </x:c>
      <x:c r="R1167" s="20" t="str">
        <x:v>Satış varyantı erişilemedi.</x:v>
      </x:c>
    </x:row>
    <x:row r="1168" ht="40" customHeight="1">
      <x:c r="A1168" s="16" t="str">
        <x:v>Nok Coffee</x:v>
      </x:c>
      <x:c r="B1168" s="16" t="str">
        <x:v>İzmir</x:v>
      </x:c>
      <x:c r="C1168" s="16" t="str">
        <x:v>Kısmi doğrulama</x:v>
      </x:c>
      <x:c r="D1168" s="16" t="str">
        <x:v>Ürün kaydı</x:v>
      </x:c>
      <x:c r="E1168" s="16" t="str">
        <x:v>Supremo Filtre Kahve Harmanı - 200 gr</x:v>
      </x:c>
      <x:c r="F1168" s="16" t="str">
        <x:v>Brezilya | Guatemala | Honduras</x:v>
      </x:c>
      <x:c r="G1168" s="17" t="n">
        <x:v>200</x:v>
      </x:c>
      <x:c r="H1168" s="16" t="str">
        <x:v>Erişildi</x:v>
      </x:c>
      <x:c r="I1168" s="18" t="str">
        <x:v>Erişilemedi</x:v>
      </x:c>
      <x:c r="J1168" s="18" t="str">
        <x:v>Erişilemedi</x:v>
      </x:c>
      <x:c r="K1168" s="18" t="str">
        <x:f>IF(AND(ISNUMBER(G1168),ISNUMBER(I1168)),I1168/G1168*1000,"Erişilemedi")</x:f>
        <x:v>Erişilemedi</x:v>
      </x:c>
      <x:c r="L1168" s="16" t="str">
        <x:v>Belirsiz</x:v>
      </x:c>
      <x:c r="M1168" s="16" t="str">
        <x:v>Harman</x:v>
      </x:c>
      <x:c r="N1168" s="16" t="str">
        <x:v>Shopify ürün akışı</x:v>
      </x:c>
      <x:c r="O1168" s="16" t="str">
        <x:v>Orta</x:v>
      </x:c>
      <x:c r="P1168" s="19" t="n">
        <x:v>46245</x:v>
      </x:c>
      <x:c r="Q1168" s="20" t="str">
        <x:v>https://www.nokcoffee.com/products/supremo-filtre-kahve-harmani-200-gr-1</x:v>
      </x:c>
      <x:c r="R1168" s="20" t="str">
        <x:v>Satış varyantı erişilemedi.</x:v>
      </x:c>
    </x:row>
    <x:row r="1169" ht="40" customHeight="1">
      <x:c r="A1169" s="16" t="str">
        <x:v>Nok Coffee</x:v>
      </x:c>
      <x:c r="B1169" s="16" t="str">
        <x:v>İzmir</x:v>
      </x:c>
      <x:c r="C1169" s="16" t="str">
        <x:v>Kısmi doğrulama</x:v>
      </x:c>
      <x:c r="D1169" s="16" t="str">
        <x:v>Ürün kaydı</x:v>
      </x:c>
      <x:c r="E1169" s="16" t="str">
        <x:v>Supremo Filtre Kahve Harmanı (Filtre Öğütülmüş) - 1 Kg</x:v>
      </x:c>
      <x:c r="F1169" s="16" t="str">
        <x:v>Brezilya | Guatemala | Honduras</x:v>
      </x:c>
      <x:c r="G1169" s="17" t="n">
        <x:v>1000</x:v>
      </x:c>
      <x:c r="H1169" s="16" t="str">
        <x:v>Erişildi</x:v>
      </x:c>
      <x:c r="I1169" s="18" t="n">
        <x:v>530</x:v>
      </x:c>
      <x:c r="J1169" s="18" t="str">
        <x:v>Erişildi</x:v>
      </x:c>
      <x:c r="K1169" s="18" t="n">
        <x:f>IF(AND(ISNUMBER(G1169),ISNUMBER(I1169)),I1169/G1169*1000,"Erişilemedi")</x:f>
        <x:v>530</x:v>
      </x:c>
      <x:c r="L1169" s="16" t="str">
        <x:v>Stokta</x:v>
      </x:c>
      <x:c r="M1169" s="16" t="str">
        <x:v>Harman</x:v>
      </x:c>
      <x:c r="N1169" s="16" t="str">
        <x:v>Shopify ürün akışı</x:v>
      </x:c>
      <x:c r="O1169" s="16" t="str">
        <x:v>Yüksek</x:v>
      </x:c>
      <x:c r="P1169" s="19" t="n">
        <x:v>46245</x:v>
      </x:c>
      <x:c r="Q1169" s="20" t="str">
        <x:v>https://www.nokcoffee.com/products/supremo-filtre-kahve-harmani</x:v>
      </x:c>
      <x:c r="R1169" s="20" t="str">
        <x:v>Öğütüm seçenekleri aynı gramaj ve fiyatta tekilleştirildi.</x:v>
      </x:c>
    </x:row>
    <x:row r="1170" ht="40" customHeight="1">
      <x:c r="A1170" s="16" t="str">
        <x:v>Nok Coffee</x:v>
      </x:c>
      <x:c r="B1170" s="16" t="str">
        <x:v>İzmir</x:v>
      </x:c>
      <x:c r="C1170" s="16" t="str">
        <x:v>Kısmi doğrulama</x:v>
      </x:c>
      <x:c r="D1170" s="16" t="str">
        <x:v>Ürün kaydı</x:v>
      </x:c>
      <x:c r="E1170" s="16" t="str">
        <x:v>Süt Potu - 500 Ml</x:v>
      </x:c>
      <x:c r="F1170" s="16" t="str">
        <x:v>Menşe belirtilmemiş</x:v>
      </x:c>
      <x:c r="G1170" s="17" t="str">
        <x:v>Erişilemedi</x:v>
      </x:c>
      <x:c r="H1170" s="16" t="str">
        <x:v>Erişilemedi</x:v>
      </x:c>
      <x:c r="I1170" s="18" t="n">
        <x:v>426.95</x:v>
      </x:c>
      <x:c r="J1170" s="18" t="str">
        <x:v>Erişildi</x:v>
      </x:c>
      <x:c r="K1170" s="18" t="str">
        <x:f>IF(AND(ISNUMBER(G1170),ISNUMBER(I1170)),I1170/G1170*1000,"Erişilemedi")</x:f>
        <x:v>Erişilemedi</x:v>
      </x:c>
      <x:c r="L1170" s="16" t="str">
        <x:v>Stokta</x:v>
      </x:c>
      <x:c r="M1170" s="16" t="str">
        <x:v>Kahve ürünü</x:v>
      </x:c>
      <x:c r="N1170" s="16" t="str">
        <x:v>Shopify ürün akışı</x:v>
      </x:c>
      <x:c r="O1170" s="16" t="str">
        <x:v>Orta</x:v>
      </x:c>
      <x:c r="P1170" s="19" t="n">
        <x:v>46245</x:v>
      </x:c>
      <x:c r="Q1170" s="20" t="str">
        <x:v>https://www.nokcoffee.com/products/sut-potu-500-ml-sp-500</x:v>
      </x:c>
      <x:c r="R1170" s="20" t="str">
        <x:v>Öğütüm seçenekleri tekilleştirildi.</x:v>
      </x:c>
    </x:row>
    <x:row r="1171" ht="40" customHeight="1">
      <x:c r="A1171" s="16" t="str">
        <x:v>Nok Coffee</x:v>
      </x:c>
      <x:c r="B1171" s="16" t="str">
        <x:v>İzmir</x:v>
      </x:c>
      <x:c r="C1171" s="16" t="str">
        <x:v>Kısmi doğrulama</x:v>
      </x:c>
      <x:c r="D1171" s="16" t="str">
        <x:v>Ürün kaydı</x:v>
      </x:c>
      <x:c r="E1171" s="16" t="str">
        <x:v>Süt Potu Prof 700 ml</x:v>
      </x:c>
      <x:c r="F1171" s="16" t="str">
        <x:v>Menşe belirtilmemiş</x:v>
      </x:c>
      <x:c r="G1171" s="17" t="str">
        <x:v>Erişilemedi</x:v>
      </x:c>
      <x:c r="H1171" s="16" t="str">
        <x:v>Erişilemedi</x:v>
      </x:c>
      <x:c r="I1171" s="18" t="n">
        <x:v>957.63</x:v>
      </x:c>
      <x:c r="J1171" s="18" t="str">
        <x:v>Erişildi</x:v>
      </x:c>
      <x:c r="K1171" s="18" t="str">
        <x:f>IF(AND(ISNUMBER(G1171),ISNUMBER(I1171)),I1171/G1171*1000,"Erişilemedi")</x:f>
        <x:v>Erişilemedi</x:v>
      </x:c>
      <x:c r="L1171" s="16" t="str">
        <x:v>Stokta</x:v>
      </x:c>
      <x:c r="M1171" s="16" t="str">
        <x:v>Kahve ürünü</x:v>
      </x:c>
      <x:c r="N1171" s="16" t="str">
        <x:v>Shopify ürün akışı</x:v>
      </x:c>
      <x:c r="O1171" s="16" t="str">
        <x:v>Orta</x:v>
      </x:c>
      <x:c r="P1171" s="19" t="n">
        <x:v>46245</x:v>
      </x:c>
      <x:c r="Q1171" s="20" t="str">
        <x:v>https://www.nokcoffee.com/products/sut-potu-prof-700-ml</x:v>
      </x:c>
      <x:c r="R1171" s="20" t="str">
        <x:v>Öğütüm seçenekleri tekilleştirildi.</x:v>
      </x:c>
    </x:row>
    <x:row r="1172" ht="40" customHeight="1">
      <x:c r="A1172" s="16" t="str">
        <x:v>Nok Coffee</x:v>
      </x:c>
      <x:c r="B1172" s="16" t="str">
        <x:v>İzmir</x:v>
      </x:c>
      <x:c r="C1172" s="16" t="str">
        <x:v>Kısmi doğrulama</x:v>
      </x:c>
      <x:c r="D1172" s="16" t="str">
        <x:v>Ürün kaydı</x:v>
      </x:c>
      <x:c r="E1172" s="16" t="str">
        <x:v>Türk Kahvesi 1 Kg x 10 Adet (Koli)</x:v>
      </x:c>
      <x:c r="F1172" s="16" t="str">
        <x:v>Harman – menşe belirtilmemiş</x:v>
      </x:c>
      <x:c r="G1172" s="17" t="n">
        <x:v>1000</x:v>
      </x:c>
      <x:c r="H1172" s="16" t="str">
        <x:v>Erişildi</x:v>
      </x:c>
      <x:c r="I1172" s="18" t="n">
        <x:v>6000</x:v>
      </x:c>
      <x:c r="J1172" s="18" t="str">
        <x:v>Erişildi</x:v>
      </x:c>
      <x:c r="K1172" s="18" t="n">
        <x:f>IF(AND(ISNUMBER(G1172),ISNUMBER(I1172)),I1172/G1172*1000,"Erişilemedi")</x:f>
        <x:v>6000</x:v>
      </x:c>
      <x:c r="L1172" s="16" t="str">
        <x:v>Stokta</x:v>
      </x:c>
      <x:c r="M1172" s="16" t="str">
        <x:v>Türk kahvesi</x:v>
      </x:c>
      <x:c r="N1172" s="16" t="str">
        <x:v>Shopify ürün akışı</x:v>
      </x:c>
      <x:c r="O1172" s="16" t="str">
        <x:v>Yüksek</x:v>
      </x:c>
      <x:c r="P1172" s="19" t="n">
        <x:v>46245</x:v>
      </x:c>
      <x:c r="Q1172" s="20" t="str">
        <x:v>https://www.nokcoffee.com/products/turk-kahvesi-cekirdek-ogutulmemis-1-kg-x-10-adet-koli</x:v>
      </x:c>
      <x:c r="R1172" s="20" t="str">
        <x:v>Öğütüm seçenekleri aynı gramaj ve fiyatta tekilleştirildi.</x:v>
      </x:c>
    </x:row>
    <x:row r="1173" ht="40" customHeight="1">
      <x:c r="A1173" s="16" t="str">
        <x:v>Nok Coffee</x:v>
      </x:c>
      <x:c r="B1173" s="16" t="str">
        <x:v>İzmir</x:v>
      </x:c>
      <x:c r="C1173" s="16" t="str">
        <x:v>Kısmi doğrulama</x:v>
      </x:c>
      <x:c r="D1173" s="16" t="str">
        <x:v>Ürün kaydı</x:v>
      </x:c>
      <x:c r="E1173" s="16" t="str">
        <x:v>Uganda Robusta 18 Çiğ Yeşil Kahve Çekirdek 1kg</x:v>
      </x:c>
      <x:c r="F1173" s="16" t="str">
        <x:v>Uganda</x:v>
      </x:c>
      <x:c r="G1173" s="17" t="n">
        <x:v>1000</x:v>
      </x:c>
      <x:c r="H1173" s="16" t="str">
        <x:v>Erişildi</x:v>
      </x:c>
      <x:c r="I1173" s="18" t="n">
        <x:v>441.39</x:v>
      </x:c>
      <x:c r="J1173" s="18" t="str">
        <x:v>Erişildi</x:v>
      </x:c>
      <x:c r="K1173" s="18" t="n">
        <x:f>IF(AND(ISNUMBER(G1173),ISNUMBER(I1173)),I1173/G1173*1000,"Erişilemedi")</x:f>
        <x:v>441.39</x:v>
      </x:c>
      <x:c r="L1173" s="16" t="str">
        <x:v>Stokta</x:v>
      </x:c>
      <x:c r="M1173" s="16" t="str">
        <x:v>Tek köken/ürün</x:v>
      </x:c>
      <x:c r="N1173" s="16" t="str">
        <x:v>Shopify ürün akışı</x:v>
      </x:c>
      <x:c r="O1173" s="16" t="str">
        <x:v>Yüksek</x:v>
      </x:c>
      <x:c r="P1173" s="19" t="n">
        <x:v>46245</x:v>
      </x:c>
      <x:c r="Q1173" s="20" t="str">
        <x:v>https://www.nokcoffee.com/products/uganda-robusta-18-cig-yesil-kahve-cekirdek-1kg</x:v>
      </x:c>
      <x:c r="R1173" s="20" t="str">
        <x:v>Öğütüm seçenekleri aynı gramaj ve fiyatta tekilleştirildi.</x:v>
      </x:c>
    </x:row>
    <x:row r="1174" ht="40" customHeight="1">
      <x:c r="A1174" s="16" t="str">
        <x:v>Norm Coffee</x:v>
      </x:c>
      <x:c r="B1174" s="16" t="str">
        <x:v>İstanbul</x:v>
      </x:c>
      <x:c r="C1174" s="16" t="str">
        <x:v>Kısmi doğrulama</x:v>
      </x:c>
      <x:c r="D1174" s="16" t="str">
        <x:v>Katalog takip kaydı</x:v>
      </x:c>
      <x:c r="E1174" s="16" t="str">
        <x:v>Ürün kataloğu — ayrıntılı ürün verisine erişilemedi</x:v>
      </x:c>
      <x:c r="F1174" s="16" t="str">
        <x:v>Erişilemedi</x:v>
      </x:c>
      <x:c r="G1174" s="17" t="str">
        <x:v>Erişilemedi</x:v>
      </x:c>
      <x:c r="H1174" s="16" t="str">
        <x:v>Erişilemedi</x:v>
      </x:c>
      <x:c r="I1174" s="18" t="str">
        <x:v>Erişilemedi</x:v>
      </x:c>
      <x:c r="J1174" s="18" t="str">
        <x:v>Erişilemedi</x:v>
      </x:c>
      <x:c r="K1174" s="18" t="str">
        <x:f>IF(AND(ISNUMBER(G1174),ISNUMBER(I1174)),I1174/G1174*1000,"Erişilemedi")</x:f>
        <x:v>Erişilemedi</x:v>
      </x:c>
      <x:c r="L1174" s="16" t="str">
        <x:v>Erişilemedi</x:v>
      </x:c>
      <x:c r="M1174" s="16" t="str">
        <x:v>Katalog/takip kaydı</x:v>
      </x:c>
      <x:c r="N1174" s="16" t="str">
        <x:v>Instagram veya mevcut kaynak</x:v>
      </x:c>
      <x:c r="O1174" s="16" t="str">
        <x:v>Takip gerekli</x:v>
      </x:c>
      <x:c r="P1174" s="19" t="n">
        <x:v>46245</x:v>
      </x:c>
      <x:c r="Q1174" s="20" t="str">
        <x:v>Erişilemedi</x:v>
      </x:c>
      <x:c r="R1174" s="20" t="str">
        <x:v>Ürün adı, gramaj ve fiyat birlikte çıkarılamadı. Bağlantı manuel inceleme için korundu.</x:v>
      </x:c>
    </x:row>
    <x:row r="1175" ht="40" customHeight="1">
      <x:c r="A1175" s="16" t="str">
        <x:v>Null Coffee Roasters</x:v>
      </x:c>
      <x:c r="B1175" s="16" t="str">
        <x:v>İstanbul</x:v>
      </x:c>
      <x:c r="C1175" s="16" t="str">
        <x:v>Doğrulandı</x:v>
      </x:c>
      <x:c r="D1175" s="16" t="str">
        <x:v>Ürün kaydı</x:v>
      </x:c>
      <x:c r="E1175" s="16" t="str">
        <x:v>Ayele Fulasa Gesha - Natural - Ethiopia - 2025</x:v>
      </x:c>
      <x:c r="F1175" s="16" t="str">
        <x:v>Etiyopya</x:v>
      </x:c>
      <x:c r="G1175" s="17" t="n">
        <x:v>250</x:v>
      </x:c>
      <x:c r="H1175" s="16" t="str">
        <x:v>Erişildi</x:v>
      </x:c>
      <x:c r="I1175" s="18" t="n">
        <x:v>990</x:v>
      </x:c>
      <x:c r="J1175" s="18" t="str">
        <x:v>Erişildi</x:v>
      </x:c>
      <x:c r="K1175" s="18" t="n">
        <x:f>IF(AND(ISNUMBER(G1175),ISNUMBER(I1175)),I1175/G1175*1000,"Erişilemedi")</x:f>
        <x:v>3960</x:v>
      </x:c>
      <x:c r="L1175" s="16" t="str">
        <x:v>Stokta</x:v>
      </x:c>
      <x:c r="M1175" s="16" t="str">
        <x:v>Tek köken/ürün</x:v>
      </x:c>
      <x:c r="N1175" s="16" t="str">
        <x:v>Shopify ürün akışı</x:v>
      </x:c>
      <x:c r="O1175" s="16" t="str">
        <x:v>Yüksek</x:v>
      </x:c>
      <x:c r="P1175" s="19" t="n">
        <x:v>46245</x:v>
      </x:c>
      <x:c r="Q1175" s="20" t="str">
        <x:v>https://null.coffee/products/ayele-fulasa-gesha-natural-ethiopia-2025</x:v>
      </x:c>
      <x:c r="R1175" s="20" t="str">
        <x:v>Öğütüm seçenekleri aynı gramaj ve fiyatta tekilleştirildi.</x:v>
      </x:c>
    </x:row>
    <x:row r="1176" ht="40" customHeight="1">
      <x:c r="A1176" s="16" t="str">
        <x:v>Null Coffee Roasters</x:v>
      </x:c>
      <x:c r="B1176" s="16" t="str">
        <x:v>İstanbul</x:v>
      </x:c>
      <x:c r="C1176" s="16" t="str">
        <x:v>Doğrulandı</x:v>
      </x:c>
      <x:c r="D1176" s="16" t="str">
        <x:v>Ürün kaydı</x:v>
      </x:c>
      <x:c r="E1176" s="16" t="str">
        <x:v>Ayele Fulasa Gesha - Natural - Ethiopia - 2025</x:v>
      </x:c>
      <x:c r="F1176" s="16" t="str">
        <x:v>Etiyopya</x:v>
      </x:c>
      <x:c r="G1176" s="17" t="n">
        <x:v>250</x:v>
      </x:c>
      <x:c r="H1176" s="16" t="str">
        <x:v>Erişildi</x:v>
      </x:c>
      <x:c r="I1176" s="18" t="n">
        <x:v>3960</x:v>
      </x:c>
      <x:c r="J1176" s="18" t="str">
        <x:v>Erişildi</x:v>
      </x:c>
      <x:c r="K1176" s="18" t="n">
        <x:f>IF(AND(ISNUMBER(G1176),ISNUMBER(I1176)),I1176/G1176*1000,"Erişilemedi")</x:f>
        <x:v>15840</x:v>
      </x:c>
      <x:c r="L1176" s="16" t="str">
        <x:v>Stokta</x:v>
      </x:c>
      <x:c r="M1176" s="16" t="str">
        <x:v>Tek köken/ürün</x:v>
      </x:c>
      <x:c r="N1176" s="16" t="str">
        <x:v>Shopify ürün akışı</x:v>
      </x:c>
      <x:c r="O1176" s="16" t="str">
        <x:v>Yüksek</x:v>
      </x:c>
      <x:c r="P1176" s="19" t="n">
        <x:v>46245</x:v>
      </x:c>
      <x:c r="Q1176" s="20" t="str">
        <x:v>https://null.coffee/products/ayele-fulasa-gesha-natural-ethiopia-2025</x:v>
      </x:c>
      <x:c r="R1176" s="20" t="str">
        <x:v>Öğütüm seçenekleri aynı gramaj ve fiyatta tekilleştirildi.</x:v>
      </x:c>
    </x:row>
    <x:row r="1177" ht="40" customHeight="1">
      <x:c r="A1177" s="16" t="str">
        <x:v>Null Coffee Roasters</x:v>
      </x:c>
      <x:c r="B1177" s="16" t="str">
        <x:v>İstanbul</x:v>
      </x:c>
      <x:c r="C1177" s="16" t="str">
        <x:v>Doğrulandı</x:v>
      </x:c>
      <x:c r="D1177" s="16" t="str">
        <x:v>Ürün kaydı</x:v>
      </x:c>
      <x:c r="E1177" s="16" t="str">
        <x:v>Ayele Fulasa Gesha - Natural - Ethiopia - 2025</x:v>
      </x:c>
      <x:c r="F1177" s="16" t="str">
        <x:v>Etiyopya</x:v>
      </x:c>
      <x:c r="G1177" s="17" t="n">
        <x:v>1000</x:v>
      </x:c>
      <x:c r="H1177" s="16" t="str">
        <x:v>Erişildi</x:v>
      </x:c>
      <x:c r="I1177" s="18" t="n">
        <x:v>3960</x:v>
      </x:c>
      <x:c r="J1177" s="18" t="str">
        <x:v>Erişildi</x:v>
      </x:c>
      <x:c r="K1177" s="18" t="n">
        <x:f>IF(AND(ISNUMBER(G1177),ISNUMBER(I1177)),I1177/G1177*1000,"Erişilemedi")</x:f>
        <x:v>3960</x:v>
      </x:c>
      <x:c r="L1177" s="16" t="str">
        <x:v>Stokta</x:v>
      </x:c>
      <x:c r="M1177" s="16" t="str">
        <x:v>Tek köken/ürün</x:v>
      </x:c>
      <x:c r="N1177" s="16" t="str">
        <x:v>Shopify ürün akışı</x:v>
      </x:c>
      <x:c r="O1177" s="16" t="str">
        <x:v>Yüksek</x:v>
      </x:c>
      <x:c r="P1177" s="19" t="n">
        <x:v>46245</x:v>
      </x:c>
      <x:c r="Q1177" s="20" t="str">
        <x:v>https://null.coffee/products/ayele-fulasa-gesha-natural-ethiopia-2025</x:v>
      </x:c>
      <x:c r="R1177" s="20" t="str">
        <x:v>Öğütüm seçenekleri aynı gramaj ve fiyatta tekilleştirildi.</x:v>
      </x:c>
    </x:row>
    <x:row r="1178" ht="40" customHeight="1">
      <x:c r="A1178" s="16" t="str">
        <x:v>Null Coffee Roasters</x:v>
      </x:c>
      <x:c r="B1178" s="16" t="str">
        <x:v>İstanbul</x:v>
      </x:c>
      <x:c r="C1178" s="16" t="str">
        <x:v>Doğrulandı</x:v>
      </x:c>
      <x:c r="D1178" s="16" t="str">
        <x:v>Ürün kaydı</x:v>
      </x:c>
      <x:c r="E1178" s="16" t="str">
        <x:v>Ayele Fulasa Gesha - Natural - Ethiopia - 2025</x:v>
      </x:c>
      <x:c r="F1178" s="16" t="str">
        <x:v>Etiyopya</x:v>
      </x:c>
      <x:c r="G1178" s="17" t="n">
        <x:v>1000</x:v>
      </x:c>
      <x:c r="H1178" s="16" t="str">
        <x:v>Erişildi</x:v>
      </x:c>
      <x:c r="I1178" s="18" t="n">
        <x:v>990</x:v>
      </x:c>
      <x:c r="J1178" s="18" t="str">
        <x:v>Erişildi</x:v>
      </x:c>
      <x:c r="K1178" s="18" t="n">
        <x:f>IF(AND(ISNUMBER(G1178),ISNUMBER(I1178)),I1178/G1178*1000,"Erişilemedi")</x:f>
        <x:v>990</x:v>
      </x:c>
      <x:c r="L1178" s="16" t="str">
        <x:v>Stokta</x:v>
      </x:c>
      <x:c r="M1178" s="16" t="str">
        <x:v>Tek köken/ürün</x:v>
      </x:c>
      <x:c r="N1178" s="16" t="str">
        <x:v>Shopify ürün akışı</x:v>
      </x:c>
      <x:c r="O1178" s="16" t="str">
        <x:v>Yüksek</x:v>
      </x:c>
      <x:c r="P1178" s="19" t="n">
        <x:v>46245</x:v>
      </x:c>
      <x:c r="Q1178" s="20" t="str">
        <x:v>https://null.coffee/products/ayele-fulasa-gesha-natural-ethiopia-2025</x:v>
      </x:c>
      <x:c r="R1178" s="20" t="str">
        <x:v>Öğütüm seçenekleri aynı gramaj ve fiyatta tekilleştirildi.</x:v>
      </x:c>
    </x:row>
    <x:row r="1179" ht="40" customHeight="1">
      <x:c r="A1179" s="16" t="str">
        <x:v>Null Coffee Roasters</x:v>
      </x:c>
      <x:c r="B1179" s="16" t="str">
        <x:v>İstanbul</x:v>
      </x:c>
      <x:c r="C1179" s="16" t="str">
        <x:v>Doğrulandı</x:v>
      </x:c>
      <x:c r="D1179" s="16" t="str">
        <x:v>Ürün kaydı</x:v>
      </x:c>
      <x:c r="E1179" s="16" t="str">
        <x:v>Bekele Yutute - Natural - Ethiopia - 2025</x:v>
      </x:c>
      <x:c r="F1179" s="16" t="str">
        <x:v>Etiyopya</x:v>
      </x:c>
      <x:c r="G1179" s="17" t="n">
        <x:v>250</x:v>
      </x:c>
      <x:c r="H1179" s="16" t="str">
        <x:v>Erişildi</x:v>
      </x:c>
      <x:c r="I1179" s="18" t="n">
        <x:v>990</x:v>
      </x:c>
      <x:c r="J1179" s="18" t="str">
        <x:v>Erişildi</x:v>
      </x:c>
      <x:c r="K1179" s="18" t="n">
        <x:f>IF(AND(ISNUMBER(G1179),ISNUMBER(I1179)),I1179/G1179*1000,"Erişilemedi")</x:f>
        <x:v>3960</x:v>
      </x:c>
      <x:c r="L1179" s="16" t="str">
        <x:v>Stokta</x:v>
      </x:c>
      <x:c r="M1179" s="16" t="str">
        <x:v>Tek köken/ürün</x:v>
      </x:c>
      <x:c r="N1179" s="16" t="str">
        <x:v>Shopify ürün akışı</x:v>
      </x:c>
      <x:c r="O1179" s="16" t="str">
        <x:v>Yüksek</x:v>
      </x:c>
      <x:c r="P1179" s="19" t="n">
        <x:v>46245</x:v>
      </x:c>
      <x:c r="Q1179" s="20" t="str">
        <x:v>https://null.coffee/products/bekele-yutute-natural-ethiopia-2025</x:v>
      </x:c>
      <x:c r="R1179" s="20" t="str">
        <x:v>Öğütüm seçenekleri aynı gramaj ve fiyatta tekilleştirildi.</x:v>
      </x:c>
    </x:row>
    <x:row r="1180" ht="40" customHeight="1">
      <x:c r="A1180" s="16" t="str">
        <x:v>Null Coffee Roasters</x:v>
      </x:c>
      <x:c r="B1180" s="16" t="str">
        <x:v>İstanbul</x:v>
      </x:c>
      <x:c r="C1180" s="16" t="str">
        <x:v>Doğrulandı</x:v>
      </x:c>
      <x:c r="D1180" s="16" t="str">
        <x:v>Ürün kaydı</x:v>
      </x:c>
      <x:c r="E1180" s="16" t="str">
        <x:v>Bekele Yutute - Natural - Ethiopia - 2025</x:v>
      </x:c>
      <x:c r="F1180" s="16" t="str">
        <x:v>Etiyopya</x:v>
      </x:c>
      <x:c r="G1180" s="17" t="n">
        <x:v>1000</x:v>
      </x:c>
      <x:c r="H1180" s="16" t="str">
        <x:v>Erişildi</x:v>
      </x:c>
      <x:c r="I1180" s="18" t="n">
        <x:v>3960</x:v>
      </x:c>
      <x:c r="J1180" s="18" t="str">
        <x:v>Erişildi</x:v>
      </x:c>
      <x:c r="K1180" s="18" t="n">
        <x:f>IF(AND(ISNUMBER(G1180),ISNUMBER(I1180)),I1180/G1180*1000,"Erişilemedi")</x:f>
        <x:v>3960</x:v>
      </x:c>
      <x:c r="L1180" s="16" t="str">
        <x:v>Stokta</x:v>
      </x:c>
      <x:c r="M1180" s="16" t="str">
        <x:v>Tek köken/ürün</x:v>
      </x:c>
      <x:c r="N1180" s="16" t="str">
        <x:v>Shopify ürün akışı</x:v>
      </x:c>
      <x:c r="O1180" s="16" t="str">
        <x:v>Yüksek</x:v>
      </x:c>
      <x:c r="P1180" s="19" t="n">
        <x:v>46245</x:v>
      </x:c>
      <x:c r="Q1180" s="20" t="str">
        <x:v>https://null.coffee/products/bekele-yutute-natural-ethiopia-2025</x:v>
      </x:c>
      <x:c r="R1180" s="20" t="str">
        <x:v>Öğütüm seçenekleri aynı gramaj ve fiyatta tekilleştirildi.</x:v>
      </x:c>
    </x:row>
    <x:row r="1181" ht="40" customHeight="1">
      <x:c r="A1181" s="16" t="str">
        <x:v>Null Coffee Roasters</x:v>
      </x:c>
      <x:c r="B1181" s="16" t="str">
        <x:v>İstanbul</x:v>
      </x:c>
      <x:c r="C1181" s="16" t="str">
        <x:v>Doğrulandı</x:v>
      </x:c>
      <x:c r="D1181" s="16" t="str">
        <x:v>Ürün kaydı</x:v>
      </x:c>
      <x:c r="E1181" s="16" t="str">
        <x:v>Bersama Kerinci - Anaerobic Honey - Indonesia - 2025</x:v>
      </x:c>
      <x:c r="F1181" s="16" t="str">
        <x:v>Endonezya</x:v>
      </x:c>
      <x:c r="G1181" s="17" t="n">
        <x:v>250</x:v>
      </x:c>
      <x:c r="H1181" s="16" t="str">
        <x:v>Erişildi</x:v>
      </x:c>
      <x:c r="I1181" s="18" t="n">
        <x:v>990</x:v>
      </x:c>
      <x:c r="J1181" s="18" t="str">
        <x:v>Erişildi</x:v>
      </x:c>
      <x:c r="K1181" s="18" t="n">
        <x:f>IF(AND(ISNUMBER(G1181),ISNUMBER(I1181)),I1181/G1181*1000,"Erişilemedi")</x:f>
        <x:v>3960</x:v>
      </x:c>
      <x:c r="L1181" s="16" t="str">
        <x:v>Stokta</x:v>
      </x:c>
      <x:c r="M1181" s="16" t="str">
        <x:v>Tek köken/ürün</x:v>
      </x:c>
      <x:c r="N1181" s="16" t="str">
        <x:v>Shopify ürün akışı</x:v>
      </x:c>
      <x:c r="O1181" s="16" t="str">
        <x:v>Yüksek</x:v>
      </x:c>
      <x:c r="P1181" s="19" t="n">
        <x:v>46245</x:v>
      </x:c>
      <x:c r="Q1181" s="20" t="str">
        <x:v>https://null.coffee/products/bersama-kerinci-anaerobic-honey-indonesia-2025</x:v>
      </x:c>
      <x:c r="R1181" s="20" t="str">
        <x:v>Öğütüm seçenekleri aynı gramaj ve fiyatta tekilleştirildi.</x:v>
      </x:c>
    </x:row>
    <x:row r="1182" ht="40" customHeight="1">
      <x:c r="A1182" s="16" t="str">
        <x:v>Null Coffee Roasters</x:v>
      </x:c>
      <x:c r="B1182" s="16" t="str">
        <x:v>İstanbul</x:v>
      </x:c>
      <x:c r="C1182" s="16" t="str">
        <x:v>Doğrulandı</x:v>
      </x:c>
      <x:c r="D1182" s="16" t="str">
        <x:v>Ürün kaydı</x:v>
      </x:c>
      <x:c r="E1182" s="16" t="str">
        <x:v>Bersama Kerinci - Anaerobic Honey - Indonesia - 2025</x:v>
      </x:c>
      <x:c r="F1182" s="16" t="str">
        <x:v>Endonezya</x:v>
      </x:c>
      <x:c r="G1182" s="17" t="n">
        <x:v>1000</x:v>
      </x:c>
      <x:c r="H1182" s="16" t="str">
        <x:v>Erişildi</x:v>
      </x:c>
      <x:c r="I1182" s="18" t="n">
        <x:v>3960</x:v>
      </x:c>
      <x:c r="J1182" s="18" t="str">
        <x:v>Erişildi</x:v>
      </x:c>
      <x:c r="K1182" s="18" t="n">
        <x:f>IF(AND(ISNUMBER(G1182),ISNUMBER(I1182)),I1182/G1182*1000,"Erişilemedi")</x:f>
        <x:v>3960</x:v>
      </x:c>
      <x:c r="L1182" s="16" t="str">
        <x:v>Stokta</x:v>
      </x:c>
      <x:c r="M1182" s="16" t="str">
        <x:v>Tek köken/ürün</x:v>
      </x:c>
      <x:c r="N1182" s="16" t="str">
        <x:v>Shopify ürün akışı</x:v>
      </x:c>
      <x:c r="O1182" s="16" t="str">
        <x:v>Yüksek</x:v>
      </x:c>
      <x:c r="P1182" s="19" t="n">
        <x:v>46245</x:v>
      </x:c>
      <x:c r="Q1182" s="20" t="str">
        <x:v>https://null.coffee/products/bersama-kerinci-anaerobic-honey-indonesia-2025</x:v>
      </x:c>
      <x:c r="R1182" s="20" t="str">
        <x:v>Öğütüm seçenekleri aynı gramaj ve fiyatta tekilleştirildi.</x:v>
      </x:c>
    </x:row>
    <x:row r="1183" ht="40" customHeight="1">
      <x:c r="A1183" s="16" t="str">
        <x:v>Null Coffee Roasters</x:v>
      </x:c>
      <x:c r="B1183" s="16" t="str">
        <x:v>İstanbul</x:v>
      </x:c>
      <x:c r="C1183" s="16" t="str">
        <x:v>Doğrulandı</x:v>
      </x:c>
      <x:c r="D1183" s="16" t="str">
        <x:v>Ürün kaydı</x:v>
      </x:c>
      <x:c r="E1183" s="16" t="str">
        <x:v>Bersama Kerinci - Anaerobic Natural - Indonesia - 2025</x:v>
      </x:c>
      <x:c r="F1183" s="16" t="str">
        <x:v>Endonezya</x:v>
      </x:c>
      <x:c r="G1183" s="17" t="n">
        <x:v>250</x:v>
      </x:c>
      <x:c r="H1183" s="16" t="str">
        <x:v>Erişildi</x:v>
      </x:c>
      <x:c r="I1183" s="18" t="n">
        <x:v>990</x:v>
      </x:c>
      <x:c r="J1183" s="18" t="str">
        <x:v>Erişildi</x:v>
      </x:c>
      <x:c r="K1183" s="18" t="n">
        <x:f>IF(AND(ISNUMBER(G1183),ISNUMBER(I1183)),I1183/G1183*1000,"Erişilemedi")</x:f>
        <x:v>3960</x:v>
      </x:c>
      <x:c r="L1183" s="16" t="str">
        <x:v>Stokta</x:v>
      </x:c>
      <x:c r="M1183" s="16" t="str">
        <x:v>Tek köken/ürün</x:v>
      </x:c>
      <x:c r="N1183" s="16" t="str">
        <x:v>Shopify ürün akışı</x:v>
      </x:c>
      <x:c r="O1183" s="16" t="str">
        <x:v>Yüksek</x:v>
      </x:c>
      <x:c r="P1183" s="19" t="n">
        <x:v>46245</x:v>
      </x:c>
      <x:c r="Q1183" s="20" t="str">
        <x:v>https://null.coffee/products/bersama-kerinci-anaerobic-natural-indonesia-2025</x:v>
      </x:c>
      <x:c r="R1183" s="20" t="str">
        <x:v>Öğütüm seçenekleri aynı gramaj ve fiyatta tekilleştirildi.</x:v>
      </x:c>
    </x:row>
    <x:row r="1184" ht="40" customHeight="1">
      <x:c r="A1184" s="16" t="str">
        <x:v>Null Coffee Roasters</x:v>
      </x:c>
      <x:c r="B1184" s="16" t="str">
        <x:v>İstanbul</x:v>
      </x:c>
      <x:c r="C1184" s="16" t="str">
        <x:v>Doğrulandı</x:v>
      </x:c>
      <x:c r="D1184" s="16" t="str">
        <x:v>Ürün kaydı</x:v>
      </x:c>
      <x:c r="E1184" s="16" t="str">
        <x:v>Bersama Kerinci - Anaerobic Natural - Indonesia - 2025</x:v>
      </x:c>
      <x:c r="F1184" s="16" t="str">
        <x:v>Endonezya</x:v>
      </x:c>
      <x:c r="G1184" s="17" t="n">
        <x:v>1000</x:v>
      </x:c>
      <x:c r="H1184" s="16" t="str">
        <x:v>Erişildi</x:v>
      </x:c>
      <x:c r="I1184" s="18" t="n">
        <x:v>3960</x:v>
      </x:c>
      <x:c r="J1184" s="18" t="str">
        <x:v>Erişildi</x:v>
      </x:c>
      <x:c r="K1184" s="18" t="n">
        <x:f>IF(AND(ISNUMBER(G1184),ISNUMBER(I1184)),I1184/G1184*1000,"Erişilemedi")</x:f>
        <x:v>3960</x:v>
      </x:c>
      <x:c r="L1184" s="16" t="str">
        <x:v>Stokta</x:v>
      </x:c>
      <x:c r="M1184" s="16" t="str">
        <x:v>Tek köken/ürün</x:v>
      </x:c>
      <x:c r="N1184" s="16" t="str">
        <x:v>Shopify ürün akışı</x:v>
      </x:c>
      <x:c r="O1184" s="16" t="str">
        <x:v>Yüksek</x:v>
      </x:c>
      <x:c r="P1184" s="19" t="n">
        <x:v>46245</x:v>
      </x:c>
      <x:c r="Q1184" s="20" t="str">
        <x:v>https://null.coffee/products/bersama-kerinci-anaerobic-natural-indonesia-2025</x:v>
      </x:c>
      <x:c r="R1184" s="20" t="str">
        <x:v>Öğütüm seçenekleri aynı gramaj ve fiyatta tekilleştirildi.</x:v>
      </x:c>
    </x:row>
    <x:row r="1185" ht="40" customHeight="1">
      <x:c r="A1185" s="16" t="str">
        <x:v>Null Coffee Roasters</x:v>
      </x:c>
      <x:c r="B1185" s="16" t="str">
        <x:v>İstanbul</x:v>
      </x:c>
      <x:c r="C1185" s="16" t="str">
        <x:v>Doğrulandı</x:v>
      </x:c>
      <x:c r="D1185" s="16" t="str">
        <x:v>Ürün kaydı</x:v>
      </x:c>
      <x:c r="E1185" s="16" t="str">
        <x:v>Gachatha AA - Washed - Kenya - 2025</x:v>
      </x:c>
      <x:c r="F1185" s="16" t="str">
        <x:v>Kenya</x:v>
      </x:c>
      <x:c r="G1185" s="17" t="n">
        <x:v>250</x:v>
      </x:c>
      <x:c r="H1185" s="16" t="str">
        <x:v>Erişildi</x:v>
      </x:c>
      <x:c r="I1185" s="18" t="n">
        <x:v>1090</x:v>
      </x:c>
      <x:c r="J1185" s="18" t="str">
        <x:v>Erişildi</x:v>
      </x:c>
      <x:c r="K1185" s="18" t="n">
        <x:f>IF(AND(ISNUMBER(G1185),ISNUMBER(I1185)),I1185/G1185*1000,"Erişilemedi")</x:f>
        <x:v>4360</x:v>
      </x:c>
      <x:c r="L1185" s="16" t="str">
        <x:v>Stokta</x:v>
      </x:c>
      <x:c r="M1185" s="16" t="str">
        <x:v>Tek köken/ürün</x:v>
      </x:c>
      <x:c r="N1185" s="16" t="str">
        <x:v>Shopify ürün akışı</x:v>
      </x:c>
      <x:c r="O1185" s="16" t="str">
        <x:v>Yüksek</x:v>
      </x:c>
      <x:c r="P1185" s="19" t="n">
        <x:v>46245</x:v>
      </x:c>
      <x:c r="Q1185" s="20" t="str">
        <x:v>https://null.coffee/products/gachatha-aa-washed-kenya-2025</x:v>
      </x:c>
      <x:c r="R1185" s="20" t="str">
        <x:v>Öğütüm seçenekleri aynı gramaj ve fiyatta tekilleştirildi.</x:v>
      </x:c>
    </x:row>
    <x:row r="1186" ht="40" customHeight="1">
      <x:c r="A1186" s="16" t="str">
        <x:v>Null Coffee Roasters</x:v>
      </x:c>
      <x:c r="B1186" s="16" t="str">
        <x:v>İstanbul</x:v>
      </x:c>
      <x:c r="C1186" s="16" t="str">
        <x:v>Doğrulandı</x:v>
      </x:c>
      <x:c r="D1186" s="16" t="str">
        <x:v>Ürün kaydı</x:v>
      </x:c>
      <x:c r="E1186" s="16" t="str">
        <x:v>Gachatha AA - Washed - Kenya - 2025</x:v>
      </x:c>
      <x:c r="F1186" s="16" t="str">
        <x:v>Kenya</x:v>
      </x:c>
      <x:c r="G1186" s="17" t="n">
        <x:v>1000</x:v>
      </x:c>
      <x:c r="H1186" s="16" t="str">
        <x:v>Erişildi</x:v>
      </x:c>
      <x:c r="I1186" s="18" t="n">
        <x:v>4360</x:v>
      </x:c>
      <x:c r="J1186" s="18" t="str">
        <x:v>Erişildi</x:v>
      </x:c>
      <x:c r="K1186" s="18" t="n">
        <x:f>IF(AND(ISNUMBER(G1186),ISNUMBER(I1186)),I1186/G1186*1000,"Erişilemedi")</x:f>
        <x:v>4360</x:v>
      </x:c>
      <x:c r="L1186" s="16" t="str">
        <x:v>Stokta</x:v>
      </x:c>
      <x:c r="M1186" s="16" t="str">
        <x:v>Tek köken/ürün</x:v>
      </x:c>
      <x:c r="N1186" s="16" t="str">
        <x:v>Shopify ürün akışı</x:v>
      </x:c>
      <x:c r="O1186" s="16" t="str">
        <x:v>Yüksek</x:v>
      </x:c>
      <x:c r="P1186" s="19" t="n">
        <x:v>46245</x:v>
      </x:c>
      <x:c r="Q1186" s="20" t="str">
        <x:v>https://null.coffee/products/gachatha-aa-washed-kenya-2025</x:v>
      </x:c>
      <x:c r="R1186" s="20" t="str">
        <x:v>Öğütüm seçenekleri aynı gramaj ve fiyatta tekilleştirildi.</x:v>
      </x:c>
    </x:row>
    <x:row r="1187" ht="40" customHeight="1">
      <x:c r="A1187" s="16" t="str">
        <x:v>Null Coffee Roasters</x:v>
      </x:c>
      <x:c r="B1187" s="16" t="str">
        <x:v>İstanbul</x:v>
      </x:c>
      <x:c r="C1187" s="16" t="str">
        <x:v>Doğrulandı</x:v>
      </x:c>
      <x:c r="D1187" s="16" t="str">
        <x:v>Ürün kaydı</x:v>
      </x:c>
      <x:c r="E1187" s="16" t="str">
        <x:v>Gachenge Estate AA - Washed - Kenya - 2025</x:v>
      </x:c>
      <x:c r="F1187" s="16" t="str">
        <x:v>Kenya</x:v>
      </x:c>
      <x:c r="G1187" s="17" t="n">
        <x:v>250</x:v>
      </x:c>
      <x:c r="H1187" s="16" t="str">
        <x:v>Erişildi</x:v>
      </x:c>
      <x:c r="I1187" s="18" t="n">
        <x:v>1040</x:v>
      </x:c>
      <x:c r="J1187" s="18" t="str">
        <x:v>Erişildi</x:v>
      </x:c>
      <x:c r="K1187" s="18" t="n">
        <x:f>IF(AND(ISNUMBER(G1187),ISNUMBER(I1187)),I1187/G1187*1000,"Erişilemedi")</x:f>
        <x:v>4160</x:v>
      </x:c>
      <x:c r="L1187" s="16" t="str">
        <x:v>Stokta</x:v>
      </x:c>
      <x:c r="M1187" s="16" t="str">
        <x:v>Tek köken/ürün</x:v>
      </x:c>
      <x:c r="N1187" s="16" t="str">
        <x:v>Shopify ürün akışı</x:v>
      </x:c>
      <x:c r="O1187" s="16" t="str">
        <x:v>Yüksek</x:v>
      </x:c>
      <x:c r="P1187" s="19" t="n">
        <x:v>46245</x:v>
      </x:c>
      <x:c r="Q1187" s="20" t="str">
        <x:v>https://null.coffee/products/gachenge-estate-aa-washed-kenya-2025</x:v>
      </x:c>
      <x:c r="R1187" s="20" t="str">
        <x:v>Öğütüm seçenekleri aynı gramaj ve fiyatta tekilleştirildi.</x:v>
      </x:c>
    </x:row>
    <x:row r="1188" ht="40" customHeight="1">
      <x:c r="A1188" s="16" t="str">
        <x:v>Null Coffee Roasters</x:v>
      </x:c>
      <x:c r="B1188" s="16" t="str">
        <x:v>İstanbul</x:v>
      </x:c>
      <x:c r="C1188" s="16" t="str">
        <x:v>Doğrulandı</x:v>
      </x:c>
      <x:c r="D1188" s="16" t="str">
        <x:v>Ürün kaydı</x:v>
      </x:c>
      <x:c r="E1188" s="16" t="str">
        <x:v>Gachenge Estate AA - Washed - Kenya - 2025</x:v>
      </x:c>
      <x:c r="F1188" s="16" t="str">
        <x:v>Kenya</x:v>
      </x:c>
      <x:c r="G1188" s="17" t="n">
        <x:v>1000</x:v>
      </x:c>
      <x:c r="H1188" s="16" t="str">
        <x:v>Erişildi</x:v>
      </x:c>
      <x:c r="I1188" s="18" t="n">
        <x:v>4160</x:v>
      </x:c>
      <x:c r="J1188" s="18" t="str">
        <x:v>Erişildi</x:v>
      </x:c>
      <x:c r="K1188" s="18" t="n">
        <x:f>IF(AND(ISNUMBER(G1188),ISNUMBER(I1188)),I1188/G1188*1000,"Erişilemedi")</x:f>
        <x:v>4160</x:v>
      </x:c>
      <x:c r="L1188" s="16" t="str">
        <x:v>Stokta</x:v>
      </x:c>
      <x:c r="M1188" s="16" t="str">
        <x:v>Tek köken/ürün</x:v>
      </x:c>
      <x:c r="N1188" s="16" t="str">
        <x:v>Shopify ürün akışı</x:v>
      </x:c>
      <x:c r="O1188" s="16" t="str">
        <x:v>Yüksek</x:v>
      </x:c>
      <x:c r="P1188" s="19" t="n">
        <x:v>46245</x:v>
      </x:c>
      <x:c r="Q1188" s="20" t="str">
        <x:v>https://null.coffee/products/gachenge-estate-aa-washed-kenya-2025</x:v>
      </x:c>
      <x:c r="R1188" s="20" t="str">
        <x:v>Öğütüm seçenekleri aynı gramaj ve fiyatta tekilleştirildi.</x:v>
      </x:c>
    </x:row>
    <x:row r="1189" ht="40" customHeight="1">
      <x:c r="A1189" s="16" t="str">
        <x:v>Null Coffee Roasters</x:v>
      </x:c>
      <x:c r="B1189" s="16" t="str">
        <x:v>İstanbul</x:v>
      </x:c>
      <x:c r="C1189" s="16" t="str">
        <x:v>Doğrulandı</x:v>
      </x:c>
      <x:c r="D1189" s="16" t="str">
        <x:v>Ürün kaydı</x:v>
      </x:c>
      <x:c r="E1189" s="16" t="str">
        <x:v>Gayo Sesongot - Anaerobic Natural - Indonesia - 2025</x:v>
      </x:c>
      <x:c r="F1189" s="16" t="str">
        <x:v>Endonezya</x:v>
      </x:c>
      <x:c r="G1189" s="17" t="n">
        <x:v>250</x:v>
      </x:c>
      <x:c r="H1189" s="16" t="str">
        <x:v>Erişildi</x:v>
      </x:c>
      <x:c r="I1189" s="18" t="n">
        <x:v>990</x:v>
      </x:c>
      <x:c r="J1189" s="18" t="str">
        <x:v>Erişildi</x:v>
      </x:c>
      <x:c r="K1189" s="18" t="n">
        <x:f>IF(AND(ISNUMBER(G1189),ISNUMBER(I1189)),I1189/G1189*1000,"Erişilemedi")</x:f>
        <x:v>3960</x:v>
      </x:c>
      <x:c r="L1189" s="16" t="str">
        <x:v>Stokta</x:v>
      </x:c>
      <x:c r="M1189" s="16" t="str">
        <x:v>Tek köken/ürün</x:v>
      </x:c>
      <x:c r="N1189" s="16" t="str">
        <x:v>Shopify ürün akışı</x:v>
      </x:c>
      <x:c r="O1189" s="16" t="str">
        <x:v>Yüksek</x:v>
      </x:c>
      <x:c r="P1189" s="19" t="n">
        <x:v>46245</x:v>
      </x:c>
      <x:c r="Q1189" s="20" t="str">
        <x:v>https://null.coffee/products/gayo-sesongot-anaerobic-natural-indonesia-2025</x:v>
      </x:c>
      <x:c r="R1189" s="20" t="str">
        <x:v>Öğütüm seçenekleri aynı gramaj ve fiyatta tekilleştirildi.</x:v>
      </x:c>
    </x:row>
    <x:row r="1190" ht="40" customHeight="1">
      <x:c r="A1190" s="16" t="str">
        <x:v>Null Coffee Roasters</x:v>
      </x:c>
      <x:c r="B1190" s="16" t="str">
        <x:v>İstanbul</x:v>
      </x:c>
      <x:c r="C1190" s="16" t="str">
        <x:v>Doğrulandı</x:v>
      </x:c>
      <x:c r="D1190" s="16" t="str">
        <x:v>Ürün kaydı</x:v>
      </x:c>
      <x:c r="E1190" s="16" t="str">
        <x:v>Gayo Sesongot - Anaerobic Natural - Indonesia - 2025</x:v>
      </x:c>
      <x:c r="F1190" s="16" t="str">
        <x:v>Endonezya</x:v>
      </x:c>
      <x:c r="G1190" s="17" t="n">
        <x:v>1000</x:v>
      </x:c>
      <x:c r="H1190" s="16" t="str">
        <x:v>Erişildi</x:v>
      </x:c>
      <x:c r="I1190" s="18" t="n">
        <x:v>3960</x:v>
      </x:c>
      <x:c r="J1190" s="18" t="str">
        <x:v>Erişildi</x:v>
      </x:c>
      <x:c r="K1190" s="18" t="n">
        <x:f>IF(AND(ISNUMBER(G1190),ISNUMBER(I1190)),I1190/G1190*1000,"Erişilemedi")</x:f>
        <x:v>3960</x:v>
      </x:c>
      <x:c r="L1190" s="16" t="str">
        <x:v>Stokta</x:v>
      </x:c>
      <x:c r="M1190" s="16" t="str">
        <x:v>Tek köken/ürün</x:v>
      </x:c>
      <x:c r="N1190" s="16" t="str">
        <x:v>Shopify ürün akışı</x:v>
      </x:c>
      <x:c r="O1190" s="16" t="str">
        <x:v>Yüksek</x:v>
      </x:c>
      <x:c r="P1190" s="19" t="n">
        <x:v>46245</x:v>
      </x:c>
      <x:c r="Q1190" s="20" t="str">
        <x:v>https://null.coffee/products/gayo-sesongot-anaerobic-natural-indonesia-2025</x:v>
      </x:c>
      <x:c r="R1190" s="20" t="str">
        <x:v>Öğütüm seçenekleri aynı gramaj ve fiyatta tekilleştirildi.</x:v>
      </x:c>
    </x:row>
    <x:row r="1191" ht="40" customHeight="1">
      <x:c r="A1191" s="16" t="str">
        <x:v>Null Coffee Roasters</x:v>
      </x:c>
      <x:c r="B1191" s="16" t="str">
        <x:v>İstanbul</x:v>
      </x:c>
      <x:c r="C1191" s="16" t="str">
        <x:v>Doğrulandı</x:v>
      </x:c>
      <x:c r="D1191" s="16" t="str">
        <x:v>Ürün kaydı</x:v>
      </x:c>
      <x:c r="E1191" s="16" t="str">
        <x:v>Hacienda Sonora - Cascara - Costa Rica - 2023</x:v>
      </x:c>
      <x:c r="F1191" s="16" t="str">
        <x:v>Kosta Rika</x:v>
      </x:c>
      <x:c r="G1191" s="17" t="n">
        <x:v>250</x:v>
      </x:c>
      <x:c r="H1191" s="16" t="str">
        <x:v>Erişildi</x:v>
      </x:c>
      <x:c r="I1191" s="18" t="n">
        <x:v>530</x:v>
      </x:c>
      <x:c r="J1191" s="18" t="str">
        <x:v>Erişildi</x:v>
      </x:c>
      <x:c r="K1191" s="18" t="n">
        <x:f>IF(AND(ISNUMBER(G1191),ISNUMBER(I1191)),I1191/G1191*1000,"Erişilemedi")</x:f>
        <x:v>2120</x:v>
      </x:c>
      <x:c r="L1191" s="16" t="str">
        <x:v>Stokta</x:v>
      </x:c>
      <x:c r="M1191" s="16" t="str">
        <x:v>Tek köken/ürün</x:v>
      </x:c>
      <x:c r="N1191" s="16" t="str">
        <x:v>Shopify ürün akışı</x:v>
      </x:c>
      <x:c r="O1191" s="16" t="str">
        <x:v>Yüksek</x:v>
      </x:c>
      <x:c r="P1191" s="19" t="n">
        <x:v>46245</x:v>
      </x:c>
      <x:c r="Q1191" s="20" t="str">
        <x:v>https://null.coffee/products/hacienda-sonora-cascara-costa-rica-2023</x:v>
      </x:c>
      <x:c r="R1191" s="20" t="str">
        <x:v>Öğütüm seçenekleri aynı gramaj ve fiyatta tekilleştirildi.</x:v>
      </x:c>
    </x:row>
    <x:row r="1192" ht="40" customHeight="1">
      <x:c r="A1192" s="16" t="str">
        <x:v>Null Coffee Roasters</x:v>
      </x:c>
      <x:c r="B1192" s="16" t="str">
        <x:v>İstanbul</x:v>
      </x:c>
      <x:c r="C1192" s="16" t="str">
        <x:v>Doğrulandı</x:v>
      </x:c>
      <x:c r="D1192" s="16" t="str">
        <x:v>Ürün kaydı</x:v>
      </x:c>
      <x:c r="E1192" s="16" t="str">
        <x:v>Hacienda Sonora - Cascara - Costa Rica - 2023</x:v>
      </x:c>
      <x:c r="F1192" s="16" t="str">
        <x:v>Kosta Rika</x:v>
      </x:c>
      <x:c r="G1192" s="17" t="n">
        <x:v>1000</x:v>
      </x:c>
      <x:c r="H1192" s="16" t="str">
        <x:v>Erişildi</x:v>
      </x:c>
      <x:c r="I1192" s="18" t="n">
        <x:v>2120</x:v>
      </x:c>
      <x:c r="J1192" s="18" t="str">
        <x:v>Erişildi</x:v>
      </x:c>
      <x:c r="K1192" s="18" t="n">
        <x:f>IF(AND(ISNUMBER(G1192),ISNUMBER(I1192)),I1192/G1192*1000,"Erişilemedi")</x:f>
        <x:v>2120</x:v>
      </x:c>
      <x:c r="L1192" s="16" t="str">
        <x:v>Stokta</x:v>
      </x:c>
      <x:c r="M1192" s="16" t="str">
        <x:v>Tek köken/ürün</x:v>
      </x:c>
      <x:c r="N1192" s="16" t="str">
        <x:v>Shopify ürün akışı</x:v>
      </x:c>
      <x:c r="O1192" s="16" t="str">
        <x:v>Yüksek</x:v>
      </x:c>
      <x:c r="P1192" s="19" t="n">
        <x:v>46245</x:v>
      </x:c>
      <x:c r="Q1192" s="20" t="str">
        <x:v>https://null.coffee/products/hacienda-sonora-cascara-costa-rica-2023</x:v>
      </x:c>
      <x:c r="R1192" s="20" t="str">
        <x:v>Öğütüm seçenekleri aynı gramaj ve fiyatta tekilleştirildi.</x:v>
      </x:c>
    </x:row>
    <x:row r="1193" ht="40" customHeight="1">
      <x:c r="A1193" s="16" t="str">
        <x:v>Null Coffee Roasters</x:v>
      </x:c>
      <x:c r="B1193" s="16" t="str">
        <x:v>İstanbul</x:v>
      </x:c>
      <x:c r="C1193" s="16" t="str">
        <x:v>Doğrulandı</x:v>
      </x:c>
      <x:c r="D1193" s="16" t="str">
        <x:v>Ürün kaydı</x:v>
      </x:c>
      <x:c r="E1193" s="16" t="str">
        <x:v>Heleanna Georgalis - Orange Cherry - Natural - Ethiopia - 2025</x:v>
      </x:c>
      <x:c r="F1193" s="16" t="str">
        <x:v>Etiyopya</x:v>
      </x:c>
      <x:c r="G1193" s="17" t="n">
        <x:v>250</x:v>
      </x:c>
      <x:c r="H1193" s="16" t="str">
        <x:v>Erişildi</x:v>
      </x:c>
      <x:c r="I1193" s="18" t="n">
        <x:v>1500</x:v>
      </x:c>
      <x:c r="J1193" s="18" t="str">
        <x:v>Erişildi</x:v>
      </x:c>
      <x:c r="K1193" s="18" t="n">
        <x:f>IF(AND(ISNUMBER(G1193),ISNUMBER(I1193)),I1193/G1193*1000,"Erişilemedi")</x:f>
        <x:v>6000</x:v>
      </x:c>
      <x:c r="L1193" s="16" t="str">
        <x:v>Stokta</x:v>
      </x:c>
      <x:c r="M1193" s="16" t="str">
        <x:v>Tek köken/ürün</x:v>
      </x:c>
      <x:c r="N1193" s="16" t="str">
        <x:v>Shopify ürün akışı</x:v>
      </x:c>
      <x:c r="O1193" s="16" t="str">
        <x:v>Yüksek</x:v>
      </x:c>
      <x:c r="P1193" s="19" t="n">
        <x:v>46245</x:v>
      </x:c>
      <x:c r="Q1193" s="20" t="str">
        <x:v>https://null.coffee/products/heleanna-georgalis-orange-cherry-natural-ethiopia-2025</x:v>
      </x:c>
      <x:c r="R1193" s="20" t="str">
        <x:v>Öğütüm seçenekleri aynı gramaj ve fiyatta tekilleştirildi.</x:v>
      </x:c>
    </x:row>
    <x:row r="1194" ht="40" customHeight="1">
      <x:c r="A1194" s="16" t="str">
        <x:v>Null Coffee Roasters</x:v>
      </x:c>
      <x:c r="B1194" s="16" t="str">
        <x:v>İstanbul</x:v>
      </x:c>
      <x:c r="C1194" s="16" t="str">
        <x:v>Doğrulandı</x:v>
      </x:c>
      <x:c r="D1194" s="16" t="str">
        <x:v>Ürün kaydı</x:v>
      </x:c>
      <x:c r="E1194" s="16" t="str">
        <x:v>Heleanna Georgalis - Orange Cherry - Natural - Ethiopia - 2025</x:v>
      </x:c>
      <x:c r="F1194" s="16" t="str">
        <x:v>Etiyopya</x:v>
      </x:c>
      <x:c r="G1194" s="17" t="n">
        <x:v>1000</x:v>
      </x:c>
      <x:c r="H1194" s="16" t="str">
        <x:v>Erişildi</x:v>
      </x:c>
      <x:c r="I1194" s="18" t="n">
        <x:v>6000</x:v>
      </x:c>
      <x:c r="J1194" s="18" t="str">
        <x:v>Erişildi</x:v>
      </x:c>
      <x:c r="K1194" s="18" t="n">
        <x:f>IF(AND(ISNUMBER(G1194),ISNUMBER(I1194)),I1194/G1194*1000,"Erişilemedi")</x:f>
        <x:v>6000</x:v>
      </x:c>
      <x:c r="L1194" s="16" t="str">
        <x:v>Stokta</x:v>
      </x:c>
      <x:c r="M1194" s="16" t="str">
        <x:v>Tek köken/ürün</x:v>
      </x:c>
      <x:c r="N1194" s="16" t="str">
        <x:v>Shopify ürün akışı</x:v>
      </x:c>
      <x:c r="O1194" s="16" t="str">
        <x:v>Yüksek</x:v>
      </x:c>
      <x:c r="P1194" s="19" t="n">
        <x:v>46245</x:v>
      </x:c>
      <x:c r="Q1194" s="20" t="str">
        <x:v>https://null.coffee/products/heleanna-georgalis-orange-cherry-natural-ethiopia-2025</x:v>
      </x:c>
      <x:c r="R1194" s="20" t="str">
        <x:v>Öğütüm seçenekleri aynı gramaj ve fiyatta tekilleştirildi.</x:v>
      </x:c>
    </x:row>
    <x:row r="1195" ht="40" customHeight="1">
      <x:c r="A1195" s="16" t="str">
        <x:v>Null Coffee Roasters</x:v>
      </x:c>
      <x:c r="B1195" s="16" t="str">
        <x:v>İstanbul</x:v>
      </x:c>
      <x:c r="C1195" s="16" t="str">
        <x:v>Doğrulandı</x:v>
      </x:c>
      <x:c r="D1195" s="16" t="str">
        <x:v>Ürün kaydı</x:v>
      </x:c>
      <x:c r="E1195" s="16" t="str">
        <x:v>Idido - Anaerobic Natural - Ethiopia - 2025</x:v>
      </x:c>
      <x:c r="F1195" s="16" t="str">
        <x:v>Etiyopya</x:v>
      </x:c>
      <x:c r="G1195" s="17" t="n">
        <x:v>250</x:v>
      </x:c>
      <x:c r="H1195" s="16" t="str">
        <x:v>Erişildi</x:v>
      </x:c>
      <x:c r="I1195" s="18" t="n">
        <x:v>1090</x:v>
      </x:c>
      <x:c r="J1195" s="18" t="str">
        <x:v>Erişildi</x:v>
      </x:c>
      <x:c r="K1195" s="18" t="n">
        <x:f>IF(AND(ISNUMBER(G1195),ISNUMBER(I1195)),I1195/G1195*1000,"Erişilemedi")</x:f>
        <x:v>4360</x:v>
      </x:c>
      <x:c r="L1195" s="16" t="str">
        <x:v>Stokta</x:v>
      </x:c>
      <x:c r="M1195" s="16" t="str">
        <x:v>Tek köken/ürün</x:v>
      </x:c>
      <x:c r="N1195" s="16" t="str">
        <x:v>Shopify ürün akışı</x:v>
      </x:c>
      <x:c r="O1195" s="16" t="str">
        <x:v>Yüksek</x:v>
      </x:c>
      <x:c r="P1195" s="19" t="n">
        <x:v>46245</x:v>
      </x:c>
      <x:c r="Q1195" s="20" t="str">
        <x:v>https://null.coffee/products/idido-anaerobic-natural-ethiopia-2025</x:v>
      </x:c>
      <x:c r="R1195" s="20" t="str">
        <x:v>Öğütüm seçenekleri aynı gramaj ve fiyatta tekilleştirildi.</x:v>
      </x:c>
    </x:row>
    <x:row r="1196" ht="40" customHeight="1">
      <x:c r="A1196" s="16" t="str">
        <x:v>Null Coffee Roasters</x:v>
      </x:c>
      <x:c r="B1196" s="16" t="str">
        <x:v>İstanbul</x:v>
      </x:c>
      <x:c r="C1196" s="16" t="str">
        <x:v>Doğrulandı</x:v>
      </x:c>
      <x:c r="D1196" s="16" t="str">
        <x:v>Ürün kaydı</x:v>
      </x:c>
      <x:c r="E1196" s="16" t="str">
        <x:v>Idido - Anaerobic Natural - Ethiopia - 2025</x:v>
      </x:c>
      <x:c r="F1196" s="16" t="str">
        <x:v>Etiyopya</x:v>
      </x:c>
      <x:c r="G1196" s="17" t="n">
        <x:v>1000</x:v>
      </x:c>
      <x:c r="H1196" s="16" t="str">
        <x:v>Erişildi</x:v>
      </x:c>
      <x:c r="I1196" s="18" t="n">
        <x:v>4360</x:v>
      </x:c>
      <x:c r="J1196" s="18" t="str">
        <x:v>Erişildi</x:v>
      </x:c>
      <x:c r="K1196" s="18" t="n">
        <x:f>IF(AND(ISNUMBER(G1196),ISNUMBER(I1196)),I1196/G1196*1000,"Erişilemedi")</x:f>
        <x:v>4360</x:v>
      </x:c>
      <x:c r="L1196" s="16" t="str">
        <x:v>Stokta</x:v>
      </x:c>
      <x:c r="M1196" s="16" t="str">
        <x:v>Tek köken/ürün</x:v>
      </x:c>
      <x:c r="N1196" s="16" t="str">
        <x:v>Shopify ürün akışı</x:v>
      </x:c>
      <x:c r="O1196" s="16" t="str">
        <x:v>Yüksek</x:v>
      </x:c>
      <x:c r="P1196" s="19" t="n">
        <x:v>46245</x:v>
      </x:c>
      <x:c r="Q1196" s="20" t="str">
        <x:v>https://null.coffee/products/idido-anaerobic-natural-ethiopia-2025</x:v>
      </x:c>
      <x:c r="R1196" s="20" t="str">
        <x:v>Öğütüm seçenekleri aynı gramaj ve fiyatta tekilleştirildi.</x:v>
      </x:c>
    </x:row>
    <x:row r="1197" ht="40" customHeight="1">
      <x:c r="A1197" s="16" t="str">
        <x:v>Null Coffee Roasters</x:v>
      </x:c>
      <x:c r="B1197" s="16" t="str">
        <x:v>İstanbul</x:v>
      </x:c>
      <x:c r="C1197" s="16" t="str">
        <x:v>Doğrulandı</x:v>
      </x:c>
      <x:c r="D1197" s="16" t="str">
        <x:v>Ürün kaydı</x:v>
      </x:c>
      <x:c r="E1197" s="16" t="str">
        <x:v>Kii AA - Washed - Kenya - 2025</x:v>
      </x:c>
      <x:c r="F1197" s="16" t="str">
        <x:v>Kenya</x:v>
      </x:c>
      <x:c r="G1197" s="17" t="n">
        <x:v>250</x:v>
      </x:c>
      <x:c r="H1197" s="16" t="str">
        <x:v>Erişildi</x:v>
      </x:c>
      <x:c r="I1197" s="18" t="n">
        <x:v>990</x:v>
      </x:c>
      <x:c r="J1197" s="18" t="str">
        <x:v>Erişildi</x:v>
      </x:c>
      <x:c r="K1197" s="18" t="n">
        <x:f>IF(AND(ISNUMBER(G1197),ISNUMBER(I1197)),I1197/G1197*1000,"Erişilemedi")</x:f>
        <x:v>3960</x:v>
      </x:c>
      <x:c r="L1197" s="16" t="str">
        <x:v>Stokta</x:v>
      </x:c>
      <x:c r="M1197" s="16" t="str">
        <x:v>Tek köken/ürün</x:v>
      </x:c>
      <x:c r="N1197" s="16" t="str">
        <x:v>Shopify ürün akışı</x:v>
      </x:c>
      <x:c r="O1197" s="16" t="str">
        <x:v>Yüksek</x:v>
      </x:c>
      <x:c r="P1197" s="19" t="n">
        <x:v>46245</x:v>
      </x:c>
      <x:c r="Q1197" s="20" t="str">
        <x:v>https://null.coffee/products/kii-aa-washed-kenya-2025</x:v>
      </x:c>
      <x:c r="R1197" s="20" t="str">
        <x:v>Öğütüm seçenekleri aynı gramaj ve fiyatta tekilleştirildi.</x:v>
      </x:c>
    </x:row>
    <x:row r="1198" ht="40" customHeight="1">
      <x:c r="A1198" s="16" t="str">
        <x:v>Null Coffee Roasters</x:v>
      </x:c>
      <x:c r="B1198" s="16" t="str">
        <x:v>İstanbul</x:v>
      </x:c>
      <x:c r="C1198" s="16" t="str">
        <x:v>Doğrulandı</x:v>
      </x:c>
      <x:c r="D1198" s="16" t="str">
        <x:v>Ürün kaydı</x:v>
      </x:c>
      <x:c r="E1198" s="16" t="str">
        <x:v>Kii AA - Washed - Kenya - 2025</x:v>
      </x:c>
      <x:c r="F1198" s="16" t="str">
        <x:v>Kenya</x:v>
      </x:c>
      <x:c r="G1198" s="17" t="n">
        <x:v>1000</x:v>
      </x:c>
      <x:c r="H1198" s="16" t="str">
        <x:v>Erişildi</x:v>
      </x:c>
      <x:c r="I1198" s="18" t="n">
        <x:v>3960</x:v>
      </x:c>
      <x:c r="J1198" s="18" t="str">
        <x:v>Erişildi</x:v>
      </x:c>
      <x:c r="K1198" s="18" t="n">
        <x:f>IF(AND(ISNUMBER(G1198),ISNUMBER(I1198)),I1198/G1198*1000,"Erişilemedi")</x:f>
        <x:v>3960</x:v>
      </x:c>
      <x:c r="L1198" s="16" t="str">
        <x:v>Stokta</x:v>
      </x:c>
      <x:c r="M1198" s="16" t="str">
        <x:v>Tek köken/ürün</x:v>
      </x:c>
      <x:c r="N1198" s="16" t="str">
        <x:v>Shopify ürün akışı</x:v>
      </x:c>
      <x:c r="O1198" s="16" t="str">
        <x:v>Yüksek</x:v>
      </x:c>
      <x:c r="P1198" s="19" t="n">
        <x:v>46245</x:v>
      </x:c>
      <x:c r="Q1198" s="20" t="str">
        <x:v>https://null.coffee/products/kii-aa-washed-kenya-2025</x:v>
      </x:c>
      <x:c r="R1198" s="20" t="str">
        <x:v>Öğütüm seçenekleri aynı gramaj ve fiyatta tekilleştirildi.</x:v>
      </x:c>
    </x:row>
    <x:row r="1199" ht="40" customHeight="1">
      <x:c r="A1199" s="16" t="str">
        <x:v>Null Coffee Roasters</x:v>
      </x:c>
      <x:c r="B1199" s="16" t="str">
        <x:v>İstanbul</x:v>
      </x:c>
      <x:c r="C1199" s="16" t="str">
        <x:v>Doğrulandı</x:v>
      </x:c>
      <x:c r="D1199" s="16" t="str">
        <x:v>Ürün kaydı</x:v>
      </x:c>
      <x:c r="E1199" s="16" t="str">
        <x:v>La Rosita - Catuai - Natural - Panama - 2025</x:v>
      </x:c>
      <x:c r="F1199" s="16" t="str">
        <x:v>Panama</x:v>
      </x:c>
      <x:c r="G1199" s="17" t="n">
        <x:v>250</x:v>
      </x:c>
      <x:c r="H1199" s="16" t="str">
        <x:v>Erişildi</x:v>
      </x:c>
      <x:c r="I1199" s="18" t="n">
        <x:v>690</x:v>
      </x:c>
      <x:c r="J1199" s="18" t="str">
        <x:v>Erişildi</x:v>
      </x:c>
      <x:c r="K1199" s="18" t="n">
        <x:f>IF(AND(ISNUMBER(G1199),ISNUMBER(I1199)),I1199/G1199*1000,"Erişilemedi")</x:f>
        <x:v>2760</x:v>
      </x:c>
      <x:c r="L1199" s="16" t="str">
        <x:v>Stokta</x:v>
      </x:c>
      <x:c r="M1199" s="16" t="str">
        <x:v>Tek köken/ürün</x:v>
      </x:c>
      <x:c r="N1199" s="16" t="str">
        <x:v>Shopify ürün akışı</x:v>
      </x:c>
      <x:c r="O1199" s="16" t="str">
        <x:v>Yüksek</x:v>
      </x:c>
      <x:c r="P1199" s="19" t="n">
        <x:v>46245</x:v>
      </x:c>
      <x:c r="Q1199" s="20" t="str">
        <x:v>https://null.coffee/products/la-rosita-catuai-natural-panama-2025</x:v>
      </x:c>
      <x:c r="R1199" s="20" t="str">
        <x:v>Öğütüm seçenekleri aynı gramaj ve fiyatta tekilleştirildi.</x:v>
      </x:c>
    </x:row>
    <x:row r="1200" ht="40" customHeight="1">
      <x:c r="A1200" s="16" t="str">
        <x:v>Null Coffee Roasters</x:v>
      </x:c>
      <x:c r="B1200" s="16" t="str">
        <x:v>İstanbul</x:v>
      </x:c>
      <x:c r="C1200" s="16" t="str">
        <x:v>Doğrulandı</x:v>
      </x:c>
      <x:c r="D1200" s="16" t="str">
        <x:v>Ürün kaydı</x:v>
      </x:c>
      <x:c r="E1200" s="16" t="str">
        <x:v>La Rosita - Catuai - Natural - Panama - 2025</x:v>
      </x:c>
      <x:c r="F1200" s="16" t="str">
        <x:v>Panama</x:v>
      </x:c>
      <x:c r="G1200" s="17" t="n">
        <x:v>1000</x:v>
      </x:c>
      <x:c r="H1200" s="16" t="str">
        <x:v>Erişildi</x:v>
      </x:c>
      <x:c r="I1200" s="18" t="n">
        <x:v>2760</x:v>
      </x:c>
      <x:c r="J1200" s="18" t="str">
        <x:v>Erişildi</x:v>
      </x:c>
      <x:c r="K1200" s="18" t="n">
        <x:f>IF(AND(ISNUMBER(G1200),ISNUMBER(I1200)),I1200/G1200*1000,"Erişilemedi")</x:f>
        <x:v>2760</x:v>
      </x:c>
      <x:c r="L1200" s="16" t="str">
        <x:v>Stokta</x:v>
      </x:c>
      <x:c r="M1200" s="16" t="str">
        <x:v>Tek köken/ürün</x:v>
      </x:c>
      <x:c r="N1200" s="16" t="str">
        <x:v>Shopify ürün akışı</x:v>
      </x:c>
      <x:c r="O1200" s="16" t="str">
        <x:v>Yüksek</x:v>
      </x:c>
      <x:c r="P1200" s="19" t="n">
        <x:v>46245</x:v>
      </x:c>
      <x:c r="Q1200" s="20" t="str">
        <x:v>https://null.coffee/products/la-rosita-catuai-natural-panama-2025</x:v>
      </x:c>
      <x:c r="R1200" s="20" t="str">
        <x:v>Öğütüm seçenekleri aynı gramaj ve fiyatta tekilleştirildi.</x:v>
      </x:c>
    </x:row>
    <x:row r="1201" ht="40" customHeight="1">
      <x:c r="A1201" s="16" t="str">
        <x:v>Null Coffee Roasters</x:v>
      </x:c>
      <x:c r="B1201" s="16" t="str">
        <x:v>İstanbul</x:v>
      </x:c>
      <x:c r="C1201" s="16" t="str">
        <x:v>Doğrulandı</x:v>
      </x:c>
      <x:c r="D1201" s="16" t="str">
        <x:v>Ürün kaydı</x:v>
      </x:c>
      <x:c r="E1201" s="16" t="str">
        <x:v>La Rosita - Catuai - Natural - Panama - Espresso - 2025</x:v>
      </x:c>
      <x:c r="F1201" s="16" t="str">
        <x:v>Panama</x:v>
      </x:c>
      <x:c r="G1201" s="17" t="n">
        <x:v>250</x:v>
      </x:c>
      <x:c r="H1201" s="16" t="str">
        <x:v>Erişildi</x:v>
      </x:c>
      <x:c r="I1201" s="18" t="n">
        <x:v>690</x:v>
      </x:c>
      <x:c r="J1201" s="18" t="str">
        <x:v>Erişildi</x:v>
      </x:c>
      <x:c r="K1201" s="18" t="n">
        <x:f>IF(AND(ISNUMBER(G1201),ISNUMBER(I1201)),I1201/G1201*1000,"Erişilemedi")</x:f>
        <x:v>2760</x:v>
      </x:c>
      <x:c r="L1201" s="16" t="str">
        <x:v>Stokta</x:v>
      </x:c>
      <x:c r="M1201" s="16" t="str">
        <x:v>Tek köken/ürün</x:v>
      </x:c>
      <x:c r="N1201" s="16" t="str">
        <x:v>Shopify ürün akışı</x:v>
      </x:c>
      <x:c r="O1201" s="16" t="str">
        <x:v>Yüksek</x:v>
      </x:c>
      <x:c r="P1201" s="19" t="n">
        <x:v>46245</x:v>
      </x:c>
      <x:c r="Q1201" s="20" t="str">
        <x:v>https://null.coffee/products/la-rosita-catuai-natural-panama-espresso-2025</x:v>
      </x:c>
      <x:c r="R1201" s="20" t="str">
        <x:v>Öğütüm seçenekleri aynı gramaj ve fiyatta tekilleştirildi.</x:v>
      </x:c>
    </x:row>
    <x:row r="1202" ht="40" customHeight="1">
      <x:c r="A1202" s="16" t="str">
        <x:v>Null Coffee Roasters</x:v>
      </x:c>
      <x:c r="B1202" s="16" t="str">
        <x:v>İstanbul</x:v>
      </x:c>
      <x:c r="C1202" s="16" t="str">
        <x:v>Doğrulandı</x:v>
      </x:c>
      <x:c r="D1202" s="16" t="str">
        <x:v>Ürün kaydı</x:v>
      </x:c>
      <x:c r="E1202" s="16" t="str">
        <x:v>La Rosita - Catuai - Natural - Panama - Espresso - 2025</x:v>
      </x:c>
      <x:c r="F1202" s="16" t="str">
        <x:v>Panama</x:v>
      </x:c>
      <x:c r="G1202" s="17" t="n">
        <x:v>1000</x:v>
      </x:c>
      <x:c r="H1202" s="16" t="str">
        <x:v>Erişildi</x:v>
      </x:c>
      <x:c r="I1202" s="18" t="n">
        <x:v>2760</x:v>
      </x:c>
      <x:c r="J1202" s="18" t="str">
        <x:v>Erişildi</x:v>
      </x:c>
      <x:c r="K1202" s="18" t="n">
        <x:f>IF(AND(ISNUMBER(G1202),ISNUMBER(I1202)),I1202/G1202*1000,"Erişilemedi")</x:f>
        <x:v>2760</x:v>
      </x:c>
      <x:c r="L1202" s="16" t="str">
        <x:v>Stokta</x:v>
      </x:c>
      <x:c r="M1202" s="16" t="str">
        <x:v>Tek köken/ürün</x:v>
      </x:c>
      <x:c r="N1202" s="16" t="str">
        <x:v>Shopify ürün akışı</x:v>
      </x:c>
      <x:c r="O1202" s="16" t="str">
        <x:v>Yüksek</x:v>
      </x:c>
      <x:c r="P1202" s="19" t="n">
        <x:v>46245</x:v>
      </x:c>
      <x:c r="Q1202" s="20" t="str">
        <x:v>https://null.coffee/products/la-rosita-catuai-natural-panama-espresso-2025</x:v>
      </x:c>
      <x:c r="R1202" s="20" t="str">
        <x:v>Öğütüm seçenekleri aynı gramaj ve fiyatta tekilleştirildi.</x:v>
      </x:c>
    </x:row>
    <x:row r="1203" ht="40" customHeight="1">
      <x:c r="A1203" s="16" t="str">
        <x:v>Null Coffee Roasters</x:v>
      </x:c>
      <x:c r="B1203" s="16" t="str">
        <x:v>İstanbul</x:v>
      </x:c>
      <x:c r="C1203" s="16" t="str">
        <x:v>Doğrulandı</x:v>
      </x:c>
      <x:c r="D1203" s="16" t="str">
        <x:v>Ürün kaydı</x:v>
      </x:c>
      <x:c r="E1203" s="16" t="str">
        <x:v>Rumudamo - Anaerobic Natural - Ethiopia - 2025</x:v>
      </x:c>
      <x:c r="F1203" s="16" t="str">
        <x:v>Etiyopya</x:v>
      </x:c>
      <x:c r="G1203" s="17" t="n">
        <x:v>250</x:v>
      </x:c>
      <x:c r="H1203" s="16" t="str">
        <x:v>Erişildi</x:v>
      </x:c>
      <x:c r="I1203" s="18" t="n">
        <x:v>1750</x:v>
      </x:c>
      <x:c r="J1203" s="18" t="str">
        <x:v>Erişildi</x:v>
      </x:c>
      <x:c r="K1203" s="18" t="n">
        <x:f>IF(AND(ISNUMBER(G1203),ISNUMBER(I1203)),I1203/G1203*1000,"Erişilemedi")</x:f>
        <x:v>7000</x:v>
      </x:c>
      <x:c r="L1203" s="16" t="str">
        <x:v>Stokta</x:v>
      </x:c>
      <x:c r="M1203" s="16" t="str">
        <x:v>Tek köken/ürün</x:v>
      </x:c>
      <x:c r="N1203" s="16" t="str">
        <x:v>Shopify ürün akışı</x:v>
      </x:c>
      <x:c r="O1203" s="16" t="str">
        <x:v>Yüksek</x:v>
      </x:c>
      <x:c r="P1203" s="19" t="n">
        <x:v>46245</x:v>
      </x:c>
      <x:c r="Q1203" s="20" t="str">
        <x:v>https://null.coffee/products/rumudamo-anaerobic-natural-ethiopia-2025</x:v>
      </x:c>
      <x:c r="R1203" s="20" t="str">
        <x:v>Öğütüm seçenekleri aynı gramaj ve fiyatta tekilleştirildi.</x:v>
      </x:c>
    </x:row>
    <x:row r="1204" ht="40" customHeight="1">
      <x:c r="A1204" s="16" t="str">
        <x:v>Null Coffee Roasters</x:v>
      </x:c>
      <x:c r="B1204" s="16" t="str">
        <x:v>İstanbul</x:v>
      </x:c>
      <x:c r="C1204" s="16" t="str">
        <x:v>Doğrulandı</x:v>
      </x:c>
      <x:c r="D1204" s="16" t="str">
        <x:v>Ürün kaydı</x:v>
      </x:c>
      <x:c r="E1204" s="16" t="str">
        <x:v>Rumudamo - Anaerobic Natural - Ethiopia - 2025</x:v>
      </x:c>
      <x:c r="F1204" s="16" t="str">
        <x:v>Etiyopya</x:v>
      </x:c>
      <x:c r="G1204" s="17" t="n">
        <x:v>1000</x:v>
      </x:c>
      <x:c r="H1204" s="16" t="str">
        <x:v>Erişildi</x:v>
      </x:c>
      <x:c r="I1204" s="18" t="n">
        <x:v>7000</x:v>
      </x:c>
      <x:c r="J1204" s="18" t="str">
        <x:v>Erişildi</x:v>
      </x:c>
      <x:c r="K1204" s="18" t="n">
        <x:f>IF(AND(ISNUMBER(G1204),ISNUMBER(I1204)),I1204/G1204*1000,"Erişilemedi")</x:f>
        <x:v>7000</x:v>
      </x:c>
      <x:c r="L1204" s="16" t="str">
        <x:v>Stokta</x:v>
      </x:c>
      <x:c r="M1204" s="16" t="str">
        <x:v>Tek köken/ürün</x:v>
      </x:c>
      <x:c r="N1204" s="16" t="str">
        <x:v>Shopify ürün akışı</x:v>
      </x:c>
      <x:c r="O1204" s="16" t="str">
        <x:v>Yüksek</x:v>
      </x:c>
      <x:c r="P1204" s="19" t="n">
        <x:v>46245</x:v>
      </x:c>
      <x:c r="Q1204" s="20" t="str">
        <x:v>https://null.coffee/products/rumudamo-anaerobic-natural-ethiopia-2025</x:v>
      </x:c>
      <x:c r="R1204" s="20" t="str">
        <x:v>Öğütüm seçenekleri aynı gramaj ve fiyatta tekilleştirildi.</x:v>
      </x:c>
    </x:row>
    <x:row r="1205" ht="40" customHeight="1">
      <x:c r="A1205" s="16" t="str">
        <x:v>Null Coffee Roasters</x:v>
      </x:c>
      <x:c r="B1205" s="16" t="str">
        <x:v>İstanbul</x:v>
      </x:c>
      <x:c r="C1205" s="16" t="str">
        <x:v>Doğrulandı</x:v>
      </x:c>
      <x:c r="D1205" s="16" t="str">
        <x:v>Ürün kaydı</x:v>
      </x:c>
      <x:c r="E1205" s="16" t="str">
        <x:v>TWO - ESPRESSO HARMANI</x:v>
      </x:c>
      <x:c r="F1205" s="16" t="str">
        <x:v>Harman – menşe belirtilmemiş</x:v>
      </x:c>
      <x:c r="G1205" s="17" t="n">
        <x:v>250</x:v>
      </x:c>
      <x:c r="H1205" s="16" t="str">
        <x:v>Erişildi</x:v>
      </x:c>
      <x:c r="I1205" s="18" t="n">
        <x:v>575</x:v>
      </x:c>
      <x:c r="J1205" s="18" t="str">
        <x:v>Erişildi</x:v>
      </x:c>
      <x:c r="K1205" s="18" t="n">
        <x:f>IF(AND(ISNUMBER(G1205),ISNUMBER(I1205)),I1205/G1205*1000,"Erişilemedi")</x:f>
        <x:v>2300</x:v>
      </x:c>
      <x:c r="L1205" s="16" t="str">
        <x:v>Stokta</x:v>
      </x:c>
      <x:c r="M1205" s="16" t="str">
        <x:v>Harman</x:v>
      </x:c>
      <x:c r="N1205" s="16" t="str">
        <x:v>Shopify ürün akışı</x:v>
      </x:c>
      <x:c r="O1205" s="16" t="str">
        <x:v>Yüksek</x:v>
      </x:c>
      <x:c r="P1205" s="19" t="n">
        <x:v>46245</x:v>
      </x:c>
      <x:c r="Q1205" s="20" t="str">
        <x:v>https://null.coffee/products/two-espresso-harmani</x:v>
      </x:c>
      <x:c r="R1205" s="20" t="str">
        <x:v>Öğütüm seçenekleri aynı gramaj ve fiyatta tekilleştirildi.</x:v>
      </x:c>
    </x:row>
    <x:row r="1206" ht="40" customHeight="1">
      <x:c r="A1206" s="16" t="str">
        <x:v>Null Coffee Roasters</x:v>
      </x:c>
      <x:c r="B1206" s="16" t="str">
        <x:v>İstanbul</x:v>
      </x:c>
      <x:c r="C1206" s="16" t="str">
        <x:v>Doğrulandı</x:v>
      </x:c>
      <x:c r="D1206" s="16" t="str">
        <x:v>Ürün kaydı</x:v>
      </x:c>
      <x:c r="E1206" s="16" t="str">
        <x:v>TWO - ESPRESSO HARMANI</x:v>
      </x:c>
      <x:c r="F1206" s="16" t="str">
        <x:v>Harman – menşe belirtilmemiş</x:v>
      </x:c>
      <x:c r="G1206" s="17" t="n">
        <x:v>1000</x:v>
      </x:c>
      <x:c r="H1206" s="16" t="str">
        <x:v>Erişildi</x:v>
      </x:c>
      <x:c r="I1206" s="18" t="n">
        <x:v>2300</x:v>
      </x:c>
      <x:c r="J1206" s="18" t="str">
        <x:v>Erişildi</x:v>
      </x:c>
      <x:c r="K1206" s="18" t="n">
        <x:f>IF(AND(ISNUMBER(G1206),ISNUMBER(I1206)),I1206/G1206*1000,"Erişilemedi")</x:f>
        <x:v>2300</x:v>
      </x:c>
      <x:c r="L1206" s="16" t="str">
        <x:v>Stokta</x:v>
      </x:c>
      <x:c r="M1206" s="16" t="str">
        <x:v>Harman</x:v>
      </x:c>
      <x:c r="N1206" s="16" t="str">
        <x:v>Shopify ürün akışı</x:v>
      </x:c>
      <x:c r="O1206" s="16" t="str">
        <x:v>Yüksek</x:v>
      </x:c>
      <x:c r="P1206" s="19" t="n">
        <x:v>46245</x:v>
      </x:c>
      <x:c r="Q1206" s="20" t="str">
        <x:v>https://null.coffee/products/two-espresso-harmani</x:v>
      </x:c>
      <x:c r="R1206" s="20" t="str">
        <x:v>Öğütüm seçenekleri aynı gramaj ve fiyatta tekilleştirildi.</x:v>
      </x:c>
    </x:row>
    <x:row r="1207" ht="40" customHeight="1">
      <x:c r="A1207" s="16" t="str">
        <x:v>Null Coffee Roasters</x:v>
      </x:c>
      <x:c r="B1207" s="16" t="str">
        <x:v>İstanbul</x:v>
      </x:c>
      <x:c r="C1207" s="16" t="str">
        <x:v>Doğrulandı</x:v>
      </x:c>
      <x:c r="D1207" s="16" t="str">
        <x:v>Ürün kaydı</x:v>
      </x:c>
      <x:c r="E1207" s="16" t="str">
        <x:v>Uraga - Anaerobic Natural - Ethiopia - 2025</x:v>
      </x:c>
      <x:c r="F1207" s="16" t="str">
        <x:v>Etiyopya</x:v>
      </x:c>
      <x:c r="G1207" s="17" t="n">
        <x:v>250</x:v>
      </x:c>
      <x:c r="H1207" s="16" t="str">
        <x:v>Erişildi</x:v>
      </x:c>
      <x:c r="I1207" s="18" t="n">
        <x:v>1090</x:v>
      </x:c>
      <x:c r="J1207" s="18" t="str">
        <x:v>Erişildi</x:v>
      </x:c>
      <x:c r="K1207" s="18" t="n">
        <x:f>IF(AND(ISNUMBER(G1207),ISNUMBER(I1207)),I1207/G1207*1000,"Erişilemedi")</x:f>
        <x:v>4360</x:v>
      </x:c>
      <x:c r="L1207" s="16" t="str">
        <x:v>Stokta</x:v>
      </x:c>
      <x:c r="M1207" s="16" t="str">
        <x:v>Tek köken/ürün</x:v>
      </x:c>
      <x:c r="N1207" s="16" t="str">
        <x:v>Shopify ürün akışı</x:v>
      </x:c>
      <x:c r="O1207" s="16" t="str">
        <x:v>Yüksek</x:v>
      </x:c>
      <x:c r="P1207" s="19" t="n">
        <x:v>46245</x:v>
      </x:c>
      <x:c r="Q1207" s="20" t="str">
        <x:v>https://null.coffee/products/uraga-anaerobic-natural-ethiopia-2025</x:v>
      </x:c>
      <x:c r="R1207" s="20" t="str">
        <x:v>Öğütüm seçenekleri aynı gramaj ve fiyatta tekilleştirildi.</x:v>
      </x:c>
    </x:row>
    <x:row r="1208" ht="40" customHeight="1">
      <x:c r="A1208" s="16" t="str">
        <x:v>Null Coffee Roasters</x:v>
      </x:c>
      <x:c r="B1208" s="16" t="str">
        <x:v>İstanbul</x:v>
      </x:c>
      <x:c r="C1208" s="16" t="str">
        <x:v>Doğrulandı</x:v>
      </x:c>
      <x:c r="D1208" s="16" t="str">
        <x:v>Ürün kaydı</x:v>
      </x:c>
      <x:c r="E1208" s="16" t="str">
        <x:v>Uraga - Anaerobic Natural - Ethiopia - 2025</x:v>
      </x:c>
      <x:c r="F1208" s="16" t="str">
        <x:v>Etiyopya</x:v>
      </x:c>
      <x:c r="G1208" s="17" t="n">
        <x:v>1000</x:v>
      </x:c>
      <x:c r="H1208" s="16" t="str">
        <x:v>Erişildi</x:v>
      </x:c>
      <x:c r="I1208" s="18" t="n">
        <x:v>4360</x:v>
      </x:c>
      <x:c r="J1208" s="18" t="str">
        <x:v>Erişildi</x:v>
      </x:c>
      <x:c r="K1208" s="18" t="n">
        <x:f>IF(AND(ISNUMBER(G1208),ISNUMBER(I1208)),I1208/G1208*1000,"Erişilemedi")</x:f>
        <x:v>4360</x:v>
      </x:c>
      <x:c r="L1208" s="16" t="str">
        <x:v>Stokta</x:v>
      </x:c>
      <x:c r="M1208" s="16" t="str">
        <x:v>Tek köken/ürün</x:v>
      </x:c>
      <x:c r="N1208" s="16" t="str">
        <x:v>Shopify ürün akışı</x:v>
      </x:c>
      <x:c r="O1208" s="16" t="str">
        <x:v>Yüksek</x:v>
      </x:c>
      <x:c r="P1208" s="19" t="n">
        <x:v>46245</x:v>
      </x:c>
      <x:c r="Q1208" s="20" t="str">
        <x:v>https://null.coffee/products/uraga-anaerobic-natural-ethiopia-2025</x:v>
      </x:c>
      <x:c r="R1208" s="20" t="str">
        <x:v>Öğütüm seçenekleri aynı gramaj ve fiyatta tekilleştirildi.</x:v>
      </x:c>
    </x:row>
    <x:row r="1209" ht="40" customHeight="1">
      <x:c r="A1209" s="16" t="str">
        <x:v>Null Coffee Roasters</x:v>
      </x:c>
      <x:c r="B1209" s="16" t="str">
        <x:v>İstanbul</x:v>
      </x:c>
      <x:c r="C1209" s="16" t="str">
        <x:v>Doğrulandı</x:v>
      </x:c>
      <x:c r="D1209" s="16" t="str">
        <x:v>Ürün kaydı</x:v>
      </x:c>
      <x:c r="E1209" s="16" t="str">
        <x:v>Uraga - Anaerobic Natural - Ethiopia - Espresso - 2025</x:v>
      </x:c>
      <x:c r="F1209" s="16" t="str">
        <x:v>Etiyopya</x:v>
      </x:c>
      <x:c r="G1209" s="17" t="n">
        <x:v>250</x:v>
      </x:c>
      <x:c r="H1209" s="16" t="str">
        <x:v>Erişildi</x:v>
      </x:c>
      <x:c r="I1209" s="18" t="n">
        <x:v>1090</x:v>
      </x:c>
      <x:c r="J1209" s="18" t="str">
        <x:v>Erişildi</x:v>
      </x:c>
      <x:c r="K1209" s="18" t="n">
        <x:f>IF(AND(ISNUMBER(G1209),ISNUMBER(I1209)),I1209/G1209*1000,"Erişilemedi")</x:f>
        <x:v>4360</x:v>
      </x:c>
      <x:c r="L1209" s="16" t="str">
        <x:v>Stokta</x:v>
      </x:c>
      <x:c r="M1209" s="16" t="str">
        <x:v>Tek köken/ürün</x:v>
      </x:c>
      <x:c r="N1209" s="16" t="str">
        <x:v>Shopify ürün akışı</x:v>
      </x:c>
      <x:c r="O1209" s="16" t="str">
        <x:v>Yüksek</x:v>
      </x:c>
      <x:c r="P1209" s="19" t="n">
        <x:v>46245</x:v>
      </x:c>
      <x:c r="Q1209" s="20" t="str">
        <x:v>https://null.coffee/products/uraga-anaerobic-natural-ethiopia-espresso-2025</x:v>
      </x:c>
      <x:c r="R1209" s="20" t="str">
        <x:v>Öğütüm seçenekleri aynı gramaj ve fiyatta tekilleştirildi.</x:v>
      </x:c>
    </x:row>
    <x:row r="1210" ht="40" customHeight="1">
      <x:c r="A1210" s="16" t="str">
        <x:v>Null Coffee Roasters</x:v>
      </x:c>
      <x:c r="B1210" s="16" t="str">
        <x:v>İstanbul</x:v>
      </x:c>
      <x:c r="C1210" s="16" t="str">
        <x:v>Doğrulandı</x:v>
      </x:c>
      <x:c r="D1210" s="16" t="str">
        <x:v>Ürün kaydı</x:v>
      </x:c>
      <x:c r="E1210" s="16" t="str">
        <x:v>Uraga - Anaerobic Natural - Ethiopia - Espresso - 2025</x:v>
      </x:c>
      <x:c r="F1210" s="16" t="str">
        <x:v>Etiyopya</x:v>
      </x:c>
      <x:c r="G1210" s="17" t="n">
        <x:v>1000</x:v>
      </x:c>
      <x:c r="H1210" s="16" t="str">
        <x:v>Erişildi</x:v>
      </x:c>
      <x:c r="I1210" s="18" t="n">
        <x:v>4360</x:v>
      </x:c>
      <x:c r="J1210" s="18" t="str">
        <x:v>Erişildi</x:v>
      </x:c>
      <x:c r="K1210" s="18" t="n">
        <x:f>IF(AND(ISNUMBER(G1210),ISNUMBER(I1210)),I1210/G1210*1000,"Erişilemedi")</x:f>
        <x:v>4360</x:v>
      </x:c>
      <x:c r="L1210" s="16" t="str">
        <x:v>Stokta</x:v>
      </x:c>
      <x:c r="M1210" s="16" t="str">
        <x:v>Tek köken/ürün</x:v>
      </x:c>
      <x:c r="N1210" s="16" t="str">
        <x:v>Shopify ürün akışı</x:v>
      </x:c>
      <x:c r="O1210" s="16" t="str">
        <x:v>Yüksek</x:v>
      </x:c>
      <x:c r="P1210" s="19" t="n">
        <x:v>46245</x:v>
      </x:c>
      <x:c r="Q1210" s="20" t="str">
        <x:v>https://null.coffee/products/uraga-anaerobic-natural-ethiopia-espresso-2025</x:v>
      </x:c>
      <x:c r="R1210" s="20" t="str">
        <x:v>Öğütüm seçenekleri aynı gramaj ve fiyatta tekilleştirildi.</x:v>
      </x:c>
    </x:row>
    <x:row r="1211" ht="40" customHeight="1">
      <x:c r="A1211" s="16" t="str">
        <x:v>Null Coffee Roasters</x:v>
      </x:c>
      <x:c r="B1211" s="16" t="str">
        <x:v>İstanbul</x:v>
      </x:c>
      <x:c r="C1211" s="16" t="str">
        <x:v>Doğrulandı</x:v>
      </x:c>
      <x:c r="D1211" s="16" t="str">
        <x:v>Ürün kaydı</x:v>
      </x:c>
      <x:c r="E1211" s="16" t="str">
        <x:v>Uraga - Carbonic Maceration - Natural - Ethiopia - 2025</x:v>
      </x:c>
      <x:c r="F1211" s="16" t="str">
        <x:v>Etiyopya</x:v>
      </x:c>
      <x:c r="G1211" s="17" t="n">
        <x:v>250</x:v>
      </x:c>
      <x:c r="H1211" s="16" t="str">
        <x:v>Erişildi</x:v>
      </x:c>
      <x:c r="I1211" s="18" t="n">
        <x:v>1090</x:v>
      </x:c>
      <x:c r="J1211" s="18" t="str">
        <x:v>Erişildi</x:v>
      </x:c>
      <x:c r="K1211" s="18" t="n">
        <x:f>IF(AND(ISNUMBER(G1211),ISNUMBER(I1211)),I1211/G1211*1000,"Erişilemedi")</x:f>
        <x:v>4360</x:v>
      </x:c>
      <x:c r="L1211" s="16" t="str">
        <x:v>Stokta</x:v>
      </x:c>
      <x:c r="M1211" s="16" t="str">
        <x:v>Tek köken/ürün</x:v>
      </x:c>
      <x:c r="N1211" s="16" t="str">
        <x:v>Shopify ürün akışı</x:v>
      </x:c>
      <x:c r="O1211" s="16" t="str">
        <x:v>Yüksek</x:v>
      </x:c>
      <x:c r="P1211" s="19" t="n">
        <x:v>46245</x:v>
      </x:c>
      <x:c r="Q1211" s="20" t="str">
        <x:v>https://null.coffee/products/uraga-carbonic-maceration-natural-ethiopia-2025</x:v>
      </x:c>
      <x:c r="R1211" s="20" t="str">
        <x:v>Öğütüm seçenekleri aynı gramaj ve fiyatta tekilleştirildi.</x:v>
      </x:c>
    </x:row>
    <x:row r="1212" ht="40" customHeight="1">
      <x:c r="A1212" s="16" t="str">
        <x:v>Null Coffee Roasters</x:v>
      </x:c>
      <x:c r="B1212" s="16" t="str">
        <x:v>İstanbul</x:v>
      </x:c>
      <x:c r="C1212" s="16" t="str">
        <x:v>Doğrulandı</x:v>
      </x:c>
      <x:c r="D1212" s="16" t="str">
        <x:v>Ürün kaydı</x:v>
      </x:c>
      <x:c r="E1212" s="16" t="str">
        <x:v>Uraga - Carbonic Maceration - Natural - Ethiopia - 2025</x:v>
      </x:c>
      <x:c r="F1212" s="16" t="str">
        <x:v>Etiyopya</x:v>
      </x:c>
      <x:c r="G1212" s="17" t="n">
        <x:v>1000</x:v>
      </x:c>
      <x:c r="H1212" s="16" t="str">
        <x:v>Erişildi</x:v>
      </x:c>
      <x:c r="I1212" s="18" t="n">
        <x:v>4360</x:v>
      </x:c>
      <x:c r="J1212" s="18" t="str">
        <x:v>Erişildi</x:v>
      </x:c>
      <x:c r="K1212" s="18" t="n">
        <x:f>IF(AND(ISNUMBER(G1212),ISNUMBER(I1212)),I1212/G1212*1000,"Erişilemedi")</x:f>
        <x:v>4360</x:v>
      </x:c>
      <x:c r="L1212" s="16" t="str">
        <x:v>Stokta</x:v>
      </x:c>
      <x:c r="M1212" s="16" t="str">
        <x:v>Tek köken/ürün</x:v>
      </x:c>
      <x:c r="N1212" s="16" t="str">
        <x:v>Shopify ürün akışı</x:v>
      </x:c>
      <x:c r="O1212" s="16" t="str">
        <x:v>Yüksek</x:v>
      </x:c>
      <x:c r="P1212" s="19" t="n">
        <x:v>46245</x:v>
      </x:c>
      <x:c r="Q1212" s="20" t="str">
        <x:v>https://null.coffee/products/uraga-carbonic-maceration-natural-ethiopia-2025</x:v>
      </x:c>
      <x:c r="R1212" s="20" t="str">
        <x:v>Öğütüm seçenekleri aynı gramaj ve fiyatta tekilleştirildi.</x:v>
      </x:c>
    </x:row>
    <x:row r="1213" ht="40" customHeight="1">
      <x:c r="A1213" s="16" t="str">
        <x:v>Null Coffee Roasters</x:v>
      </x:c>
      <x:c r="B1213" s="16" t="str">
        <x:v>İstanbul</x:v>
      </x:c>
      <x:c r="C1213" s="16" t="str">
        <x:v>Doğrulandı</x:v>
      </x:c>
      <x:c r="D1213" s="16" t="str">
        <x:v>Ürün kaydı</x:v>
      </x:c>
      <x:c r="E1213" s="16" t="str">
        <x:v>Uraga - Carbonic Maceration - Natural - Ethiopia - Espresso - 2025</x:v>
      </x:c>
      <x:c r="F1213" s="16" t="str">
        <x:v>Etiyopya</x:v>
      </x:c>
      <x:c r="G1213" s="17" t="n">
        <x:v>250</x:v>
      </x:c>
      <x:c r="H1213" s="16" t="str">
        <x:v>Erişildi</x:v>
      </x:c>
      <x:c r="I1213" s="18" t="n">
        <x:v>1090</x:v>
      </x:c>
      <x:c r="J1213" s="18" t="str">
        <x:v>Erişildi</x:v>
      </x:c>
      <x:c r="K1213" s="18" t="n">
        <x:f>IF(AND(ISNUMBER(G1213),ISNUMBER(I1213)),I1213/G1213*1000,"Erişilemedi")</x:f>
        <x:v>4360</x:v>
      </x:c>
      <x:c r="L1213" s="16" t="str">
        <x:v>Stokta</x:v>
      </x:c>
      <x:c r="M1213" s="16" t="str">
        <x:v>Tek köken/ürün</x:v>
      </x:c>
      <x:c r="N1213" s="16" t="str">
        <x:v>Shopify ürün akışı</x:v>
      </x:c>
      <x:c r="O1213" s="16" t="str">
        <x:v>Yüksek</x:v>
      </x:c>
      <x:c r="P1213" s="19" t="n">
        <x:v>46245</x:v>
      </x:c>
      <x:c r="Q1213" s="20" t="str">
        <x:v>https://null.coffee/products/uraga-carbonic-maceration-natural-ethiopia-espresso-2025</x:v>
      </x:c>
      <x:c r="R1213" s="20" t="str">
        <x:v>Öğütüm seçenekleri aynı gramaj ve fiyatta tekilleştirildi.</x:v>
      </x:c>
    </x:row>
    <x:row r="1214" ht="40" customHeight="1">
      <x:c r="A1214" s="16" t="str">
        <x:v>Null Coffee Roasters</x:v>
      </x:c>
      <x:c r="B1214" s="16" t="str">
        <x:v>İstanbul</x:v>
      </x:c>
      <x:c r="C1214" s="16" t="str">
        <x:v>Doğrulandı</x:v>
      </x:c>
      <x:c r="D1214" s="16" t="str">
        <x:v>Ürün kaydı</x:v>
      </x:c>
      <x:c r="E1214" s="16" t="str">
        <x:v>Uraga - Carbonic Maceration - Natural - Ethiopia - Espresso - 2025</x:v>
      </x:c>
      <x:c r="F1214" s="16" t="str">
        <x:v>Etiyopya</x:v>
      </x:c>
      <x:c r="G1214" s="17" t="n">
        <x:v>1000</x:v>
      </x:c>
      <x:c r="H1214" s="16" t="str">
        <x:v>Erişildi</x:v>
      </x:c>
      <x:c r="I1214" s="18" t="n">
        <x:v>4360</x:v>
      </x:c>
      <x:c r="J1214" s="18" t="str">
        <x:v>Erişildi</x:v>
      </x:c>
      <x:c r="K1214" s="18" t="n">
        <x:f>IF(AND(ISNUMBER(G1214),ISNUMBER(I1214)),I1214/G1214*1000,"Erişilemedi")</x:f>
        <x:v>4360</x:v>
      </x:c>
      <x:c r="L1214" s="16" t="str">
        <x:v>Stokta</x:v>
      </x:c>
      <x:c r="M1214" s="16" t="str">
        <x:v>Tek köken/ürün</x:v>
      </x:c>
      <x:c r="N1214" s="16" t="str">
        <x:v>Shopify ürün akışı</x:v>
      </x:c>
      <x:c r="O1214" s="16" t="str">
        <x:v>Yüksek</x:v>
      </x:c>
      <x:c r="P1214" s="19" t="n">
        <x:v>46245</x:v>
      </x:c>
      <x:c r="Q1214" s="20" t="str">
        <x:v>https://null.coffee/products/uraga-carbonic-maceration-natural-ethiopia-espresso-2025</x:v>
      </x:c>
      <x:c r="R1214" s="20" t="str">
        <x:v>Öğütüm seçenekleri aynı gramaj ve fiyatta tekilleştirildi.</x:v>
      </x:c>
    </x:row>
    <x:row r="1215" ht="40" customHeight="1">
      <x:c r="A1215" s="16" t="str">
        <x:v>Null Coffee Roasters</x:v>
      </x:c>
      <x:c r="B1215" s="16" t="str">
        <x:v>İstanbul</x:v>
      </x:c>
      <x:c r="C1215" s="16" t="str">
        <x:v>Doğrulandı</x:v>
      </x:c>
      <x:c r="D1215" s="16" t="str">
        <x:v>Ürün kaydı</x:v>
      </x:c>
      <x:c r="E1215" s="16" t="str">
        <x:v>Uraga - Oro Yeast Natural - Ethiopia - 2025</x:v>
      </x:c>
      <x:c r="F1215" s="16" t="str">
        <x:v>Etiyopya</x:v>
      </x:c>
      <x:c r="G1215" s="17" t="n">
        <x:v>250</x:v>
      </x:c>
      <x:c r="H1215" s="16" t="str">
        <x:v>Erişildi</x:v>
      </x:c>
      <x:c r="I1215" s="18" t="n">
        <x:v>1090</x:v>
      </x:c>
      <x:c r="J1215" s="18" t="str">
        <x:v>Erişildi</x:v>
      </x:c>
      <x:c r="K1215" s="18" t="n">
        <x:f>IF(AND(ISNUMBER(G1215),ISNUMBER(I1215)),I1215/G1215*1000,"Erişilemedi")</x:f>
        <x:v>4360</x:v>
      </x:c>
      <x:c r="L1215" s="16" t="str">
        <x:v>Stokta</x:v>
      </x:c>
      <x:c r="M1215" s="16" t="str">
        <x:v>Tek köken/ürün</x:v>
      </x:c>
      <x:c r="N1215" s="16" t="str">
        <x:v>Shopify ürün akışı</x:v>
      </x:c>
      <x:c r="O1215" s="16" t="str">
        <x:v>Yüksek</x:v>
      </x:c>
      <x:c r="P1215" s="19" t="n">
        <x:v>46245</x:v>
      </x:c>
      <x:c r="Q1215" s="20" t="str">
        <x:v>https://null.coffee/products/uraga-oro-yeast-natural-ethiopia-2025</x:v>
      </x:c>
      <x:c r="R1215" s="20" t="str">
        <x:v>Öğütüm seçenekleri aynı gramaj ve fiyatta tekilleştirildi.</x:v>
      </x:c>
    </x:row>
    <x:row r="1216" ht="40" customHeight="1">
      <x:c r="A1216" s="16" t="str">
        <x:v>Null Coffee Roasters</x:v>
      </x:c>
      <x:c r="B1216" s="16" t="str">
        <x:v>İstanbul</x:v>
      </x:c>
      <x:c r="C1216" s="16" t="str">
        <x:v>Doğrulandı</x:v>
      </x:c>
      <x:c r="D1216" s="16" t="str">
        <x:v>Ürün kaydı</x:v>
      </x:c>
      <x:c r="E1216" s="16" t="str">
        <x:v>Uraga - Oro Yeast Natural - Ethiopia - 2025</x:v>
      </x:c>
      <x:c r="F1216" s="16" t="str">
        <x:v>Etiyopya</x:v>
      </x:c>
      <x:c r="G1216" s="17" t="n">
        <x:v>1000</x:v>
      </x:c>
      <x:c r="H1216" s="16" t="str">
        <x:v>Erişildi</x:v>
      </x:c>
      <x:c r="I1216" s="18" t="n">
        <x:v>4360</x:v>
      </x:c>
      <x:c r="J1216" s="18" t="str">
        <x:v>Erişildi</x:v>
      </x:c>
      <x:c r="K1216" s="18" t="n">
        <x:f>IF(AND(ISNUMBER(G1216),ISNUMBER(I1216)),I1216/G1216*1000,"Erişilemedi")</x:f>
        <x:v>4360</x:v>
      </x:c>
      <x:c r="L1216" s="16" t="str">
        <x:v>Stokta</x:v>
      </x:c>
      <x:c r="M1216" s="16" t="str">
        <x:v>Tek köken/ürün</x:v>
      </x:c>
      <x:c r="N1216" s="16" t="str">
        <x:v>Shopify ürün akışı</x:v>
      </x:c>
      <x:c r="O1216" s="16" t="str">
        <x:v>Yüksek</x:v>
      </x:c>
      <x:c r="P1216" s="19" t="n">
        <x:v>46245</x:v>
      </x:c>
      <x:c r="Q1216" s="20" t="str">
        <x:v>https://null.coffee/products/uraga-oro-yeast-natural-ethiopia-2025</x:v>
      </x:c>
      <x:c r="R1216" s="20" t="str">
        <x:v>Öğütüm seçenekleri aynı gramaj ve fiyatta tekilleştirildi.</x:v>
      </x:c>
    </x:row>
    <x:row r="1217" ht="40" customHeight="1">
      <x:c r="A1217" s="16" t="str">
        <x:v>Null Coffee Roasters</x:v>
      </x:c>
      <x:c r="B1217" s="16" t="str">
        <x:v>İstanbul</x:v>
      </x:c>
      <x:c r="C1217" s="16" t="str">
        <x:v>Doğrulandı</x:v>
      </x:c>
      <x:c r="D1217" s="16" t="str">
        <x:v>Ürün kaydı</x:v>
      </x:c>
      <x:c r="E1217" s="16" t="str">
        <x:v>ZERO - FILTRE HARMANI</x:v>
      </x:c>
      <x:c r="F1217" s="16" t="str">
        <x:v>Harman – menşe belirtilmemiş</x:v>
      </x:c>
      <x:c r="G1217" s="17" t="n">
        <x:v>250</x:v>
      </x:c>
      <x:c r="H1217" s="16" t="str">
        <x:v>Erişildi</x:v>
      </x:c>
      <x:c r="I1217" s="18" t="n">
        <x:v>575</x:v>
      </x:c>
      <x:c r="J1217" s="18" t="str">
        <x:v>Erişildi</x:v>
      </x:c>
      <x:c r="K1217" s="18" t="n">
        <x:f>IF(AND(ISNUMBER(G1217),ISNUMBER(I1217)),I1217/G1217*1000,"Erişilemedi")</x:f>
        <x:v>2300</x:v>
      </x:c>
      <x:c r="L1217" s="16" t="str">
        <x:v>Stokta</x:v>
      </x:c>
      <x:c r="M1217" s="16" t="str">
        <x:v>Harman</x:v>
      </x:c>
      <x:c r="N1217" s="16" t="str">
        <x:v>Shopify ürün akışı</x:v>
      </x:c>
      <x:c r="O1217" s="16" t="str">
        <x:v>Yüksek</x:v>
      </x:c>
      <x:c r="P1217" s="19" t="n">
        <x:v>46245</x:v>
      </x:c>
      <x:c r="Q1217" s="20" t="str">
        <x:v>https://null.coffee/products/zero</x:v>
      </x:c>
      <x:c r="R1217" s="20" t="str">
        <x:v>Öğütüm seçenekleri aynı gramaj ve fiyatta tekilleştirildi.</x:v>
      </x:c>
    </x:row>
    <x:row r="1218" ht="40" customHeight="1">
      <x:c r="A1218" s="16" t="str">
        <x:v>Null Coffee Roasters</x:v>
      </x:c>
      <x:c r="B1218" s="16" t="str">
        <x:v>İstanbul</x:v>
      </x:c>
      <x:c r="C1218" s="16" t="str">
        <x:v>Doğrulandı</x:v>
      </x:c>
      <x:c r="D1218" s="16" t="str">
        <x:v>Ürün kaydı</x:v>
      </x:c>
      <x:c r="E1218" s="16" t="str">
        <x:v>ZERO - FILTRE HARMANI</x:v>
      </x:c>
      <x:c r="F1218" s="16" t="str">
        <x:v>Harman – menşe belirtilmemiş</x:v>
      </x:c>
      <x:c r="G1218" s="17" t="n">
        <x:v>1000</x:v>
      </x:c>
      <x:c r="H1218" s="16" t="str">
        <x:v>Erişildi</x:v>
      </x:c>
      <x:c r="I1218" s="18" t="n">
        <x:v>2300</x:v>
      </x:c>
      <x:c r="J1218" s="18" t="str">
        <x:v>Erişildi</x:v>
      </x:c>
      <x:c r="K1218" s="18" t="n">
        <x:f>IF(AND(ISNUMBER(G1218),ISNUMBER(I1218)),I1218/G1218*1000,"Erişilemedi")</x:f>
        <x:v>2300</x:v>
      </x:c>
      <x:c r="L1218" s="16" t="str">
        <x:v>Stokta</x:v>
      </x:c>
      <x:c r="M1218" s="16" t="str">
        <x:v>Harman</x:v>
      </x:c>
      <x:c r="N1218" s="16" t="str">
        <x:v>Shopify ürün akışı</x:v>
      </x:c>
      <x:c r="O1218" s="16" t="str">
        <x:v>Yüksek</x:v>
      </x:c>
      <x:c r="P1218" s="19" t="n">
        <x:v>46245</x:v>
      </x:c>
      <x:c r="Q1218" s="20" t="str">
        <x:v>https://null.coffee/products/zero</x:v>
      </x:c>
      <x:c r="R1218" s="20" t="str">
        <x:v>Öğütüm seçenekleri aynı gramaj ve fiyatta tekilleştirildi.</x:v>
      </x:c>
    </x:row>
    <x:row r="1219" ht="40" customHeight="1">
      <x:c r="A1219" s="16" t="str">
        <x:v>Null Coffee Roasters</x:v>
      </x:c>
      <x:c r="B1219" s="16" t="str">
        <x:v>İstanbul</x:v>
      </x:c>
      <x:c r="C1219" s="16" t="str">
        <x:v>Doğrulandı</x:v>
      </x:c>
      <x:c r="D1219" s="16" t="str">
        <x:v>Ürün kaydı</x:v>
      </x:c>
      <x:c r="E1219" s="16" t="str">
        <x:v>ZERO - FILTRE HARMANI</x:v>
      </x:c>
      <x:c r="F1219" s="16" t="str">
        <x:v>Harman – menşe belirtilmemiş</x:v>
      </x:c>
      <x:c r="G1219" s="17" t="n">
        <x:v>1000</x:v>
      </x:c>
      <x:c r="H1219" s="16" t="str">
        <x:v>Erişildi</x:v>
      </x:c>
      <x:c r="I1219" s="18" t="n">
        <x:v>575</x:v>
      </x:c>
      <x:c r="J1219" s="18" t="str">
        <x:v>Erişildi</x:v>
      </x:c>
      <x:c r="K1219" s="18" t="n">
        <x:f>IF(AND(ISNUMBER(G1219),ISNUMBER(I1219)),I1219/G1219*1000,"Erişilemedi")</x:f>
        <x:v>575</x:v>
      </x:c>
      <x:c r="L1219" s="16" t="str">
        <x:v>Stokta</x:v>
      </x:c>
      <x:c r="M1219" s="16" t="str">
        <x:v>Harman</x:v>
      </x:c>
      <x:c r="N1219" s="16" t="str">
        <x:v>Shopify ürün akışı</x:v>
      </x:c>
      <x:c r="O1219" s="16" t="str">
        <x:v>Yüksek</x:v>
      </x:c>
      <x:c r="P1219" s="19" t="n">
        <x:v>46245</x:v>
      </x:c>
      <x:c r="Q1219" s="20" t="str">
        <x:v>https://null.coffee/products/zero</x:v>
      </x:c>
      <x:c r="R1219" s="20" t="str">
        <x:v>Öğütüm seçenekleri aynı gramaj ve fiyatta tekilleştirildi.</x:v>
      </x:c>
    </x:row>
    <x:row r="1220" ht="40" customHeight="1">
      <x:c r="A1220" s="16" t="str">
        <x:v>Octagon Coffee</x:v>
      </x:c>
      <x:c r="B1220" s="16" t="str">
        <x:v>İstanbul</x:v>
      </x:c>
      <x:c r="C1220" s="16" t="str">
        <x:v>Kısmi doğrulama</x:v>
      </x:c>
      <x:c r="D1220" s="16" t="str">
        <x:v>Katalog takip kaydı</x:v>
      </x:c>
      <x:c r="E1220" s="16" t="str">
        <x:v>Ürün kataloğu — ayrıntılı ürün verisine erişilemedi</x:v>
      </x:c>
      <x:c r="F1220" s="16" t="str">
        <x:v>Erişilemedi</x:v>
      </x:c>
      <x:c r="G1220" s="17" t="str">
        <x:v>Erişilemedi</x:v>
      </x:c>
      <x:c r="H1220" s="16" t="str">
        <x:v>Erişilemedi</x:v>
      </x:c>
      <x:c r="I1220" s="18" t="str">
        <x:v>Erişilemedi</x:v>
      </x:c>
      <x:c r="J1220" s="18" t="str">
        <x:v>Erişilemedi</x:v>
      </x:c>
      <x:c r="K1220" s="18" t="str">
        <x:f>IF(AND(ISNUMBER(G1220),ISNUMBER(I1220)),I1220/G1220*1000,"Erişilemedi")</x:f>
        <x:v>Erişilemedi</x:v>
      </x:c>
      <x:c r="L1220" s="16" t="str">
        <x:v>Erişilemedi</x:v>
      </x:c>
      <x:c r="M1220" s="16" t="str">
        <x:v>Katalog/takip kaydı</x:v>
      </x:c>
      <x:c r="N1220" s="16" t="str">
        <x:v>Mağaza/katalog bağlantısı</x:v>
      </x:c>
      <x:c r="O1220" s="16" t="str">
        <x:v>Takip gerekli</x:v>
      </x:c>
      <x:c r="P1220" s="19" t="n">
        <x:v>46245</x:v>
      </x:c>
      <x:c r="Q1220" s="20" t="str">
        <x:v>https://octagonroastery.com/</x:v>
      </x:c>
      <x:c r="R1220" s="20" t="str">
        <x:v>Ürün adı, gramaj ve fiyat birlikte çıkarılamadı. Bağlantı manuel inceleme için korundu.</x:v>
      </x:c>
    </x:row>
    <x:row r="1221" ht="40" customHeight="1">
      <x:c r="A1221" s="16" t="str">
        <x:v>Old Java Coffee Roasters</x:v>
      </x:c>
      <x:c r="B1221" s="16" t="str">
        <x:v>İstanbul</x:v>
      </x:c>
      <x:c r="C1221" s="16" t="str">
        <x:v>Doğrulandı</x:v>
      </x:c>
      <x:c r="D1221" s="16" t="str">
        <x:v>Ürün kaydı</x:v>
      </x:c>
      <x:c r="E1221" s="16" t="str">
        <x:v>Aylık Abonelik Rahatlık</x:v>
      </x:c>
      <x:c r="F1221" s="16" t="str">
        <x:v>Etiyopya | Kolombiya</x:v>
      </x:c>
      <x:c r="G1221" s="17" t="n">
        <x:v>1000</x:v>
      </x:c>
      <x:c r="H1221" s="16" t="str">
        <x:v>Erişildi</x:v>
      </x:c>
      <x:c r="I1221" s="18" t="n">
        <x:v>1120</x:v>
      </x:c>
      <x:c r="J1221" s="18" t="str">
        <x:v>Erişildi</x:v>
      </x:c>
      <x:c r="K1221" s="18" t="n">
        <x:f>IF(AND(ISNUMBER(G1221),ISNUMBER(I1221)),I1221/G1221*1000,"Erişilemedi")</x:f>
        <x:v>1120</x:v>
      </x:c>
      <x:c r="L1221" s="16" t="str">
        <x:v>Stokta yok</x:v>
      </x:c>
      <x:c r="M1221" s="16" t="str">
        <x:v>Kahve ürünü</x:v>
      </x:c>
      <x:c r="N1221" s="16" t="str">
        <x:v>WooCommerce Store API</x:v>
      </x:c>
      <x:c r="O1221" s="16" t="str">
        <x:v>Yüksek</x:v>
      </x:c>
      <x:c r="P1221" s="19" t="n">
        <x:v>46245</x:v>
      </x:c>
      <x:c r="Q1221" s="20" t="str">
        <x:v>https://oldjavacoffee.com/urun/aylik-abonelik-rahatlik/</x:v>
      </x:c>
      <x:c r="R1221" s="20" t="str">
        <x:v>Fiyat veya gramaj eksik olsa da ürün korundu.</x:v>
      </x:c>
    </x:row>
    <x:row r="1222" ht="40" customHeight="1">
      <x:c r="A1222" s="16" t="str">
        <x:v>Old Java Coffee Roasters</x:v>
      </x:c>
      <x:c r="B1222" s="16" t="str">
        <x:v>İstanbul</x:v>
      </x:c>
      <x:c r="C1222" s="16" t="str">
        <x:v>Doğrulandı</x:v>
      </x:c>
      <x:c r="D1222" s="16" t="str">
        <x:v>Ürün kaydı</x:v>
      </x:c>
      <x:c r="E1222" s="16" t="str">
        <x:v>Ekşi Maya Tam Çavdar Ekmeği</x:v>
      </x:c>
      <x:c r="F1222" s="16" t="str">
        <x:v>Menşe belirtilmemiş</x:v>
      </x:c>
      <x:c r="G1222" s="17" t="n">
        <x:v>850</x:v>
      </x:c>
      <x:c r="H1222" s="16" t="str">
        <x:v>Erişildi</x:v>
      </x:c>
      <x:c r="I1222" s="18" t="n">
        <x:v>220</x:v>
      </x:c>
      <x:c r="J1222" s="18" t="str">
        <x:v>Erişildi</x:v>
      </x:c>
      <x:c r="K1222" s="18" t="n">
        <x:f>IF(AND(ISNUMBER(G1222),ISNUMBER(I1222)),I1222/G1222*1000,"Erişilemedi")</x:f>
        <x:v>258.82352941176475</x:v>
      </x:c>
      <x:c r="L1222" s="16" t="str">
        <x:v>Stokta</x:v>
      </x:c>
      <x:c r="M1222" s="16" t="str">
        <x:v>Tek köken/ürün</x:v>
      </x:c>
      <x:c r="N1222" s="16" t="str">
        <x:v>WooCommerce Store API</x:v>
      </x:c>
      <x:c r="O1222" s="16" t="str">
        <x:v>Yüksek</x:v>
      </x:c>
      <x:c r="P1222" s="19" t="n">
        <x:v>46245</x:v>
      </x:c>
      <x:c r="Q1222" s="20" t="str">
        <x:v>https://oldjavacoffee.com/urun/eksi-maya-tam-bugday-ekmegi/</x:v>
      </x:c>
      <x:c r="R1222" s="20" t="str">
        <x:v>Başlık/açıklamada açık gramaj bulunan aktif ürün.</x:v>
      </x:c>
    </x:row>
    <x:row r="1223" ht="40" customHeight="1">
      <x:c r="A1223" s="16" t="str">
        <x:v>Old Java Coffee Roasters</x:v>
      </x:c>
      <x:c r="B1223" s="16" t="str">
        <x:v>İstanbul</x:v>
      </x:c>
      <x:c r="C1223" s="16" t="str">
        <x:v>Doğrulandı</x:v>
      </x:c>
      <x:c r="D1223" s="16" t="str">
        <x:v>Ürün kaydı</x:v>
      </x:c>
      <x:c r="E1223" s="16" t="str">
        <x:v>Espresso Barista Collection / Meksika</x:v>
      </x:c>
      <x:c r="F1223" s="16" t="str">
        <x:v>Guatemala | Meksika</x:v>
      </x:c>
      <x:c r="G1223" s="17" t="n">
        <x:v>1000</x:v>
      </x:c>
      <x:c r="H1223" s="16" t="str">
        <x:v>Erişildi</x:v>
      </x:c>
      <x:c r="I1223" s="18" t="n">
        <x:v>1450</x:v>
      </x:c>
      <x:c r="J1223" s="18" t="str">
        <x:v>Erişildi</x:v>
      </x:c>
      <x:c r="K1223" s="18" t="n">
        <x:f>IF(AND(ISNUMBER(G1223),ISNUMBER(I1223)),I1223/G1223*1000,"Erişilemedi")</x:f>
        <x:v>1450</x:v>
      </x:c>
      <x:c r="L1223" s="16" t="str">
        <x:v>Stokta</x:v>
      </x:c>
      <x:c r="M1223" s="16" t="str">
        <x:v>Tek köken/ürün</x:v>
      </x:c>
      <x:c r="N1223" s="16" t="str">
        <x:v>WooCommerce Store API</x:v>
      </x:c>
      <x:c r="O1223" s="16" t="str">
        <x:v>Yüksek</x:v>
      </x:c>
      <x:c r="P1223" s="19" t="n">
        <x:v>46245</x:v>
      </x:c>
      <x:c r="Q1223" s="20" t="str">
        <x:v>https://oldjavacoffee.com/urun/espresso-kahve-cekirdegi-1kg/</x:v>
      </x:c>
      <x:c r="R1223" s="20" t="str">
        <x:v>Başlık/açıklamada açık gramaj bulunan aktif ürün.</x:v>
      </x:c>
    </x:row>
    <x:row r="1224" ht="40" customHeight="1">
      <x:c r="A1224" s="16" t="str">
        <x:v>Old School Roastery</x:v>
      </x:c>
      <x:c r="B1224" s="16" t="str">
        <x:v>Ankara</x:v>
      </x:c>
      <x:c r="C1224" s="16" t="str">
        <x:v>Kısmi doğrulama</x:v>
      </x:c>
      <x:c r="D1224" s="16" t="str">
        <x:v>Katalog takip kaydı</x:v>
      </x:c>
      <x:c r="E1224" s="16" t="str">
        <x:v>Ürün kataloğu — ayrıntılı ürün verisine erişilemedi</x:v>
      </x:c>
      <x:c r="F1224" s="16" t="str">
        <x:v>Erişilemedi</x:v>
      </x:c>
      <x:c r="G1224" s="17" t="str">
        <x:v>Erişilemedi</x:v>
      </x:c>
      <x:c r="H1224" s="16" t="str">
        <x:v>Erişilemedi</x:v>
      </x:c>
      <x:c r="I1224" s="18" t="str">
        <x:v>Erişilemedi</x:v>
      </x:c>
      <x:c r="J1224" s="18" t="str">
        <x:v>Erişilemedi</x:v>
      </x:c>
      <x:c r="K1224" s="18" t="str">
        <x:f>IF(AND(ISNUMBER(G1224),ISNUMBER(I1224)),I1224/G1224*1000,"Erişilemedi")</x:f>
        <x:v>Erişilemedi</x:v>
      </x:c>
      <x:c r="L1224" s="16" t="str">
        <x:v>Erişilemedi</x:v>
      </x:c>
      <x:c r="M1224" s="16" t="str">
        <x:v>Katalog/takip kaydı</x:v>
      </x:c>
      <x:c r="N1224" s="16" t="str">
        <x:v>Instagram veya mevcut kaynak</x:v>
      </x:c>
      <x:c r="O1224" s="16" t="str">
        <x:v>Takip gerekli</x:v>
      </x:c>
      <x:c r="P1224" s="19" t="n">
        <x:v>46245</x:v>
      </x:c>
      <x:c r="Q1224" s="20" t="str">
        <x:v>Erişilemedi</x:v>
      </x:c>
      <x:c r="R1224" s="20" t="str">
        <x:v>Ürün adı, gramaj ve fiyat birlikte çıkarılamadı. Bağlantı manuel inceleme için korundu.</x:v>
      </x:c>
    </x:row>
    <x:row r="1225" ht="40" customHeight="1">
      <x:c r="A1225" s="16" t="str">
        <x:v>Ordinarius Coffee Roastery</x:v>
      </x:c>
      <x:c r="B1225" s="16" t="str">
        <x:v>Eskişehir</x:v>
      </x:c>
      <x:c r="C1225" s="16" t="str">
        <x:v>Kısmi doğrulama</x:v>
      </x:c>
      <x:c r="D1225" s="16" t="str">
        <x:v>Ürün kaydı</x:v>
      </x:c>
      <x:c r="E1225" s="16" t="str">
        <x:v>ADVENTURE BOX 4 lÜ SERİ</x:v>
      </x:c>
      <x:c r="F1225" s="16" t="str">
        <x:v>Menşe belirtilmemiş</x:v>
      </x:c>
      <x:c r="G1225" s="17" t="str">
        <x:v>Erişilemedi</x:v>
      </x:c>
      <x:c r="H1225" s="16" t="str">
        <x:v>Erişilemedi</x:v>
      </x:c>
      <x:c r="I1225" s="18" t="n">
        <x:v>950</x:v>
      </x:c>
      <x:c r="J1225" s="18" t="str">
        <x:v>Erişildi</x:v>
      </x:c>
      <x:c r="K1225" s="18" t="str">
        <x:f>IF(AND(ISNUMBER(G1225),ISNUMBER(I1225)),I1225/G1225*1000,"Erişilemedi")</x:f>
        <x:v>Erişilemedi</x:v>
      </x:c>
      <x:c r="L1225" s="16" t="str">
        <x:v>Stokta</x:v>
      </x:c>
      <x:c r="M1225" s="16" t="str">
        <x:v>Kahve ürünü</x:v>
      </x:c>
      <x:c r="N1225" s="16" t="str">
        <x:v>WooCommerce Store API</x:v>
      </x:c>
      <x:c r="O1225" s="16" t="str">
        <x:v>Orta</x:v>
      </x:c>
      <x:c r="P1225" s="19" t="n">
        <x:v>46245</x:v>
      </x:c>
      <x:c r="Q1225" s="20" t="str">
        <x:v>https://ordinariuscoffee.com/urun/adventure-box-4-seri/</x:v>
      </x:c>
      <x:c r="R1225" s="20" t="str">
        <x:v>Fiyat veya gramaj eksik olsa da ürün korundu.</x:v>
      </x:c>
    </x:row>
    <x:row r="1226" ht="40" customHeight="1">
      <x:c r="A1226" s="16" t="str">
        <x:v>Ordinarius Coffee Roastery</x:v>
      </x:c>
      <x:c r="B1226" s="16" t="str">
        <x:v>Eskişehir</x:v>
      </x:c>
      <x:c r="C1226" s="16" t="str">
        <x:v>Kısmi doğrulama</x:v>
      </x:c>
      <x:c r="D1226" s="16" t="str">
        <x:v>Ürün kaydı</x:v>
      </x:c>
      <x:c r="E1226" s="16" t="str">
        <x:v>ENDONEZYA / MARABELLA / NATÜREL ANAEROBİK</x:v>
      </x:c>
      <x:c r="F1226" s="16" t="str">
        <x:v>Endonezya</x:v>
      </x:c>
      <x:c r="G1226" s="17" t="str">
        <x:v>Erişilemedi</x:v>
      </x:c>
      <x:c r="H1226" s="16" t="str">
        <x:v>Erişilemedi</x:v>
      </x:c>
      <x:c r="I1226" s="18" t="n">
        <x:v>1000</x:v>
      </x:c>
      <x:c r="J1226" s="18" t="str">
        <x:v>Erişildi</x:v>
      </x:c>
      <x:c r="K1226" s="18" t="str">
        <x:f>IF(AND(ISNUMBER(G1226),ISNUMBER(I1226)),I1226/G1226*1000,"Erişilemedi")</x:f>
        <x:v>Erişilemedi</x:v>
      </x:c>
      <x:c r="L1226" s="16" t="str">
        <x:v>Stokta</x:v>
      </x:c>
      <x:c r="M1226" s="16" t="str">
        <x:v>Kahve ürünü</x:v>
      </x:c>
      <x:c r="N1226" s="16" t="str">
        <x:v>WooCommerce Store API</x:v>
      </x:c>
      <x:c r="O1226" s="16" t="str">
        <x:v>Orta</x:v>
      </x:c>
      <x:c r="P1226" s="19" t="n">
        <x:v>46245</x:v>
      </x:c>
      <x:c r="Q1226" s="20" t="str">
        <x:v>https://ordinariuscoffee.com/urun/endonezya-marabella-naturel-anaerobik/</x:v>
      </x:c>
      <x:c r="R1226" s="20" t="str">
        <x:v>Fiyat veya gramaj eksik olsa da ürün korundu.</x:v>
      </x:c>
    </x:row>
    <x:row r="1227" ht="40" customHeight="1">
      <x:c r="A1227" s="16" t="str">
        <x:v>Ordinarius Coffee Roastery</x:v>
      </x:c>
      <x:c r="B1227" s="16" t="str">
        <x:v>Eskişehir</x:v>
      </x:c>
      <x:c r="C1227" s="16" t="str">
        <x:v>Kısmi doğrulama</x:v>
      </x:c>
      <x:c r="D1227" s="16" t="str">
        <x:v>Ürün kaydı</x:v>
      </x:c>
      <x:c r="E1227" s="16" t="str">
        <x:v>ENDONEZYA / O.B.A.N. / NATÜREL ANAEROBİK</x:v>
      </x:c>
      <x:c r="F1227" s="16" t="str">
        <x:v>Endonezya</x:v>
      </x:c>
      <x:c r="G1227" s="17" t="str">
        <x:v>Erişilemedi</x:v>
      </x:c>
      <x:c r="H1227" s="16" t="str">
        <x:v>Erişilemedi</x:v>
      </x:c>
      <x:c r="I1227" s="18" t="n">
        <x:v>1000</x:v>
      </x:c>
      <x:c r="J1227" s="18" t="str">
        <x:v>Erişildi</x:v>
      </x:c>
      <x:c r="K1227" s="18" t="str">
        <x:f>IF(AND(ISNUMBER(G1227),ISNUMBER(I1227)),I1227/G1227*1000,"Erişilemedi")</x:f>
        <x:v>Erişilemedi</x:v>
      </x:c>
      <x:c r="L1227" s="16" t="str">
        <x:v>Stokta yok</x:v>
      </x:c>
      <x:c r="M1227" s="16" t="str">
        <x:v>Kahve ürünü</x:v>
      </x:c>
      <x:c r="N1227" s="16" t="str">
        <x:v>WooCommerce Store API</x:v>
      </x:c>
      <x:c r="O1227" s="16" t="str">
        <x:v>Orta</x:v>
      </x:c>
      <x:c r="P1227" s="19" t="n">
        <x:v>46245</x:v>
      </x:c>
      <x:c r="Q1227" s="20" t="str">
        <x:v>https://ordinariuscoffee.com/urun/endonezya-oban-natural-anaerobik/</x:v>
      </x:c>
      <x:c r="R1227" s="20" t="str">
        <x:v>Fiyat veya gramaj eksik olsa da ürün korundu.</x:v>
      </x:c>
    </x:row>
    <x:row r="1228" ht="40" customHeight="1">
      <x:c r="A1228" s="16" t="str">
        <x:v>Ordinarius Coffee Roastery</x:v>
      </x:c>
      <x:c r="B1228" s="16" t="str">
        <x:v>Eskişehir</x:v>
      </x:c>
      <x:c r="C1228" s="16" t="str">
        <x:v>Kısmi doğrulama</x:v>
      </x:c>
      <x:c r="D1228" s="16" t="str">
        <x:v>Ürün kaydı</x:v>
      </x:c>
      <x:c r="E1228" s="16" t="str">
        <x:v>ETİYOPYA / ARICHA / NATÜREL</x:v>
      </x:c>
      <x:c r="F1228" s="16" t="str">
        <x:v>Etiyopya</x:v>
      </x:c>
      <x:c r="G1228" s="17" t="str">
        <x:v>Erişilemedi</x:v>
      </x:c>
      <x:c r="H1228" s="16" t="str">
        <x:v>Erişilemedi</x:v>
      </x:c>
      <x:c r="I1228" s="18" t="n">
        <x:v>520</x:v>
      </x:c>
      <x:c r="J1228" s="18" t="str">
        <x:v>Erişildi</x:v>
      </x:c>
      <x:c r="K1228" s="18" t="str">
        <x:f>IF(AND(ISNUMBER(G1228),ISNUMBER(I1228)),I1228/G1228*1000,"Erişilemedi")</x:f>
        <x:v>Erişilemedi</x:v>
      </x:c>
      <x:c r="L1228" s="16" t="str">
        <x:v>Stokta</x:v>
      </x:c>
      <x:c r="M1228" s="16" t="str">
        <x:v>Kahve ürünü</x:v>
      </x:c>
      <x:c r="N1228" s="16" t="str">
        <x:v>WooCommerce Store API</x:v>
      </x:c>
      <x:c r="O1228" s="16" t="str">
        <x:v>Orta</x:v>
      </x:c>
      <x:c r="P1228" s="19" t="n">
        <x:v>46245</x:v>
      </x:c>
      <x:c r="Q1228" s="20" t="str">
        <x:v>https://ordinariuscoffee.com/urun/etiyopya-aricha-naturel/</x:v>
      </x:c>
      <x:c r="R1228" s="20" t="str">
        <x:v>Fiyat veya gramaj eksik olsa da ürün korundu.</x:v>
      </x:c>
    </x:row>
    <x:row r="1229" ht="40" customHeight="1">
      <x:c r="A1229" s="16" t="str">
        <x:v>Ordinarius Coffee Roastery</x:v>
      </x:c>
      <x:c r="B1229" s="16" t="str">
        <x:v>Eskişehir</x:v>
      </x:c>
      <x:c r="C1229" s="16" t="str">
        <x:v>Kısmi doğrulama</x:v>
      </x:c>
      <x:c r="D1229" s="16" t="str">
        <x:v>Ürün kaydı</x:v>
      </x:c>
      <x:c r="E1229" s="16" t="str">
        <x:v>KOLOMBİYA / MİLAN / YIKANMIŞ NG</x:v>
      </x:c>
      <x:c r="F1229" s="16" t="str">
        <x:v>Kolombiya</x:v>
      </x:c>
      <x:c r="G1229" s="17" t="str">
        <x:v>Erişilemedi</x:v>
      </x:c>
      <x:c r="H1229" s="16" t="str">
        <x:v>Erişilemedi</x:v>
      </x:c>
      <x:c r="I1229" s="18" t="n">
        <x:v>1100</x:v>
      </x:c>
      <x:c r="J1229" s="18" t="str">
        <x:v>Erişildi</x:v>
      </x:c>
      <x:c r="K1229" s="18" t="str">
        <x:f>IF(AND(ISNUMBER(G1229),ISNUMBER(I1229)),I1229/G1229*1000,"Erişilemedi")</x:f>
        <x:v>Erişilemedi</x:v>
      </x:c>
      <x:c r="L1229" s="16" t="str">
        <x:v>Stokta</x:v>
      </x:c>
      <x:c r="M1229" s="16" t="str">
        <x:v>Kahve ürünü</x:v>
      </x:c>
      <x:c r="N1229" s="16" t="str">
        <x:v>WooCommerce Store API</x:v>
      </x:c>
      <x:c r="O1229" s="16" t="str">
        <x:v>Orta</x:v>
      </x:c>
      <x:c r="P1229" s="19" t="n">
        <x:v>46245</x:v>
      </x:c>
      <x:c r="Q1229" s="20" t="str">
        <x:v>https://ordinariuscoffee.com/urun/kolombiya-milan-ng-yikanmis-ng/</x:v>
      </x:c>
      <x:c r="R1229" s="20" t="str">
        <x:v>Fiyat veya gramaj eksik olsa da ürün korundu.</x:v>
      </x:c>
    </x:row>
    <x:row r="1230" ht="40" customHeight="1">
      <x:c r="A1230" s="16" t="str">
        <x:v>Ordinarius Coffee Roastery</x:v>
      </x:c>
      <x:c r="B1230" s="16" t="str">
        <x:v>Eskişehir</x:v>
      </x:c>
      <x:c r="C1230" s="16" t="str">
        <x:v>Kısmi doğrulama</x:v>
      </x:c>
      <x:c r="D1230" s="16" t="str">
        <x:v>Ürün kaydı</x:v>
      </x:c>
      <x:c r="E1230" s="16" t="str">
        <x:v>KOSTA RİKA / EL MANGO / FULL HONEY ANAEROBİK</x:v>
      </x:c>
      <x:c r="F1230" s="16" t="str">
        <x:v>Kosta Rika</x:v>
      </x:c>
      <x:c r="G1230" s="17" t="str">
        <x:v>Erişilemedi</x:v>
      </x:c>
      <x:c r="H1230" s="16" t="str">
        <x:v>Erişilemedi</x:v>
      </x:c>
      <x:c r="I1230" s="18" t="n">
        <x:v>650</x:v>
      </x:c>
      <x:c r="J1230" s="18" t="str">
        <x:v>Erişildi</x:v>
      </x:c>
      <x:c r="K1230" s="18" t="str">
        <x:f>IF(AND(ISNUMBER(G1230),ISNUMBER(I1230)),I1230/G1230*1000,"Erişilemedi")</x:f>
        <x:v>Erişilemedi</x:v>
      </x:c>
      <x:c r="L1230" s="16" t="str">
        <x:v>Stokta</x:v>
      </x:c>
      <x:c r="M1230" s="16" t="str">
        <x:v>Kahve ürünü</x:v>
      </x:c>
      <x:c r="N1230" s="16" t="str">
        <x:v>WooCommerce Store API</x:v>
      </x:c>
      <x:c r="O1230" s="16" t="str">
        <x:v>Orta</x:v>
      </x:c>
      <x:c r="P1230" s="19" t="n">
        <x:v>46245</x:v>
      </x:c>
      <x:c r="Q1230" s="20" t="str">
        <x:v>https://ordinariuscoffee.com/urun/kosta-rika-el-mango-full-honey-anaerboik/</x:v>
      </x:c>
      <x:c r="R1230" s="20" t="str">
        <x:v>Fiyat veya gramaj eksik olsa da ürün korundu.</x:v>
      </x:c>
    </x:row>
    <x:row r="1231" ht="40" customHeight="1">
      <x:c r="A1231" s="16" t="str">
        <x:v>Ordinarius Coffee Roastery</x:v>
      </x:c>
      <x:c r="B1231" s="16" t="str">
        <x:v>Eskişehir</x:v>
      </x:c>
      <x:c r="C1231" s="16" t="str">
        <x:v>Kısmi doğrulama</x:v>
      </x:c>
      <x:c r="D1231" s="16" t="str">
        <x:v>Ürün kaydı</x:v>
      </x:c>
      <x:c r="E1231" s="16" t="str">
        <x:v>ORDI NO:1 / ESPRESSO</x:v>
      </x:c>
      <x:c r="F1231" s="16" t="str">
        <x:v>Harman – menşe belirtilmemiş</x:v>
      </x:c>
      <x:c r="G1231" s="17" t="n">
        <x:v>12</x:v>
      </x:c>
      <x:c r="H1231" s="16" t="str">
        <x:v>Erişildi</x:v>
      </x:c>
      <x:c r="I1231" s="18" t="n">
        <x:v>500</x:v>
      </x:c>
      <x:c r="J1231" s="18" t="str">
        <x:v>Erişildi</x:v>
      </x:c>
      <x:c r="K1231" s="18" t="n">
        <x:f>IF(AND(ISNUMBER(G1231),ISNUMBER(I1231)),I1231/G1231*1000,"Erişilemedi")</x:f>
        <x:v>41666.666666666664</x:v>
      </x:c>
      <x:c r="L1231" s="16" t="str">
        <x:v>Stokta</x:v>
      </x:c>
      <x:c r="M1231" s="16" t="str">
        <x:v>Tek köken/ürün</x:v>
      </x:c>
      <x:c r="N1231" s="16" t="str">
        <x:v>WooCommerce Store API</x:v>
      </x:c>
      <x:c r="O1231" s="16" t="str">
        <x:v>Yüksek</x:v>
      </x:c>
      <x:c r="P1231" s="19" t="n">
        <x:v>46245</x:v>
      </x:c>
      <x:c r="Q1231" s="20" t="str">
        <x:v>https://ordinariuscoffee.com/urun/ordi-no1-espresso/</x:v>
      </x:c>
      <x:c r="R1231" s="20" t="str">
        <x:v>Başlık/açıklamada açık gramaj bulunan aktif ürün.</x:v>
      </x:c>
    </x:row>
    <x:row r="1232" ht="40" customHeight="1">
      <x:c r="A1232" s="16" t="str">
        <x:v>Ordinarius Coffee Roastery</x:v>
      </x:c>
      <x:c r="B1232" s="16" t="str">
        <x:v>Eskişehir</x:v>
      </x:c>
      <x:c r="C1232" s="16" t="str">
        <x:v>Kısmi doğrulama</x:v>
      </x:c>
      <x:c r="D1232" s="16" t="str">
        <x:v>Ürün kaydı</x:v>
      </x:c>
      <x:c r="E1232" s="16" t="str">
        <x:v>PANAMA / CORPACHI / NATÜREL SOĞUK FERMANTASYON</x:v>
      </x:c>
      <x:c r="F1232" s="16" t="str">
        <x:v>Panama</x:v>
      </x:c>
      <x:c r="G1232" s="17" t="str">
        <x:v>Erişilemedi</x:v>
      </x:c>
      <x:c r="H1232" s="16" t="str">
        <x:v>Erişilemedi</x:v>
      </x:c>
      <x:c r="I1232" s="18" t="n">
        <x:v>1135</x:v>
      </x:c>
      <x:c r="J1232" s="18" t="str">
        <x:v>Erişildi</x:v>
      </x:c>
      <x:c r="K1232" s="18" t="str">
        <x:f>IF(AND(ISNUMBER(G1232),ISNUMBER(I1232)),I1232/G1232*1000,"Erişilemedi")</x:f>
        <x:v>Erişilemedi</x:v>
      </x:c>
      <x:c r="L1232" s="16" t="str">
        <x:v>Stokta</x:v>
      </x:c>
      <x:c r="M1232" s="16" t="str">
        <x:v>Kahve ürünü</x:v>
      </x:c>
      <x:c r="N1232" s="16" t="str">
        <x:v>WooCommerce Store API</x:v>
      </x:c>
      <x:c r="O1232" s="16" t="str">
        <x:v>Orta</x:v>
      </x:c>
      <x:c r="P1232" s="19" t="n">
        <x:v>46245</x:v>
      </x:c>
      <x:c r="Q1232" s="20" t="str">
        <x:v>https://ordinariuscoffee.com/urun/panama-corpachi-naturel-soguk-fermantasyon/</x:v>
      </x:c>
      <x:c r="R1232" s="20" t="str">
        <x:v>Fiyat veya gramaj eksik olsa da ürün korundu.</x:v>
      </x:c>
    </x:row>
    <x:row r="1233" ht="40" customHeight="1">
      <x:c r="A1233" s="16" t="str">
        <x:v>Orkun Üstel</x:v>
      </x:c>
      <x:c r="B1233" s="16" t="str">
        <x:v>İstanbul</x:v>
      </x:c>
      <x:c r="C1233" s="16" t="str">
        <x:v>Kısmi doğrulama</x:v>
      </x:c>
      <x:c r="D1233" s="16" t="str">
        <x:v>Ürün kaydı</x:v>
      </x:c>
      <x:c r="E1233" s="16" t="str">
        <x:v>Brezilya Fonte Espresso</x:v>
      </x:c>
      <x:c r="F1233" s="16" t="str">
        <x:v>Brezilya</x:v>
      </x:c>
      <x:c r="G1233" s="17" t="str">
        <x:v>Erişilemedi</x:v>
      </x:c>
      <x:c r="H1233" s="16" t="str">
        <x:v>Erişilemedi</x:v>
      </x:c>
      <x:c r="I1233" s="18" t="n">
        <x:v>8</x:v>
      </x:c>
      <x:c r="J1233" s="18" t="str">
        <x:v>Erişildi</x:v>
      </x:c>
      <x:c r="K1233" s="18" t="str">
        <x:f>IF(AND(ISNUMBER(G1233),ISNUMBER(I1233)),I1233/G1233*1000,"Erişilemedi")</x:f>
        <x:v>Erişilemedi</x:v>
      </x:c>
      <x:c r="L1233" s="16" t="str">
        <x:v>Belirsiz</x:v>
      </x:c>
      <x:c r="M1233" s="16" t="str">
        <x:v>Kahve ürünü</x:v>
      </x:c>
      <x:c r="N1233" s="16" t="str">
        <x:v>Site haritası ürün sayfası</x:v>
      </x:c>
      <x:c r="O1233" s="16" t="str">
        <x:v>Düşük</x:v>
      </x:c>
      <x:c r="P1233" s="19" t="n">
        <x:v>46245</x:v>
      </x:c>
      <x:c r="Q1233" s="20" t="str">
        <x:v>https://orkunustel.com/nitelikli-kahve-brezilya-fonte-espresso</x:v>
      </x:c>
      <x:c r="R1233" s="20" t="str">
        <x:v>Ürün kimliği korundu; eksik alanlar erişilemedi olarak işaretlenecek.</x:v>
      </x:c>
    </x:row>
    <x:row r="1234" ht="40" customHeight="1">
      <x:c r="A1234" s="16" t="str">
        <x:v>Orkun Üstel</x:v>
      </x:c>
      <x:c r="B1234" s="16" t="str">
        <x:v>İstanbul</x:v>
      </x:c>
      <x:c r="C1234" s="16" t="str">
        <x:v>Kısmi doğrulama</x:v>
      </x:c>
      <x:c r="D1234" s="16" t="str">
        <x:v>Ürün kaydı</x:v>
      </x:c>
      <x:c r="E1234" s="16" t="str">
        <x:v>Brezilya Fonte Filtre</x:v>
      </x:c>
      <x:c r="F1234" s="16" t="str">
        <x:v>Brezilya</x:v>
      </x:c>
      <x:c r="G1234" s="17" t="str">
        <x:v>Erişilemedi</x:v>
      </x:c>
      <x:c r="H1234" s="16" t="str">
        <x:v>Erişilemedi</x:v>
      </x:c>
      <x:c r="I1234" s="18" t="n">
        <x:v>8</x:v>
      </x:c>
      <x:c r="J1234" s="18" t="str">
        <x:v>Erişildi</x:v>
      </x:c>
      <x:c r="K1234" s="18" t="str">
        <x:f>IF(AND(ISNUMBER(G1234),ISNUMBER(I1234)),I1234/G1234*1000,"Erişilemedi")</x:f>
        <x:v>Erişilemedi</x:v>
      </x:c>
      <x:c r="L1234" s="16" t="str">
        <x:v>Belirsiz</x:v>
      </x:c>
      <x:c r="M1234" s="16" t="str">
        <x:v>Kahve ürünü</x:v>
      </x:c>
      <x:c r="N1234" s="16" t="str">
        <x:v>Site haritası ürün sayfası</x:v>
      </x:c>
      <x:c r="O1234" s="16" t="str">
        <x:v>Düşük</x:v>
      </x:c>
      <x:c r="P1234" s="19" t="n">
        <x:v>46245</x:v>
      </x:c>
      <x:c r="Q1234" s="20" t="str">
        <x:v>https://orkunustel.com/brezilya-fonte-filtre-kahve</x:v>
      </x:c>
      <x:c r="R1234" s="20" t="str">
        <x:v>Ürün kimliği korundu; eksik alanlar erişilemedi olarak işaretlenecek.</x:v>
      </x:c>
    </x:row>
    <x:row r="1235" ht="40" customHeight="1">
      <x:c r="A1235" s="16" t="str">
        <x:v>Orkun Üstel</x:v>
      </x:c>
      <x:c r="B1235" s="16" t="str">
        <x:v>İstanbul</x:v>
      </x:c>
      <x:c r="C1235" s="16" t="str">
        <x:v>Kısmi doğrulama</x:v>
      </x:c>
      <x:c r="D1235" s="16" t="str">
        <x:v>Ürün kaydı</x:v>
      </x:c>
      <x:c r="E1235" s="16" t="str">
        <x:v>Kenya Nitelikli Kahve Seti</x:v>
      </x:c>
      <x:c r="F1235" s="16" t="str">
        <x:v>Kenya</x:v>
      </x:c>
      <x:c r="G1235" s="17" t="str">
        <x:v>Erişilemedi</x:v>
      </x:c>
      <x:c r="H1235" s="16" t="str">
        <x:v>Erişilemedi</x:v>
      </x:c>
      <x:c r="I1235" s="18" t="n">
        <x:v>8</x:v>
      </x:c>
      <x:c r="J1235" s="18" t="str">
        <x:v>Erişildi</x:v>
      </x:c>
      <x:c r="K1235" s="18" t="str">
        <x:f>IF(AND(ISNUMBER(G1235),ISNUMBER(I1235)),I1235/G1235*1000,"Erişilemedi")</x:f>
        <x:v>Erişilemedi</x:v>
      </x:c>
      <x:c r="L1235" s="16" t="str">
        <x:v>Belirsiz</x:v>
      </x:c>
      <x:c r="M1235" s="16" t="str">
        <x:v>Kahve ürünü</x:v>
      </x:c>
      <x:c r="N1235" s="16" t="str">
        <x:v>Site haritası ürün sayfası</x:v>
      </x:c>
      <x:c r="O1235" s="16" t="str">
        <x:v>Düşük</x:v>
      </x:c>
      <x:c r="P1235" s="19" t="n">
        <x:v>46245</x:v>
      </x:c>
      <x:c r="Q1235" s="20" t="str">
        <x:v>https://orkunustel.com/kenya-nitelikli-kahve-seti</x:v>
      </x:c>
      <x:c r="R1235" s="20" t="str">
        <x:v>Ürün kimliği korundu; eksik alanlar erişilemedi olarak işaretlenecek.</x:v>
      </x:c>
    </x:row>
    <x:row r="1236" ht="40" customHeight="1">
      <x:c r="A1236" s="16" t="str">
        <x:v>Orkun Üstel</x:v>
      </x:c>
      <x:c r="B1236" s="16" t="str">
        <x:v>İstanbul</x:v>
      </x:c>
      <x:c r="C1236" s="16" t="str">
        <x:v>Kısmi doğrulama</x:v>
      </x:c>
      <x:c r="D1236" s="16" t="str">
        <x:v>Ürün kaydı</x:v>
      </x:c>
      <x:c r="E1236" s="16" t="str">
        <x:v>Kosta Rika Volcan Azul Mokka (Filtre)</x:v>
      </x:c>
      <x:c r="F1236" s="16" t="str">
        <x:v>Kosta Rika</x:v>
      </x:c>
      <x:c r="G1236" s="17" t="str">
        <x:v>Erişilemedi</x:v>
      </x:c>
      <x:c r="H1236" s="16" t="str">
        <x:v>Erişilemedi</x:v>
      </x:c>
      <x:c r="I1236" s="18" t="n">
        <x:v>8</x:v>
      </x:c>
      <x:c r="J1236" s="18" t="str">
        <x:v>Erişildi</x:v>
      </x:c>
      <x:c r="K1236" s="18" t="str">
        <x:f>IF(AND(ISNUMBER(G1236),ISNUMBER(I1236)),I1236/G1236*1000,"Erişilemedi")</x:f>
        <x:v>Erişilemedi</x:v>
      </x:c>
      <x:c r="L1236" s="16" t="str">
        <x:v>Belirsiz</x:v>
      </x:c>
      <x:c r="M1236" s="16" t="str">
        <x:v>Kahve ürünü</x:v>
      </x:c>
      <x:c r="N1236" s="16" t="str">
        <x:v>Site haritası ürün sayfası</x:v>
      </x:c>
      <x:c r="O1236" s="16" t="str">
        <x:v>Düşük</x:v>
      </x:c>
      <x:c r="P1236" s="19" t="n">
        <x:v>46245</x:v>
      </x:c>
      <x:c r="Q1236" s="20" t="str">
        <x:v>https://orkunustel.com/kosta-rika-volcan-azul-mokka-filtre-kahve</x:v>
      </x:c>
      <x:c r="R1236" s="20" t="str">
        <x:v>Ürün kimliği korundu; eksik alanlar erişilemedi olarak işaretlenecek.</x:v>
      </x:c>
    </x:row>
    <x:row r="1237" ht="40" customHeight="1">
      <x:c r="A1237" s="16" t="str">
        <x:v>Orkun Üstel</x:v>
      </x:c>
      <x:c r="B1237" s="16" t="str">
        <x:v>İstanbul</x:v>
      </x:c>
      <x:c r="C1237" s="16" t="str">
        <x:v>Kısmi doğrulama</x:v>
      </x:c>
      <x:c r="D1237" s="16" t="str">
        <x:v>Ürün kaydı</x:v>
      </x:c>
      <x:c r="E1237" s="16" t="str">
        <x:v>Tanzanya Kilimanjaro AA</x:v>
      </x:c>
      <x:c r="F1237" s="16" t="str">
        <x:v>Tanzanya</x:v>
      </x:c>
      <x:c r="G1237" s="17" t="str">
        <x:v>Erişilemedi</x:v>
      </x:c>
      <x:c r="H1237" s="16" t="str">
        <x:v>Erişilemedi</x:v>
      </x:c>
      <x:c r="I1237" s="18" t="n">
        <x:v>8</x:v>
      </x:c>
      <x:c r="J1237" s="18" t="str">
        <x:v>Erişildi</x:v>
      </x:c>
      <x:c r="K1237" s="18" t="str">
        <x:f>IF(AND(ISNUMBER(G1237),ISNUMBER(I1237)),I1237/G1237*1000,"Erişilemedi")</x:f>
        <x:v>Erişilemedi</x:v>
      </x:c>
      <x:c r="L1237" s="16" t="str">
        <x:v>Belirsiz</x:v>
      </x:c>
      <x:c r="M1237" s="16" t="str">
        <x:v>Kahve ürünü</x:v>
      </x:c>
      <x:c r="N1237" s="16" t="str">
        <x:v>Site haritası ürün sayfası</x:v>
      </x:c>
      <x:c r="O1237" s="16" t="str">
        <x:v>Düşük</x:v>
      </x:c>
      <x:c r="P1237" s="19" t="n">
        <x:v>46245</x:v>
      </x:c>
      <x:c r="Q1237" s="20" t="str">
        <x:v>https://orkunustel.com/tanzanya-kilimanjaro-aa-filtre-kahve</x:v>
      </x:c>
      <x:c r="R1237" s="20" t="str">
        <x:v>Ürün kimliği korundu; eksik alanlar erişilemedi olarak işaretlenecek.</x:v>
      </x:c>
    </x:row>
    <x:row r="1238" ht="40" customHeight="1">
      <x:c r="A1238" s="16" t="str">
        <x:v>Orkun Üstel</x:v>
      </x:c>
      <x:c r="B1238" s="16" t="str">
        <x:v>İstanbul</x:v>
      </x:c>
      <x:c r="C1238" s="16" t="str">
        <x:v>Kısmi doğrulama</x:v>
      </x:c>
      <x:c r="D1238" s="16" t="str">
        <x:v>Ürün kaydı</x:v>
      </x:c>
      <x:c r="E1238" s="16" t="str">
        <x:v>Timemore Coffee Server 600ml</x:v>
      </x:c>
      <x:c r="F1238" s="16" t="str">
        <x:v>Menşe belirtilmemiş</x:v>
      </x:c>
      <x:c r="G1238" s="17" t="str">
        <x:v>Erişilemedi</x:v>
      </x:c>
      <x:c r="H1238" s="16" t="str">
        <x:v>Erişilemedi</x:v>
      </x:c>
      <x:c r="I1238" s="18" t="n">
        <x:v>8</x:v>
      </x:c>
      <x:c r="J1238" s="18" t="str">
        <x:v>Erişildi</x:v>
      </x:c>
      <x:c r="K1238" s="18" t="str">
        <x:f>IF(AND(ISNUMBER(G1238),ISNUMBER(I1238)),I1238/G1238*1000,"Erişilemedi")</x:f>
        <x:v>Erişilemedi</x:v>
      </x:c>
      <x:c r="L1238" s="16" t="str">
        <x:v>Belirsiz</x:v>
      </x:c>
      <x:c r="M1238" s="16" t="str">
        <x:v>Kahve ürünü</x:v>
      </x:c>
      <x:c r="N1238" s="16" t="str">
        <x:v>Site haritası ürün sayfası</x:v>
      </x:c>
      <x:c r="O1238" s="16" t="str">
        <x:v>Düşük</x:v>
      </x:c>
      <x:c r="P1238" s="19" t="n">
        <x:v>46245</x:v>
      </x:c>
      <x:c r="Q1238" s="20" t="str">
        <x:v>https://orkunustel.com/timemore-coffee-server-600ml</x:v>
      </x:c>
      <x:c r="R1238" s="20" t="str">
        <x:v>Ürün kimliği korundu; eksik alanlar erişilemedi olarak işaretlenecek.</x:v>
      </x:c>
    </x:row>
    <x:row r="1239" ht="40" customHeight="1">
      <x:c r="A1239" s="16" t="str">
        <x:v>Orkun Üstel</x:v>
      </x:c>
      <x:c r="B1239" s="16" t="str">
        <x:v>İstanbul</x:v>
      </x:c>
      <x:c r="C1239" s="16" t="str">
        <x:v>Kısmi doğrulama</x:v>
      </x:c>
      <x:c r="D1239" s="16" t="str">
        <x:v>Ürün kaydı</x:v>
      </x:c>
      <x:c r="E1239" s="16" t="str">
        <x:v>Wastepresso Candle + Friends Kahve Posalı Mum</x:v>
      </x:c>
      <x:c r="F1239" s="16" t="str">
        <x:v>Menşe belirtilmemiş</x:v>
      </x:c>
      <x:c r="G1239" s="17" t="str">
        <x:v>Erişilemedi</x:v>
      </x:c>
      <x:c r="H1239" s="16" t="str">
        <x:v>Erişilemedi</x:v>
      </x:c>
      <x:c r="I1239" s="18" t="n">
        <x:v>8</x:v>
      </x:c>
      <x:c r="J1239" s="18" t="str">
        <x:v>Erişildi</x:v>
      </x:c>
      <x:c r="K1239" s="18" t="str">
        <x:f>IF(AND(ISNUMBER(G1239),ISNUMBER(I1239)),I1239/G1239*1000,"Erişilemedi")</x:f>
        <x:v>Erişilemedi</x:v>
      </x:c>
      <x:c r="L1239" s="16" t="str">
        <x:v>Belirsiz</x:v>
      </x:c>
      <x:c r="M1239" s="16" t="str">
        <x:v>Kahve ürünü</x:v>
      </x:c>
      <x:c r="N1239" s="16" t="str">
        <x:v>Site haritası ürün sayfası</x:v>
      </x:c>
      <x:c r="O1239" s="16" t="str">
        <x:v>Düşük</x:v>
      </x:c>
      <x:c r="P1239" s="19" t="n">
        <x:v>46245</x:v>
      </x:c>
      <x:c r="Q1239" s="20" t="str">
        <x:v>https://orkunustel.com/wastepresso-candle-friends-kahveli-mum</x:v>
      </x:c>
      <x:c r="R1239" s="20" t="str">
        <x:v>Ürün kimliği korundu; eksik alanlar erişilemedi olarak işaretlenecek.</x:v>
      </x:c>
    </x:row>
    <x:row r="1240" ht="40" customHeight="1">
      <x:c r="A1240" s="16" t="str">
        <x:v>Osso Osmanlı Kahvesi</x:v>
      </x:c>
      <x:c r="B1240" s="16" t="str"/>
      <x:c r="C1240" s="16" t="str">
        <x:v>Kısmi doğrulama</x:v>
      </x:c>
      <x:c r="D1240" s="16" t="str">
        <x:v>Katalog takip kaydı</x:v>
      </x:c>
      <x:c r="E1240" s="16" t="str">
        <x:v>Ürün kataloğu — ayrıntılı ürün verisine erişilemedi</x:v>
      </x:c>
      <x:c r="F1240" s="16" t="str">
        <x:v>Erişilemedi</x:v>
      </x:c>
      <x:c r="G1240" s="17" t="str">
        <x:v>Erişilemedi</x:v>
      </x:c>
      <x:c r="H1240" s="16" t="str">
        <x:v>Erişilemedi</x:v>
      </x:c>
      <x:c r="I1240" s="18" t="str">
        <x:v>Erişilemedi</x:v>
      </x:c>
      <x:c r="J1240" s="18" t="str">
        <x:v>Erişilemedi</x:v>
      </x:c>
      <x:c r="K1240" s="18" t="str">
        <x:f>IF(AND(ISNUMBER(G1240),ISNUMBER(I1240)),I1240/G1240*1000,"Erişilemedi")</x:f>
        <x:v>Erişilemedi</x:v>
      </x:c>
      <x:c r="L1240" s="16" t="str">
        <x:v>Erişilemedi</x:v>
      </x:c>
      <x:c r="M1240" s="16" t="str">
        <x:v>Katalog/takip kaydı</x:v>
      </x:c>
      <x:c r="N1240" s="16" t="str">
        <x:v>Instagram veya mevcut kaynak</x:v>
      </x:c>
      <x:c r="O1240" s="16" t="str">
        <x:v>Takip gerekli</x:v>
      </x:c>
      <x:c r="P1240" s="19" t="n">
        <x:v>46245</x:v>
      </x:c>
      <x:c r="Q1240" s="20" t="str">
        <x:v>Erişilemedi</x:v>
      </x:c>
      <x:c r="R1240" s="20" t="str">
        <x:v>Ürün adı, gramaj ve fiyat birlikte çıkarılamadı. Bağlantı manuel inceleme için korundu.</x:v>
      </x:c>
    </x:row>
    <x:row r="1241" ht="40" customHeight="1">
      <x:c r="A1241" s="16" t="str">
        <x:v>Oze Kahve</x:v>
      </x:c>
      <x:c r="B1241" s="16" t="str">
        <x:v>Ankara</x:v>
      </x:c>
      <x:c r="C1241" s="16" t="str">
        <x:v>Doğrulandı</x:v>
      </x:c>
      <x:c r="D1241" s="16" t="str">
        <x:v>Ürün kaydı</x:v>
      </x:c>
      <x:c r="E1241" s="16" t="str">
        <x:v>Adaçayı 60 g</x:v>
      </x:c>
      <x:c r="F1241" s="16" t="str">
        <x:v>Menşe belirtilmemiş</x:v>
      </x:c>
      <x:c r="G1241" s="17" t="n">
        <x:v>60</x:v>
      </x:c>
      <x:c r="H1241" s="16" t="str">
        <x:v>Erişildi</x:v>
      </x:c>
      <x:c r="I1241" s="18" t="n">
        <x:v>0</x:v>
      </x:c>
      <x:c r="J1241" s="18" t="str">
        <x:v>Erişilemedi</x:v>
      </x:c>
      <x:c r="K1241" s="18" t="n">
        <x:f>IF(AND(ISNUMBER(G1241),ISNUMBER(I1241)),I1241/G1241*1000,"Erişilemedi")</x:f>
        <x:v>0</x:v>
      </x:c>
      <x:c r="L1241" s="16" t="str">
        <x:v>Belirsiz</x:v>
      </x:c>
      <x:c r="M1241" s="16" t="str">
        <x:v>Kahve ürünü</x:v>
      </x:c>
      <x:c r="N1241" s="16" t="str">
        <x:v>Site haritası ürün sayfası</x:v>
      </x:c>
      <x:c r="O1241" s="16" t="str">
        <x:v>Düşük</x:v>
      </x:c>
      <x:c r="P1241" s="19" t="n">
        <x:v>46245</x:v>
      </x:c>
      <x:c r="Q1241" s="20" t="str">
        <x:v>https://www.ozekahve.com.tr/adacayi-60g</x:v>
      </x:c>
      <x:c r="R1241" s="20" t="str">
        <x:v>Ürün kimliği korundu; eksik alanlar erişilemedi olarak işaretlenecek.</x:v>
      </x:c>
    </x:row>
    <x:row r="1242" ht="40" customHeight="1">
      <x:c r="A1242" s="16" t="str">
        <x:v>Oze Kahve</x:v>
      </x:c>
      <x:c r="B1242" s="16" t="str">
        <x:v>Ankara</x:v>
      </x:c>
      <x:c r="C1242" s="16" t="str">
        <x:v>Doğrulandı</x:v>
      </x:c>
      <x:c r="D1242" s="16" t="str">
        <x:v>Ürün kaydı</x:v>
      </x:c>
      <x:c r="E1242" s="16" t="str">
        <x:v>All Day Blend Filtre Kahve 1000 g</x:v>
      </x:c>
      <x:c r="F1242" s="16" t="str">
        <x:v>Harman – menşe belirtilmemiş</x:v>
      </x:c>
      <x:c r="G1242" s="17" t="n">
        <x:v>1000</x:v>
      </x:c>
      <x:c r="H1242" s="16" t="str">
        <x:v>Erişildi</x:v>
      </x:c>
      <x:c r="I1242" s="18" t="n">
        <x:v>0</x:v>
      </x:c>
      <x:c r="J1242" s="18" t="str">
        <x:v>Erişilemedi</x:v>
      </x:c>
      <x:c r="K1242" s="18" t="n">
        <x:f>IF(AND(ISNUMBER(G1242),ISNUMBER(I1242)),I1242/G1242*1000,"Erişilemedi")</x:f>
        <x:v>0</x:v>
      </x:c>
      <x:c r="L1242" s="16" t="str">
        <x:v>Belirsiz</x:v>
      </x:c>
      <x:c r="M1242" s="16" t="str">
        <x:v>Harman</x:v>
      </x:c>
      <x:c r="N1242" s="16" t="str">
        <x:v>Site haritası ürün sayfası</x:v>
      </x:c>
      <x:c r="O1242" s="16" t="str">
        <x:v>Düşük</x:v>
      </x:c>
      <x:c r="P1242" s="19" t="n">
        <x:v>46245</x:v>
      </x:c>
      <x:c r="Q1242" s="20" t="str">
        <x:v>https://www.ozekahve.com.tr/all-day-blend-filtre-kahve-1000g</x:v>
      </x:c>
      <x:c r="R1242" s="20" t="str">
        <x:v>Ürün kimliği korundu; eksik alanlar erişilemedi olarak işaretlenecek.</x:v>
      </x:c>
    </x:row>
    <x:row r="1243" ht="40" customHeight="1">
      <x:c r="A1243" s="16" t="str">
        <x:v>Oze Kahve</x:v>
      </x:c>
      <x:c r="B1243" s="16" t="str">
        <x:v>Ankara</x:v>
      </x:c>
      <x:c r="C1243" s="16" t="str">
        <x:v>Doğrulandı</x:v>
      </x:c>
      <x:c r="D1243" s="16" t="str">
        <x:v>Ürün kaydı</x:v>
      </x:c>
      <x:c r="E1243" s="16" t="str">
        <x:v>All Day Blend Filtre Kahve 2 x 250 g</x:v>
      </x:c>
      <x:c r="F1243" s="16" t="str">
        <x:v>Harman – menşe belirtilmemiş</x:v>
      </x:c>
      <x:c r="G1243" s="17" t="n">
        <x:v>250</x:v>
      </x:c>
      <x:c r="H1243" s="16" t="str">
        <x:v>Erişildi</x:v>
      </x:c>
      <x:c r="I1243" s="18" t="n">
        <x:v>0</x:v>
      </x:c>
      <x:c r="J1243" s="18" t="str">
        <x:v>Erişilemedi</x:v>
      </x:c>
      <x:c r="K1243" s="18" t="n">
        <x:f>IF(AND(ISNUMBER(G1243),ISNUMBER(I1243)),I1243/G1243*1000,"Erişilemedi")</x:f>
        <x:v>0</x:v>
      </x:c>
      <x:c r="L1243" s="16" t="str">
        <x:v>Belirsiz</x:v>
      </x:c>
      <x:c r="M1243" s="16" t="str">
        <x:v>Harman</x:v>
      </x:c>
      <x:c r="N1243" s="16" t="str">
        <x:v>Site haritası ürün sayfası</x:v>
      </x:c>
      <x:c r="O1243" s="16" t="str">
        <x:v>Düşük</x:v>
      </x:c>
      <x:c r="P1243" s="19" t="n">
        <x:v>46245</x:v>
      </x:c>
      <x:c r="Q1243" s="20" t="str">
        <x:v>https://www.ozekahve.com.tr/all-day-blend-filtre-kahve-2li-250g</x:v>
      </x:c>
      <x:c r="R1243" s="20" t="str">
        <x:v>Ürün kimliği korundu; eksik alanlar erişilemedi olarak işaretlenecek.</x:v>
      </x:c>
    </x:row>
    <x:row r="1244" ht="40" customHeight="1">
      <x:c r="A1244" s="16" t="str">
        <x:v>Oze Kahve</x:v>
      </x:c>
      <x:c r="B1244" s="16" t="str">
        <x:v>Ankara</x:v>
      </x:c>
      <x:c r="C1244" s="16" t="str">
        <x:v>Doğrulandı</x:v>
      </x:c>
      <x:c r="D1244" s="16" t="str">
        <x:v>Ürün kaydı</x:v>
      </x:c>
      <x:c r="E1244" s="16" t="str">
        <x:v>All Day Blend Filtre Kahve 250 g</x:v>
      </x:c>
      <x:c r="F1244" s="16" t="str">
        <x:v>Harman – menşe belirtilmemiş</x:v>
      </x:c>
      <x:c r="G1244" s="17" t="n">
        <x:v>250</x:v>
      </x:c>
      <x:c r="H1244" s="16" t="str">
        <x:v>Erişildi</x:v>
      </x:c>
      <x:c r="I1244" s="18" t="n">
        <x:v>0</x:v>
      </x:c>
      <x:c r="J1244" s="18" t="str">
        <x:v>Erişilemedi</x:v>
      </x:c>
      <x:c r="K1244" s="18" t="n">
        <x:f>IF(AND(ISNUMBER(G1244),ISNUMBER(I1244)),I1244/G1244*1000,"Erişilemedi")</x:f>
        <x:v>0</x:v>
      </x:c>
      <x:c r="L1244" s="16" t="str">
        <x:v>Belirsiz</x:v>
      </x:c>
      <x:c r="M1244" s="16" t="str">
        <x:v>Harman</x:v>
      </x:c>
      <x:c r="N1244" s="16" t="str">
        <x:v>Site haritası ürün sayfası</x:v>
      </x:c>
      <x:c r="O1244" s="16" t="str">
        <x:v>Düşük</x:v>
      </x:c>
      <x:c r="P1244" s="19" t="n">
        <x:v>46245</x:v>
      </x:c>
      <x:c r="Q1244" s="20" t="str">
        <x:v>https://www.ozekahve.com.tr/all-day-blend-filtre-kahve-250g</x:v>
      </x:c>
      <x:c r="R1244" s="20" t="str">
        <x:v>Ürün kimliği korundu; eksik alanlar erişilemedi olarak işaretlenecek.</x:v>
      </x:c>
    </x:row>
    <x:row r="1245" ht="40" customHeight="1">
      <x:c r="A1245" s="16" t="str">
        <x:v>Oze Kahve</x:v>
      </x:c>
      <x:c r="B1245" s="16" t="str">
        <x:v>Ankara</x:v>
      </x:c>
      <x:c r="C1245" s="16" t="str">
        <x:v>Doğrulandı</x:v>
      </x:c>
      <x:c r="D1245" s="16" t="str">
        <x:v>Ürün kaydı</x:v>
      </x:c>
      <x:c r="E1245" s="16" t="str">
        <x:v>All Day Blend Filtre Kahve 4 x 250 g</x:v>
      </x:c>
      <x:c r="F1245" s="16" t="str">
        <x:v>Harman – menşe belirtilmemiş</x:v>
      </x:c>
      <x:c r="G1245" s="17" t="n">
        <x:v>250</x:v>
      </x:c>
      <x:c r="H1245" s="16" t="str">
        <x:v>Erişildi</x:v>
      </x:c>
      <x:c r="I1245" s="18" t="n">
        <x:v>0</x:v>
      </x:c>
      <x:c r="J1245" s="18" t="str">
        <x:v>Erişilemedi</x:v>
      </x:c>
      <x:c r="K1245" s="18" t="n">
        <x:f>IF(AND(ISNUMBER(G1245),ISNUMBER(I1245)),I1245/G1245*1000,"Erişilemedi")</x:f>
        <x:v>0</x:v>
      </x:c>
      <x:c r="L1245" s="16" t="str">
        <x:v>Belirsiz</x:v>
      </x:c>
      <x:c r="M1245" s="16" t="str">
        <x:v>Harman</x:v>
      </x:c>
      <x:c r="N1245" s="16" t="str">
        <x:v>Site haritası ürün sayfası</x:v>
      </x:c>
      <x:c r="O1245" s="16" t="str">
        <x:v>Düşük</x:v>
      </x:c>
      <x:c r="P1245" s="19" t="n">
        <x:v>46245</x:v>
      </x:c>
      <x:c r="Q1245" s="20" t="str">
        <x:v>https://www.ozekahve.com.tr/all-day-blend-filtre-kahve-4lu-250g</x:v>
      </x:c>
      <x:c r="R1245" s="20" t="str">
        <x:v>Ürün kimliği korundu; eksik alanlar erişilemedi olarak işaretlenecek.</x:v>
      </x:c>
    </x:row>
    <x:row r="1246" ht="40" customHeight="1">
      <x:c r="A1246" s="16" t="str">
        <x:v>Oze Kahve</x:v>
      </x:c>
      <x:c r="B1246" s="16" t="str">
        <x:v>Ankara</x:v>
      </x:c>
      <x:c r="C1246" s="16" t="str">
        <x:v>Doğrulandı</x:v>
      </x:c>
      <x:c r="D1246" s="16" t="str">
        <x:v>Ürün kaydı</x:v>
      </x:c>
      <x:c r="E1246" s="16" t="str">
        <x:v>All Day Blend Filtre Kahve 6 x 1000 g</x:v>
      </x:c>
      <x:c r="F1246" s="16" t="str">
        <x:v>Harman – menşe belirtilmemiş</x:v>
      </x:c>
      <x:c r="G1246" s="17" t="n">
        <x:v>1000</x:v>
      </x:c>
      <x:c r="H1246" s="16" t="str">
        <x:v>Erişildi</x:v>
      </x:c>
      <x:c r="I1246" s="18" t="n">
        <x:v>0</x:v>
      </x:c>
      <x:c r="J1246" s="18" t="str">
        <x:v>Erişilemedi</x:v>
      </x:c>
      <x:c r="K1246" s="18" t="n">
        <x:f>IF(AND(ISNUMBER(G1246),ISNUMBER(I1246)),I1246/G1246*1000,"Erişilemedi")</x:f>
        <x:v>0</x:v>
      </x:c>
      <x:c r="L1246" s="16" t="str">
        <x:v>Belirsiz</x:v>
      </x:c>
      <x:c r="M1246" s="16" t="str">
        <x:v>Harman</x:v>
      </x:c>
      <x:c r="N1246" s="16" t="str">
        <x:v>Site haritası ürün sayfası</x:v>
      </x:c>
      <x:c r="O1246" s="16" t="str">
        <x:v>Düşük</x:v>
      </x:c>
      <x:c r="P1246" s="19" t="n">
        <x:v>46245</x:v>
      </x:c>
      <x:c r="Q1246" s="20" t="str">
        <x:v>https://www.ozekahve.com.tr/all-day-blend-filtre-kahve-6li-1000g</x:v>
      </x:c>
      <x:c r="R1246" s="20" t="str">
        <x:v>Ürün kimliği korundu; eksik alanlar erişilemedi olarak işaretlenecek.</x:v>
      </x:c>
    </x:row>
    <x:row r="1247" ht="40" customHeight="1">
      <x:c r="A1247" s="16" t="str">
        <x:v>Oze Kahve</x:v>
      </x:c>
      <x:c r="B1247" s="16" t="str">
        <x:v>Ankara</x:v>
      </x:c>
      <x:c r="C1247" s="16" t="str">
        <x:v>Doğrulandı</x:v>
      </x:c>
      <x:c r="D1247" s="16" t="str">
        <x:v>Ürün kaydı</x:v>
      </x:c>
      <x:c r="E1247" s="16" t="str">
        <x:v>Ananas Şurubu 50 cc</x:v>
      </x:c>
      <x:c r="F1247" s="16" t="str">
        <x:v>Menşe belirtilmemiş</x:v>
      </x:c>
      <x:c r="G1247" s="17" t="str">
        <x:v>Erişilemedi</x:v>
      </x:c>
      <x:c r="H1247" s="16" t="str">
        <x:v>Erişilemedi</x:v>
      </x:c>
      <x:c r="I1247" s="18" t="n">
        <x:v>0</x:v>
      </x:c>
      <x:c r="J1247" s="18" t="str">
        <x:v>Erişilemedi</x:v>
      </x:c>
      <x:c r="K1247" s="18" t="str">
        <x:f>IF(AND(ISNUMBER(G1247),ISNUMBER(I1247)),I1247/G1247*1000,"Erişilemedi")</x:f>
        <x:v>Erişilemedi</x:v>
      </x:c>
      <x:c r="L1247" s="16" t="str">
        <x:v>Belirsiz</x:v>
      </x:c>
      <x:c r="M1247" s="16" t="str">
        <x:v>Kahve ürünü</x:v>
      </x:c>
      <x:c r="N1247" s="16" t="str">
        <x:v>Site haritası ürün sayfası</x:v>
      </x:c>
      <x:c r="O1247" s="16" t="str">
        <x:v>Düşük</x:v>
      </x:c>
      <x:c r="P1247" s="19" t="n">
        <x:v>46245</x:v>
      </x:c>
      <x:c r="Q1247" s="20" t="str">
        <x:v>https://www.ozekahve.com.tr/ananas-surubu-50cc</x:v>
      </x:c>
      <x:c r="R1247" s="20" t="str">
        <x:v>Ürün kimliği korundu; eksik alanlar erişilemedi olarak işaretlenecek.</x:v>
      </x:c>
    </x:row>
    <x:row r="1248" ht="40" customHeight="1">
      <x:c r="A1248" s="16" t="str">
        <x:v>Oze Kahve</x:v>
      </x:c>
      <x:c r="B1248" s="16" t="str">
        <x:v>Ankara</x:v>
      </x:c>
      <x:c r="C1248" s="16" t="str">
        <x:v>Doğrulandı</x:v>
      </x:c>
      <x:c r="D1248" s="16" t="str">
        <x:v>Ürün kaydı</x:v>
      </x:c>
      <x:c r="E1248" s="16" t="str">
        <x:v>Ananas Şurubu 6 x 75 cl</x:v>
      </x:c>
      <x:c r="F1248" s="16" t="str">
        <x:v>Menşe belirtilmemiş</x:v>
      </x:c>
      <x:c r="G1248" s="17" t="str">
        <x:v>Erişilemedi</x:v>
      </x:c>
      <x:c r="H1248" s="16" t="str">
        <x:v>Erişilemedi</x:v>
      </x:c>
      <x:c r="I1248" s="18" t="n">
        <x:v>0</x:v>
      </x:c>
      <x:c r="J1248" s="18" t="str">
        <x:v>Erişilemedi</x:v>
      </x:c>
      <x:c r="K1248" s="18" t="str">
        <x:f>IF(AND(ISNUMBER(G1248),ISNUMBER(I1248)),I1248/G1248*1000,"Erişilemedi")</x:f>
        <x:v>Erişilemedi</x:v>
      </x:c>
      <x:c r="L1248" s="16" t="str">
        <x:v>Belirsiz</x:v>
      </x:c>
      <x:c r="M1248" s="16" t="str">
        <x:v>Kahve ürünü</x:v>
      </x:c>
      <x:c r="N1248" s="16" t="str">
        <x:v>Site haritası ürün sayfası</x:v>
      </x:c>
      <x:c r="O1248" s="16" t="str">
        <x:v>Düşük</x:v>
      </x:c>
      <x:c r="P1248" s="19" t="n">
        <x:v>46245</x:v>
      </x:c>
      <x:c r="Q1248" s="20" t="str">
        <x:v>https://www.ozekahve.com.tr/ananas-surubu-6li-75cl</x:v>
      </x:c>
      <x:c r="R1248" s="20" t="str">
        <x:v>Ürün kimliği korundu; eksik alanlar erişilemedi olarak işaretlenecek.</x:v>
      </x:c>
    </x:row>
    <x:row r="1249" ht="40" customHeight="1">
      <x:c r="A1249" s="16" t="str">
        <x:v>Oze Kahve</x:v>
      </x:c>
      <x:c r="B1249" s="16" t="str">
        <x:v>Ankara</x:v>
      </x:c>
      <x:c r="C1249" s="16" t="str">
        <x:v>Doğrulandı</x:v>
      </x:c>
      <x:c r="D1249" s="16" t="str">
        <x:v>Ürün kaydı</x:v>
      </x:c>
      <x:c r="E1249" s="16" t="str">
        <x:v>Ananas Şurubu 75 cl</x:v>
      </x:c>
      <x:c r="F1249" s="16" t="str">
        <x:v>Menşe belirtilmemiş</x:v>
      </x:c>
      <x:c r="G1249" s="17" t="str">
        <x:v>Erişilemedi</x:v>
      </x:c>
      <x:c r="H1249" s="16" t="str">
        <x:v>Erişilemedi</x:v>
      </x:c>
      <x:c r="I1249" s="18" t="n">
        <x:v>0</x:v>
      </x:c>
      <x:c r="J1249" s="18" t="str">
        <x:v>Erişilemedi</x:v>
      </x:c>
      <x:c r="K1249" s="18" t="str">
        <x:f>IF(AND(ISNUMBER(G1249),ISNUMBER(I1249)),I1249/G1249*1000,"Erişilemedi")</x:f>
        <x:v>Erişilemedi</x:v>
      </x:c>
      <x:c r="L1249" s="16" t="str">
        <x:v>Belirsiz</x:v>
      </x:c>
      <x:c r="M1249" s="16" t="str">
        <x:v>Kahve ürünü</x:v>
      </x:c>
      <x:c r="N1249" s="16" t="str">
        <x:v>Site haritası ürün sayfası</x:v>
      </x:c>
      <x:c r="O1249" s="16" t="str">
        <x:v>Düşük</x:v>
      </x:c>
      <x:c r="P1249" s="19" t="n">
        <x:v>46245</x:v>
      </x:c>
      <x:c r="Q1249" s="20" t="str">
        <x:v>https://www.ozekahve.com.tr/ananas-surubu-75cl</x:v>
      </x:c>
      <x:c r="R1249" s="20" t="str">
        <x:v>Ürün kimliği korundu; eksik alanlar erişilemedi olarak işaretlenecek.</x:v>
      </x:c>
    </x:row>
    <x:row r="1250" ht="40" customHeight="1">
      <x:c r="A1250" s="16" t="str">
        <x:v>Oze Kahve</x:v>
      </x:c>
      <x:c r="B1250" s="16" t="str">
        <x:v>Ankara</x:v>
      </x:c>
      <x:c r="C1250" s="16" t="str">
        <x:v>Doğrulandı</x:v>
      </x:c>
      <x:c r="D1250" s="16" t="str">
        <x:v>Ürün kaydı</x:v>
      </x:c>
      <x:c r="E1250" s="16" t="str">
        <x:v>Aromalı Filtre Kahve Tanışma Seti 2 x 250 g</x:v>
      </x:c>
      <x:c r="F1250" s="16" t="str">
        <x:v>Menşe belirtilmemiş</x:v>
      </x:c>
      <x:c r="G1250" s="17" t="n">
        <x:v>250</x:v>
      </x:c>
      <x:c r="H1250" s="16" t="str">
        <x:v>Erişildi</x:v>
      </x:c>
      <x:c r="I1250" s="18" t="n">
        <x:v>0</x:v>
      </x:c>
      <x:c r="J1250" s="18" t="str">
        <x:v>Erişilemedi</x:v>
      </x:c>
      <x:c r="K1250" s="18" t="n">
        <x:f>IF(AND(ISNUMBER(G1250),ISNUMBER(I1250)),I1250/G1250*1000,"Erişilemedi")</x:f>
        <x:v>0</x:v>
      </x:c>
      <x:c r="L1250" s="16" t="str">
        <x:v>Belirsiz</x:v>
      </x:c>
      <x:c r="M1250" s="16" t="str">
        <x:v>Kahve ürünü</x:v>
      </x:c>
      <x:c r="N1250" s="16" t="str">
        <x:v>Site haritası ürün sayfası</x:v>
      </x:c>
      <x:c r="O1250" s="16" t="str">
        <x:v>Düşük</x:v>
      </x:c>
      <x:c r="P1250" s="19" t="n">
        <x:v>46245</x:v>
      </x:c>
      <x:c r="Q1250" s="20" t="str">
        <x:v>https://www.ozekahve.com.tr/aromali-filtre-kahveler-firsat-seti-2li-250g</x:v>
      </x:c>
      <x:c r="R1250" s="20" t="str">
        <x:v>Ürün kimliği korundu; eksik alanlar erişilemedi olarak işaretlenecek.</x:v>
      </x:c>
    </x:row>
    <x:row r="1251" ht="40" customHeight="1">
      <x:c r="A1251" s="16" t="str">
        <x:v>Oze Kahve</x:v>
      </x:c>
      <x:c r="B1251" s="16" t="str">
        <x:v>Ankara</x:v>
      </x:c>
      <x:c r="C1251" s="16" t="str">
        <x:v>Doğrulandı</x:v>
      </x:c>
      <x:c r="D1251" s="16" t="str">
        <x:v>Ürün kaydı</x:v>
      </x:c>
      <x:c r="E1251" s="16" t="str">
        <x:v>Aromalı Filtre Kahve Tanışma Seti 3 x 250 g (Çikolata Frambuaz, Irish Cream, All Day Blend)</x:v>
      </x:c>
      <x:c r="F1251" s="16" t="str">
        <x:v>Harman – menşe belirtilmemiş</x:v>
      </x:c>
      <x:c r="G1251" s="17" t="n">
        <x:v>250</x:v>
      </x:c>
      <x:c r="H1251" s="16" t="str">
        <x:v>Erişildi</x:v>
      </x:c>
      <x:c r="I1251" s="18" t="n">
        <x:v>0</x:v>
      </x:c>
      <x:c r="J1251" s="18" t="str">
        <x:v>Erişilemedi</x:v>
      </x:c>
      <x:c r="K1251" s="18" t="n">
        <x:f>IF(AND(ISNUMBER(G1251),ISNUMBER(I1251)),I1251/G1251*1000,"Erişilemedi")</x:f>
        <x:v>0</x:v>
      </x:c>
      <x:c r="L1251" s="16" t="str">
        <x:v>Belirsiz</x:v>
      </x:c>
      <x:c r="M1251" s="16" t="str">
        <x:v>Harman</x:v>
      </x:c>
      <x:c r="N1251" s="16" t="str">
        <x:v>Site haritası ürün sayfası</x:v>
      </x:c>
      <x:c r="O1251" s="16" t="str">
        <x:v>Düşük</x:v>
      </x:c>
      <x:c r="P1251" s="19" t="n">
        <x:v>46245</x:v>
      </x:c>
      <x:c r="Q1251" s="20" t="str">
        <x:v>https://www.ozekahve.com.tr/aromali-filtre-kahve-tanisma-seti-irish-cream-all-day-blend-cikolata-frambuaz-3lu-250g</x:v>
      </x:c>
      <x:c r="R1251" s="20" t="str">
        <x:v>Ürün kimliği korundu; eksik alanlar erişilemedi olarak işaretlenecek.</x:v>
      </x:c>
    </x:row>
    <x:row r="1252" ht="40" customHeight="1">
      <x:c r="A1252" s="16" t="str">
        <x:v>Oze Kahve</x:v>
      </x:c>
      <x:c r="B1252" s="16" t="str">
        <x:v>Ankara</x:v>
      </x:c>
      <x:c r="C1252" s="16" t="str">
        <x:v>Doğrulandı</x:v>
      </x:c>
      <x:c r="D1252" s="16" t="str">
        <x:v>Ürün kaydı</x:v>
      </x:c>
      <x:c r="E1252" s="16" t="str">
        <x:v>Aromalı Filtre Kahve Tanışma Seti 3 x 250 g (Vanilya, Irish Cream, All Day Blend)</x:v>
      </x:c>
      <x:c r="F1252" s="16" t="str">
        <x:v>Harman – menşe belirtilmemiş</x:v>
      </x:c>
      <x:c r="G1252" s="17" t="n">
        <x:v>250</x:v>
      </x:c>
      <x:c r="H1252" s="16" t="str">
        <x:v>Erişildi</x:v>
      </x:c>
      <x:c r="I1252" s="18" t="n">
        <x:v>0</x:v>
      </x:c>
      <x:c r="J1252" s="18" t="str">
        <x:v>Erişilemedi</x:v>
      </x:c>
      <x:c r="K1252" s="18" t="n">
        <x:f>IF(AND(ISNUMBER(G1252),ISNUMBER(I1252)),I1252/G1252*1000,"Erişilemedi")</x:f>
        <x:v>0</x:v>
      </x:c>
      <x:c r="L1252" s="16" t="str">
        <x:v>Belirsiz</x:v>
      </x:c>
      <x:c r="M1252" s="16" t="str">
        <x:v>Harman</x:v>
      </x:c>
      <x:c r="N1252" s="16" t="str">
        <x:v>Site haritası ürün sayfası</x:v>
      </x:c>
      <x:c r="O1252" s="16" t="str">
        <x:v>Düşük</x:v>
      </x:c>
      <x:c r="P1252" s="19" t="n">
        <x:v>46245</x:v>
      </x:c>
      <x:c r="Q1252" s="20" t="str">
        <x:v>https://www.ozekahve.com.tr/aromali-filtre-kahve-tanisma-seti-irish-cream-all-day-blend-vanilya-3lu-250g</x:v>
      </x:c>
      <x:c r="R1252" s="20" t="str">
        <x:v>Ürün kimliği korundu; eksik alanlar erişilemedi olarak işaretlenecek.</x:v>
      </x:c>
    </x:row>
    <x:row r="1253" ht="40" customHeight="1">
      <x:c r="A1253" s="16" t="str">
        <x:v>Oze Kahve</x:v>
      </x:c>
      <x:c r="B1253" s="16" t="str">
        <x:v>Ankara</x:v>
      </x:c>
      <x:c r="C1253" s="16" t="str">
        <x:v>Doğrulandı</x:v>
      </x:c>
      <x:c r="D1253" s="16" t="str">
        <x:v>Ürün kaydı</x:v>
      </x:c>
      <x:c r="E1253" s="16" t="str">
        <x:v>Aromalı Filtre Kahve Tanışma Seti 5 x 250 g</x:v>
      </x:c>
      <x:c r="F1253" s="16" t="str">
        <x:v>Menşe belirtilmemiş</x:v>
      </x:c>
      <x:c r="G1253" s="17" t="n">
        <x:v>250</x:v>
      </x:c>
      <x:c r="H1253" s="16" t="str">
        <x:v>Erişildi</x:v>
      </x:c>
      <x:c r="I1253" s="18" t="n">
        <x:v>0</x:v>
      </x:c>
      <x:c r="J1253" s="18" t="str">
        <x:v>Erişilemedi</x:v>
      </x:c>
      <x:c r="K1253" s="18" t="n">
        <x:f>IF(AND(ISNUMBER(G1253),ISNUMBER(I1253)),I1253/G1253*1000,"Erişilemedi")</x:f>
        <x:v>0</x:v>
      </x:c>
      <x:c r="L1253" s="16" t="str">
        <x:v>Belirsiz</x:v>
      </x:c>
      <x:c r="M1253" s="16" t="str">
        <x:v>Kahve ürünü</x:v>
      </x:c>
      <x:c r="N1253" s="16" t="str">
        <x:v>Site haritası ürün sayfası</x:v>
      </x:c>
      <x:c r="O1253" s="16" t="str">
        <x:v>Düşük</x:v>
      </x:c>
      <x:c r="P1253" s="19" t="n">
        <x:v>46245</x:v>
      </x:c>
      <x:c r="Q1253" s="20" t="str">
        <x:v>https://www.ozekahve.com.tr/aromali-filtre-kahve-seti-5li-250g</x:v>
      </x:c>
      <x:c r="R1253" s="20" t="str">
        <x:v>Ürün kimliği korundu; eksik alanlar erişilemedi olarak işaretlenecek.</x:v>
      </x:c>
    </x:row>
    <x:row r="1254" ht="40" customHeight="1">
      <x:c r="A1254" s="16" t="str">
        <x:v>Oze Kahve</x:v>
      </x:c>
      <x:c r="B1254" s="16" t="str">
        <x:v>Ankara</x:v>
      </x:c>
      <x:c r="C1254" s="16" t="str">
        <x:v>Doğrulandı</x:v>
      </x:c>
      <x:c r="D1254" s="16" t="str">
        <x:v>Ürün kaydı</x:v>
      </x:c>
      <x:c r="E1254" s="16" t="str">
        <x:v>Aromalı Türk Kahvesi Tanışma Seti 3 x 100 g (Dağ Çilekli, Güllü, Fındıklı)</x:v>
      </x:c>
      <x:c r="F1254" s="16" t="str">
        <x:v>Menşe belirtilmemiş</x:v>
      </x:c>
      <x:c r="G1254" s="17" t="n">
        <x:v>100</x:v>
      </x:c>
      <x:c r="H1254" s="16" t="str">
        <x:v>Erişildi</x:v>
      </x:c>
      <x:c r="I1254" s="18" t="n">
        <x:v>0</x:v>
      </x:c>
      <x:c r="J1254" s="18" t="str">
        <x:v>Erişilemedi</x:v>
      </x:c>
      <x:c r="K1254" s="18" t="n">
        <x:f>IF(AND(ISNUMBER(G1254),ISNUMBER(I1254)),I1254/G1254*1000,"Erişilemedi")</x:f>
        <x:v>0</x:v>
      </x:c>
      <x:c r="L1254" s="16" t="str">
        <x:v>Belirsiz</x:v>
      </x:c>
      <x:c r="M1254" s="16" t="str">
        <x:v>Kahve ürünü</x:v>
      </x:c>
      <x:c r="N1254" s="16" t="str">
        <x:v>Site haritası ürün sayfası</x:v>
      </x:c>
      <x:c r="O1254" s="16" t="str">
        <x:v>Düşük</x:v>
      </x:c>
      <x:c r="P1254" s="19" t="n">
        <x:v>46245</x:v>
      </x:c>
      <x:c r="Q1254" s="20" t="str">
        <x:v>https://www.ozekahve.com.tr/aromali-turk-kahvesi-seti-dag-cilekli-gullu-findikli-3lu-100g</x:v>
      </x:c>
      <x:c r="R1254" s="20" t="str">
        <x:v>Ürün kimliği korundu; eksik alanlar erişilemedi olarak işaretlenecek.</x:v>
      </x:c>
    </x:row>
    <x:row r="1255" ht="40" customHeight="1">
      <x:c r="A1255" s="16" t="str">
        <x:v>Oze Kahve</x:v>
      </x:c>
      <x:c r="B1255" s="16" t="str">
        <x:v>Ankara</x:v>
      </x:c>
      <x:c r="C1255" s="16" t="str">
        <x:v>Doğrulandı</x:v>
      </x:c>
      <x:c r="D1255" s="16" t="str">
        <x:v>Ürün kaydı</x:v>
      </x:c>
      <x:c r="E1255" s="16" t="str">
        <x:v>Aromalı Türk Kahvesi Tanışma Seti 3 x 100 g (Karamelli, Çikolatalı, Fındıklı)</x:v>
      </x:c>
      <x:c r="F1255" s="16" t="str">
        <x:v>Menşe belirtilmemiş</x:v>
      </x:c>
      <x:c r="G1255" s="17" t="n">
        <x:v>100</x:v>
      </x:c>
      <x:c r="H1255" s="16" t="str">
        <x:v>Erişildi</x:v>
      </x:c>
      <x:c r="I1255" s="18" t="n">
        <x:v>0</x:v>
      </x:c>
      <x:c r="J1255" s="18" t="str">
        <x:v>Erişilemedi</x:v>
      </x:c>
      <x:c r="K1255" s="18" t="n">
        <x:f>IF(AND(ISNUMBER(G1255),ISNUMBER(I1255)),I1255/G1255*1000,"Erişilemedi")</x:f>
        <x:v>0</x:v>
      </x:c>
      <x:c r="L1255" s="16" t="str">
        <x:v>Belirsiz</x:v>
      </x:c>
      <x:c r="M1255" s="16" t="str">
        <x:v>Kahve ürünü</x:v>
      </x:c>
      <x:c r="N1255" s="16" t="str">
        <x:v>Site haritası ürün sayfası</x:v>
      </x:c>
      <x:c r="O1255" s="16" t="str">
        <x:v>Düşük</x:v>
      </x:c>
      <x:c r="P1255" s="19" t="n">
        <x:v>46245</x:v>
      </x:c>
      <x:c r="Q1255" s="20" t="str">
        <x:v>https://www.ozekahve.com.tr/aromali-turk-kahvesi-seti-karamelli-findikli-cikolatali-3lu-100g</x:v>
      </x:c>
      <x:c r="R1255" s="20" t="str">
        <x:v>Ürün kimliği korundu; eksik alanlar erişilemedi olarak işaretlenecek.</x:v>
      </x:c>
    </x:row>
    <x:row r="1256" ht="40" customHeight="1">
      <x:c r="A1256" s="16" t="str">
        <x:v>Oze Kahve</x:v>
      </x:c>
      <x:c r="B1256" s="16" t="str">
        <x:v>Ankara</x:v>
      </x:c>
      <x:c r="C1256" s="16" t="str">
        <x:v>Doğrulandı</x:v>
      </x:c>
      <x:c r="D1256" s="16" t="str">
        <x:v>Ürün kaydı</x:v>
      </x:c>
      <x:c r="E1256" s="16" t="str">
        <x:v>Badem Şurubu 50 cc</x:v>
      </x:c>
      <x:c r="F1256" s="16" t="str">
        <x:v>Menşe belirtilmemiş</x:v>
      </x:c>
      <x:c r="G1256" s="17" t="str">
        <x:v>Erişilemedi</x:v>
      </x:c>
      <x:c r="H1256" s="16" t="str">
        <x:v>Erişilemedi</x:v>
      </x:c>
      <x:c r="I1256" s="18" t="n">
        <x:v>0</x:v>
      </x:c>
      <x:c r="J1256" s="18" t="str">
        <x:v>Erişilemedi</x:v>
      </x:c>
      <x:c r="K1256" s="18" t="str">
        <x:f>IF(AND(ISNUMBER(G1256),ISNUMBER(I1256)),I1256/G1256*1000,"Erişilemedi")</x:f>
        <x:v>Erişilemedi</x:v>
      </x:c>
      <x:c r="L1256" s="16" t="str">
        <x:v>Belirsiz</x:v>
      </x:c>
      <x:c r="M1256" s="16" t="str">
        <x:v>Kahve ürünü</x:v>
      </x:c>
      <x:c r="N1256" s="16" t="str">
        <x:v>Site haritası ürün sayfası</x:v>
      </x:c>
      <x:c r="O1256" s="16" t="str">
        <x:v>Düşük</x:v>
      </x:c>
      <x:c r="P1256" s="19" t="n">
        <x:v>46245</x:v>
      </x:c>
      <x:c r="Q1256" s="20" t="str">
        <x:v>https://www.ozekahve.com.tr/badem-surubu-50cc</x:v>
      </x:c>
      <x:c r="R1256" s="20" t="str">
        <x:v>Ürün kimliği korundu; eksik alanlar erişilemedi olarak işaretlenecek.</x:v>
      </x:c>
    </x:row>
    <x:row r="1257" ht="40" customHeight="1">
      <x:c r="A1257" s="16" t="str">
        <x:v>Oze Kahve</x:v>
      </x:c>
      <x:c r="B1257" s="16" t="str">
        <x:v>Ankara</x:v>
      </x:c>
      <x:c r="C1257" s="16" t="str">
        <x:v>Doğrulandı</x:v>
      </x:c>
      <x:c r="D1257" s="16" t="str">
        <x:v>Ürün kaydı</x:v>
      </x:c>
      <x:c r="E1257" s="16" t="str">
        <x:v>Badem Şurubu 6 x 75 cl</x:v>
      </x:c>
      <x:c r="F1257" s="16" t="str">
        <x:v>Menşe belirtilmemiş</x:v>
      </x:c>
      <x:c r="G1257" s="17" t="str">
        <x:v>Erişilemedi</x:v>
      </x:c>
      <x:c r="H1257" s="16" t="str">
        <x:v>Erişilemedi</x:v>
      </x:c>
      <x:c r="I1257" s="18" t="n">
        <x:v>0</x:v>
      </x:c>
      <x:c r="J1257" s="18" t="str">
        <x:v>Erişilemedi</x:v>
      </x:c>
      <x:c r="K1257" s="18" t="str">
        <x:f>IF(AND(ISNUMBER(G1257),ISNUMBER(I1257)),I1257/G1257*1000,"Erişilemedi")</x:f>
        <x:v>Erişilemedi</x:v>
      </x:c>
      <x:c r="L1257" s="16" t="str">
        <x:v>Belirsiz</x:v>
      </x:c>
      <x:c r="M1257" s="16" t="str">
        <x:v>Kahve ürünü</x:v>
      </x:c>
      <x:c r="N1257" s="16" t="str">
        <x:v>Site haritası ürün sayfası</x:v>
      </x:c>
      <x:c r="O1257" s="16" t="str">
        <x:v>Düşük</x:v>
      </x:c>
      <x:c r="P1257" s="19" t="n">
        <x:v>46245</x:v>
      </x:c>
      <x:c r="Q1257" s="20" t="str">
        <x:v>https://www.ozekahve.com.tr/badem-surubu-6li-75cl</x:v>
      </x:c>
      <x:c r="R1257" s="20" t="str">
        <x:v>Ürün kimliği korundu; eksik alanlar erişilemedi olarak işaretlenecek.</x:v>
      </x:c>
    </x:row>
    <x:row r="1258" ht="40" customHeight="1">
      <x:c r="A1258" s="16" t="str">
        <x:v>Oze Kahve</x:v>
      </x:c>
      <x:c r="B1258" s="16" t="str">
        <x:v>Ankara</x:v>
      </x:c>
      <x:c r="C1258" s="16" t="str">
        <x:v>Doğrulandı</x:v>
      </x:c>
      <x:c r="D1258" s="16" t="str">
        <x:v>Ürün kaydı</x:v>
      </x:c>
      <x:c r="E1258" s="16" t="str">
        <x:v>Badem Şurubu 75 cl</x:v>
      </x:c>
      <x:c r="F1258" s="16" t="str">
        <x:v>Menşe belirtilmemiş</x:v>
      </x:c>
      <x:c r="G1258" s="17" t="str">
        <x:v>Erişilemedi</x:v>
      </x:c>
      <x:c r="H1258" s="16" t="str">
        <x:v>Erişilemedi</x:v>
      </x:c>
      <x:c r="I1258" s="18" t="n">
        <x:v>0</x:v>
      </x:c>
      <x:c r="J1258" s="18" t="str">
        <x:v>Erişilemedi</x:v>
      </x:c>
      <x:c r="K1258" s="18" t="str">
        <x:f>IF(AND(ISNUMBER(G1258),ISNUMBER(I1258)),I1258/G1258*1000,"Erişilemedi")</x:f>
        <x:v>Erişilemedi</x:v>
      </x:c>
      <x:c r="L1258" s="16" t="str">
        <x:v>Belirsiz</x:v>
      </x:c>
      <x:c r="M1258" s="16" t="str">
        <x:v>Kahve ürünü</x:v>
      </x:c>
      <x:c r="N1258" s="16" t="str">
        <x:v>Site haritası ürün sayfası</x:v>
      </x:c>
      <x:c r="O1258" s="16" t="str">
        <x:v>Düşük</x:v>
      </x:c>
      <x:c r="P1258" s="19" t="n">
        <x:v>46245</x:v>
      </x:c>
      <x:c r="Q1258" s="20" t="str">
        <x:v>https://www.ozekahve.com.tr/badem-surubu-75cl</x:v>
      </x:c>
      <x:c r="R1258" s="20" t="str">
        <x:v>Ürün kimliği korundu; eksik alanlar erişilemedi olarak işaretlenecek.</x:v>
      </x:c>
    </x:row>
    <x:row r="1259" ht="40" customHeight="1">
      <x:c r="A1259" s="16" t="str">
        <x:v>Oze Kahve</x:v>
      </x:c>
      <x:c r="B1259" s="16" t="str">
        <x:v>Ankara</x:v>
      </x:c>
      <x:c r="C1259" s="16" t="str">
        <x:v>Doğrulandı</x:v>
      </x:c>
      <x:c r="D1259" s="16" t="str">
        <x:v>Ürün kaydı</x:v>
      </x:c>
      <x:c r="E1259" s="16" t="str">
        <x:v>Beyaz Çikolata Şurubu 50 cc</x:v>
      </x:c>
      <x:c r="F1259" s="16" t="str">
        <x:v>Menşe belirtilmemiş</x:v>
      </x:c>
      <x:c r="G1259" s="17" t="str">
        <x:v>Erişilemedi</x:v>
      </x:c>
      <x:c r="H1259" s="16" t="str">
        <x:v>Erişilemedi</x:v>
      </x:c>
      <x:c r="I1259" s="18" t="n">
        <x:v>0</x:v>
      </x:c>
      <x:c r="J1259" s="18" t="str">
        <x:v>Erişilemedi</x:v>
      </x:c>
      <x:c r="K1259" s="18" t="str">
        <x:f>IF(AND(ISNUMBER(G1259),ISNUMBER(I1259)),I1259/G1259*1000,"Erişilemedi")</x:f>
        <x:v>Erişilemedi</x:v>
      </x:c>
      <x:c r="L1259" s="16" t="str">
        <x:v>Belirsiz</x:v>
      </x:c>
      <x:c r="M1259" s="16" t="str">
        <x:v>Kahve ürünü</x:v>
      </x:c>
      <x:c r="N1259" s="16" t="str">
        <x:v>Site haritası ürün sayfası</x:v>
      </x:c>
      <x:c r="O1259" s="16" t="str">
        <x:v>Düşük</x:v>
      </x:c>
      <x:c r="P1259" s="19" t="n">
        <x:v>46245</x:v>
      </x:c>
      <x:c r="Q1259" s="20" t="str">
        <x:v>https://www.ozekahve.com.tr/beyaz-cikolata-surubu-50cc</x:v>
      </x:c>
      <x:c r="R1259" s="20" t="str">
        <x:v>Ürün kimliği korundu; eksik alanlar erişilemedi olarak işaretlenecek.</x:v>
      </x:c>
    </x:row>
    <x:row r="1260" ht="40" customHeight="1">
      <x:c r="A1260" s="16" t="str">
        <x:v>Oze Kahve</x:v>
      </x:c>
      <x:c r="B1260" s="16" t="str">
        <x:v>Ankara</x:v>
      </x:c>
      <x:c r="C1260" s="16" t="str">
        <x:v>Doğrulandı</x:v>
      </x:c>
      <x:c r="D1260" s="16" t="str">
        <x:v>Ürün kaydı</x:v>
      </x:c>
      <x:c r="E1260" s="16" t="str">
        <x:v>Beyaz Çikolata Şurubu 6 x 75 cl</x:v>
      </x:c>
      <x:c r="F1260" s="16" t="str">
        <x:v>Menşe belirtilmemiş</x:v>
      </x:c>
      <x:c r="G1260" s="17" t="str">
        <x:v>Erişilemedi</x:v>
      </x:c>
      <x:c r="H1260" s="16" t="str">
        <x:v>Erişilemedi</x:v>
      </x:c>
      <x:c r="I1260" s="18" t="n">
        <x:v>0</x:v>
      </x:c>
      <x:c r="J1260" s="18" t="str">
        <x:v>Erişilemedi</x:v>
      </x:c>
      <x:c r="K1260" s="18" t="str">
        <x:f>IF(AND(ISNUMBER(G1260),ISNUMBER(I1260)),I1260/G1260*1000,"Erişilemedi")</x:f>
        <x:v>Erişilemedi</x:v>
      </x:c>
      <x:c r="L1260" s="16" t="str">
        <x:v>Belirsiz</x:v>
      </x:c>
      <x:c r="M1260" s="16" t="str">
        <x:v>Kahve ürünü</x:v>
      </x:c>
      <x:c r="N1260" s="16" t="str">
        <x:v>Site haritası ürün sayfası</x:v>
      </x:c>
      <x:c r="O1260" s="16" t="str">
        <x:v>Düşük</x:v>
      </x:c>
      <x:c r="P1260" s="19" t="n">
        <x:v>46245</x:v>
      </x:c>
      <x:c r="Q1260" s="20" t="str">
        <x:v>https://www.ozekahve.com.tr/beyaz-cikolata-surubu-6li-75cl</x:v>
      </x:c>
      <x:c r="R1260" s="20" t="str">
        <x:v>Ürün kimliği korundu; eksik alanlar erişilemedi olarak işaretlenecek.</x:v>
      </x:c>
    </x:row>
    <x:row r="1261" ht="40" customHeight="1">
      <x:c r="A1261" s="16" t="str">
        <x:v>Oze Kahve</x:v>
      </x:c>
      <x:c r="B1261" s="16" t="str">
        <x:v>Ankara</x:v>
      </x:c>
      <x:c r="C1261" s="16" t="str">
        <x:v>Doğrulandı</x:v>
      </x:c>
      <x:c r="D1261" s="16" t="str">
        <x:v>Ürün kaydı</x:v>
      </x:c>
      <x:c r="E1261" s="16" t="str">
        <x:v>Beyaz Çikolata Şurubu 75 cl</x:v>
      </x:c>
      <x:c r="F1261" s="16" t="str">
        <x:v>Menşe belirtilmemiş</x:v>
      </x:c>
      <x:c r="G1261" s="17" t="str">
        <x:v>Erişilemedi</x:v>
      </x:c>
      <x:c r="H1261" s="16" t="str">
        <x:v>Erişilemedi</x:v>
      </x:c>
      <x:c r="I1261" s="18" t="n">
        <x:v>0</x:v>
      </x:c>
      <x:c r="J1261" s="18" t="str">
        <x:v>Erişilemedi</x:v>
      </x:c>
      <x:c r="K1261" s="18" t="str">
        <x:f>IF(AND(ISNUMBER(G1261),ISNUMBER(I1261)),I1261/G1261*1000,"Erişilemedi")</x:f>
        <x:v>Erişilemedi</x:v>
      </x:c>
      <x:c r="L1261" s="16" t="str">
        <x:v>Belirsiz</x:v>
      </x:c>
      <x:c r="M1261" s="16" t="str">
        <x:v>Kahve ürünü</x:v>
      </x:c>
      <x:c r="N1261" s="16" t="str">
        <x:v>Site haritası ürün sayfası</x:v>
      </x:c>
      <x:c r="O1261" s="16" t="str">
        <x:v>Düşük</x:v>
      </x:c>
      <x:c r="P1261" s="19" t="n">
        <x:v>46245</x:v>
      </x:c>
      <x:c r="Q1261" s="20" t="str">
        <x:v>https://www.ozekahve.com.tr/beyaz-cikolata-surubu-75cl</x:v>
      </x:c>
      <x:c r="R1261" s="20" t="str">
        <x:v>Ürün kimliği korundu; eksik alanlar erişilemedi olarak işaretlenecek.</x:v>
      </x:c>
    </x:row>
    <x:row r="1262" ht="40" customHeight="1">
      <x:c r="A1262" s="16" t="str">
        <x:v>Oze Kahve</x:v>
      </x:c>
      <x:c r="B1262" s="16" t="str">
        <x:v>Ankara</x:v>
      </x:c>
      <x:c r="C1262" s="16" t="str">
        <x:v>Doğrulandı</x:v>
      </x:c>
      <x:c r="D1262" s="16" t="str">
        <x:v>Ürün kaydı</x:v>
      </x:c>
      <x:c r="E1262" s="16" t="str">
        <x:v>Bitki Çayı Tanışma Seti (Adaçayı, Ihlamur, Papatya, Nane Limon)</x:v>
      </x:c>
      <x:c r="F1262" s="16" t="str">
        <x:v>Menşe belirtilmemiş</x:v>
      </x:c>
      <x:c r="G1262" s="17" t="n">
        <x:v>125</x:v>
      </x:c>
      <x:c r="H1262" s="16" t="str">
        <x:v>Erişildi</x:v>
      </x:c>
      <x:c r="I1262" s="18" t="n">
        <x:v>0</x:v>
      </x:c>
      <x:c r="J1262" s="18" t="str">
        <x:v>Erişilemedi</x:v>
      </x:c>
      <x:c r="K1262" s="18" t="n">
        <x:f>IF(AND(ISNUMBER(G1262),ISNUMBER(I1262)),I1262/G1262*1000,"Erişilemedi")</x:f>
        <x:v>0</x:v>
      </x:c>
      <x:c r="L1262" s="16" t="str">
        <x:v>Belirsiz</x:v>
      </x:c>
      <x:c r="M1262" s="16" t="str">
        <x:v>Kahve ürünü</x:v>
      </x:c>
      <x:c r="N1262" s="16" t="str">
        <x:v>Site haritası ürün sayfası</x:v>
      </x:c>
      <x:c r="O1262" s="16" t="str">
        <x:v>Düşük</x:v>
      </x:c>
      <x:c r="P1262" s="19" t="n">
        <x:v>46245</x:v>
      </x:c>
      <x:c r="Q1262" s="20" t="str">
        <x:v>https://www.ozekahve.com.tr/bitki-cayi-tanisma-seti-adacayi-ihlamur-papatya-nane-limon-4lu</x:v>
      </x:c>
      <x:c r="R1262" s="20" t="str">
        <x:v>Ürün kimliği korundu; eksik alanlar erişilemedi olarak işaretlenecek.</x:v>
      </x:c>
    </x:row>
    <x:row r="1263" ht="40" customHeight="1">
      <x:c r="A1263" s="16" t="str">
        <x:v>Oze Kahve</x:v>
      </x:c>
      <x:c r="B1263" s="16" t="str">
        <x:v>Ankara</x:v>
      </x:c>
      <x:c r="C1263" s="16" t="str">
        <x:v>Doğrulandı</x:v>
      </x:c>
      <x:c r="D1263" s="16" t="str">
        <x:v>Ürün kaydı</x:v>
      </x:c>
      <x:c r="E1263" s="16" t="str">
        <x:v>Böğürtlen Çayı 125 g</x:v>
      </x:c>
      <x:c r="F1263" s="16" t="str">
        <x:v>Menşe belirtilmemiş</x:v>
      </x:c>
      <x:c r="G1263" s="17" t="n">
        <x:v>125</x:v>
      </x:c>
      <x:c r="H1263" s="16" t="str">
        <x:v>Erişildi</x:v>
      </x:c>
      <x:c r="I1263" s="18" t="n">
        <x:v>0</x:v>
      </x:c>
      <x:c r="J1263" s="18" t="str">
        <x:v>Erişilemedi</x:v>
      </x:c>
      <x:c r="K1263" s="18" t="n">
        <x:f>IF(AND(ISNUMBER(G1263),ISNUMBER(I1263)),I1263/G1263*1000,"Erişilemedi")</x:f>
        <x:v>0</x:v>
      </x:c>
      <x:c r="L1263" s="16" t="str">
        <x:v>Belirsiz</x:v>
      </x:c>
      <x:c r="M1263" s="16" t="str">
        <x:v>Kahve ürünü</x:v>
      </x:c>
      <x:c r="N1263" s="16" t="str">
        <x:v>Site haritası ürün sayfası</x:v>
      </x:c>
      <x:c r="O1263" s="16" t="str">
        <x:v>Düşük</x:v>
      </x:c>
      <x:c r="P1263" s="19" t="n">
        <x:v>46245</x:v>
      </x:c>
      <x:c r="Q1263" s="20" t="str">
        <x:v>https://www.ozekahve.com.tr/bogurtlen-cayi-125g</x:v>
      </x:c>
      <x:c r="R1263" s="20" t="str">
        <x:v>Ürün kimliği korundu; eksik alanlar erişilemedi olarak işaretlenecek.</x:v>
      </x:c>
    </x:row>
    <x:row r="1264" ht="40" customHeight="1">
      <x:c r="A1264" s="16" t="str">
        <x:v>Oze Kahve</x:v>
      </x:c>
      <x:c r="B1264" s="16" t="str">
        <x:v>Ankara</x:v>
      </x:c>
      <x:c r="C1264" s="16" t="str">
        <x:v>Doğrulandı</x:v>
      </x:c>
      <x:c r="D1264" s="16" t="str">
        <x:v>Ürün kaydı</x:v>
      </x:c>
      <x:c r="E1264" s="16" t="str">
        <x:v>Böğürtlen Şurubu 50 cc</x:v>
      </x:c>
      <x:c r="F1264" s="16" t="str">
        <x:v>Menşe belirtilmemiş</x:v>
      </x:c>
      <x:c r="G1264" s="17" t="str">
        <x:v>Erişilemedi</x:v>
      </x:c>
      <x:c r="H1264" s="16" t="str">
        <x:v>Erişilemedi</x:v>
      </x:c>
      <x:c r="I1264" s="18" t="n">
        <x:v>0</x:v>
      </x:c>
      <x:c r="J1264" s="18" t="str">
        <x:v>Erişilemedi</x:v>
      </x:c>
      <x:c r="K1264" s="18" t="str">
        <x:f>IF(AND(ISNUMBER(G1264),ISNUMBER(I1264)),I1264/G1264*1000,"Erişilemedi")</x:f>
        <x:v>Erişilemedi</x:v>
      </x:c>
      <x:c r="L1264" s="16" t="str">
        <x:v>Belirsiz</x:v>
      </x:c>
      <x:c r="M1264" s="16" t="str">
        <x:v>Kahve ürünü</x:v>
      </x:c>
      <x:c r="N1264" s="16" t="str">
        <x:v>Site haritası ürün sayfası</x:v>
      </x:c>
      <x:c r="O1264" s="16" t="str">
        <x:v>Düşük</x:v>
      </x:c>
      <x:c r="P1264" s="19" t="n">
        <x:v>46245</x:v>
      </x:c>
      <x:c r="Q1264" s="20" t="str">
        <x:v>https://www.ozekahve.com.tr/bogurtlen-surubu-50cc</x:v>
      </x:c>
      <x:c r="R1264" s="20" t="str">
        <x:v>Ürün kimliği korundu; eksik alanlar erişilemedi olarak işaretlenecek.</x:v>
      </x:c>
    </x:row>
    <x:row r="1265" ht="40" customHeight="1">
      <x:c r="A1265" s="16" t="str">
        <x:v>Oze Kahve</x:v>
      </x:c>
      <x:c r="B1265" s="16" t="str">
        <x:v>Ankara</x:v>
      </x:c>
      <x:c r="C1265" s="16" t="str">
        <x:v>Doğrulandı</x:v>
      </x:c>
      <x:c r="D1265" s="16" t="str">
        <x:v>Ürün kaydı</x:v>
      </x:c>
      <x:c r="E1265" s="16" t="str">
        <x:v>Böğürtlen Şurubu 6 x 75 cl</x:v>
      </x:c>
      <x:c r="F1265" s="16" t="str">
        <x:v>Menşe belirtilmemiş</x:v>
      </x:c>
      <x:c r="G1265" s="17" t="str">
        <x:v>Erişilemedi</x:v>
      </x:c>
      <x:c r="H1265" s="16" t="str">
        <x:v>Erişilemedi</x:v>
      </x:c>
      <x:c r="I1265" s="18" t="n">
        <x:v>0</x:v>
      </x:c>
      <x:c r="J1265" s="18" t="str">
        <x:v>Erişilemedi</x:v>
      </x:c>
      <x:c r="K1265" s="18" t="str">
        <x:f>IF(AND(ISNUMBER(G1265),ISNUMBER(I1265)),I1265/G1265*1000,"Erişilemedi")</x:f>
        <x:v>Erişilemedi</x:v>
      </x:c>
      <x:c r="L1265" s="16" t="str">
        <x:v>Belirsiz</x:v>
      </x:c>
      <x:c r="M1265" s="16" t="str">
        <x:v>Kahve ürünü</x:v>
      </x:c>
      <x:c r="N1265" s="16" t="str">
        <x:v>Site haritası ürün sayfası</x:v>
      </x:c>
      <x:c r="O1265" s="16" t="str">
        <x:v>Düşük</x:v>
      </x:c>
      <x:c r="P1265" s="19" t="n">
        <x:v>46245</x:v>
      </x:c>
      <x:c r="Q1265" s="20" t="str">
        <x:v>https://www.ozekahve.com.tr/bogurtlen-surubu-6li-75cl</x:v>
      </x:c>
      <x:c r="R1265" s="20" t="str">
        <x:v>Ürün kimliği korundu; eksik alanlar erişilemedi olarak işaretlenecek.</x:v>
      </x:c>
    </x:row>
    <x:row r="1266" ht="40" customHeight="1">
      <x:c r="A1266" s="16" t="str">
        <x:v>Oze Kahve</x:v>
      </x:c>
      <x:c r="B1266" s="16" t="str">
        <x:v>Ankara</x:v>
      </x:c>
      <x:c r="C1266" s="16" t="str">
        <x:v>Doğrulandı</x:v>
      </x:c>
      <x:c r="D1266" s="16" t="str">
        <x:v>Ürün kaydı</x:v>
      </x:c>
      <x:c r="E1266" s="16" t="str">
        <x:v>Böğürtlen Şurubu 75 cl</x:v>
      </x:c>
      <x:c r="F1266" s="16" t="str">
        <x:v>Menşe belirtilmemiş</x:v>
      </x:c>
      <x:c r="G1266" s="17" t="str">
        <x:v>Erişilemedi</x:v>
      </x:c>
      <x:c r="H1266" s="16" t="str">
        <x:v>Erişilemedi</x:v>
      </x:c>
      <x:c r="I1266" s="18" t="n">
        <x:v>0</x:v>
      </x:c>
      <x:c r="J1266" s="18" t="str">
        <x:v>Erişilemedi</x:v>
      </x:c>
      <x:c r="K1266" s="18" t="str">
        <x:f>IF(AND(ISNUMBER(G1266),ISNUMBER(I1266)),I1266/G1266*1000,"Erişilemedi")</x:f>
        <x:v>Erişilemedi</x:v>
      </x:c>
      <x:c r="L1266" s="16" t="str">
        <x:v>Belirsiz</x:v>
      </x:c>
      <x:c r="M1266" s="16" t="str">
        <x:v>Kahve ürünü</x:v>
      </x:c>
      <x:c r="N1266" s="16" t="str">
        <x:v>Site haritası ürün sayfası</x:v>
      </x:c>
      <x:c r="O1266" s="16" t="str">
        <x:v>Düşük</x:v>
      </x:c>
      <x:c r="P1266" s="19" t="n">
        <x:v>46245</x:v>
      </x:c>
      <x:c r="Q1266" s="20" t="str">
        <x:v>https://www.ozekahve.com.tr/bogurtlen-surubu-75cl</x:v>
      </x:c>
      <x:c r="R1266" s="20" t="str">
        <x:v>Ürün kimliği korundu; eksik alanlar erişilemedi olarak işaretlenecek.</x:v>
      </x:c>
    </x:row>
    <x:row r="1267" ht="40" customHeight="1">
      <x:c r="A1267" s="16" t="str">
        <x:v>Oze Kahve</x:v>
      </x:c>
      <x:c r="B1267" s="16" t="str">
        <x:v>Ankara</x:v>
      </x:c>
      <x:c r="C1267" s="16" t="str">
        <x:v>Doğrulandı</x:v>
      </x:c>
      <x:c r="D1267" s="16" t="str">
        <x:v>Ürün kaydı</x:v>
      </x:c>
      <x:c r="E1267" s="16" t="str">
        <x:v>Böğürtlenli Frappe Tozu 1000 g</x:v>
      </x:c>
      <x:c r="F1267" s="16" t="str">
        <x:v>Menşe belirtilmemiş</x:v>
      </x:c>
      <x:c r="G1267" s="17" t="n">
        <x:v>1000</x:v>
      </x:c>
      <x:c r="H1267" s="16" t="str">
        <x:v>Erişildi</x:v>
      </x:c>
      <x:c r="I1267" s="18" t="n">
        <x:v>0</x:v>
      </x:c>
      <x:c r="J1267" s="18" t="str">
        <x:v>Erişilemedi</x:v>
      </x:c>
      <x:c r="K1267" s="18" t="n">
        <x:f>IF(AND(ISNUMBER(G1267),ISNUMBER(I1267)),I1267/G1267*1000,"Erişilemedi")</x:f>
        <x:v>0</x:v>
      </x:c>
      <x:c r="L1267" s="16" t="str">
        <x:v>Belirsiz</x:v>
      </x:c>
      <x:c r="M1267" s="16" t="str">
        <x:v>Kahve ürünü</x:v>
      </x:c>
      <x:c r="N1267" s="16" t="str">
        <x:v>Site haritası ürün sayfası</x:v>
      </x:c>
      <x:c r="O1267" s="16" t="str">
        <x:v>Düşük</x:v>
      </x:c>
      <x:c r="P1267" s="19" t="n">
        <x:v>46245</x:v>
      </x:c>
      <x:c r="Q1267" s="20" t="str">
        <x:v>https://www.ozekahve.com.tr/bogurtlenli-frappe-tozu-1000g</x:v>
      </x:c>
      <x:c r="R1267" s="20" t="str">
        <x:v>Ürün kimliği korundu; eksik alanlar erişilemedi olarak işaretlenecek.</x:v>
      </x:c>
    </x:row>
    <x:row r="1268" ht="40" customHeight="1">
      <x:c r="A1268" s="16" t="str">
        <x:v>Oze Kahve</x:v>
      </x:c>
      <x:c r="B1268" s="16" t="str">
        <x:v>Ankara</x:v>
      </x:c>
      <x:c r="C1268" s="16" t="str">
        <x:v>Doğrulandı</x:v>
      </x:c>
      <x:c r="D1268" s="16" t="str">
        <x:v>Ürün kaydı</x:v>
      </x:c>
      <x:c r="E1268" s="16" t="str">
        <x:v>Böğürtlenli Frappe Tozu 250 g</x:v>
      </x:c>
      <x:c r="F1268" s="16" t="str">
        <x:v>Menşe belirtilmemiş</x:v>
      </x:c>
      <x:c r="G1268" s="17" t="n">
        <x:v>250</x:v>
      </x:c>
      <x:c r="H1268" s="16" t="str">
        <x:v>Erişildi</x:v>
      </x:c>
      <x:c r="I1268" s="18" t="n">
        <x:v>0</x:v>
      </x:c>
      <x:c r="J1268" s="18" t="str">
        <x:v>Erişilemedi</x:v>
      </x:c>
      <x:c r="K1268" s="18" t="n">
        <x:f>IF(AND(ISNUMBER(G1268),ISNUMBER(I1268)),I1268/G1268*1000,"Erişilemedi")</x:f>
        <x:v>0</x:v>
      </x:c>
      <x:c r="L1268" s="16" t="str">
        <x:v>Belirsiz</x:v>
      </x:c>
      <x:c r="M1268" s="16" t="str">
        <x:v>Kahve ürünü</x:v>
      </x:c>
      <x:c r="N1268" s="16" t="str">
        <x:v>Site haritası ürün sayfası</x:v>
      </x:c>
      <x:c r="O1268" s="16" t="str">
        <x:v>Düşük</x:v>
      </x:c>
      <x:c r="P1268" s="19" t="n">
        <x:v>46245</x:v>
      </x:c>
      <x:c r="Q1268" s="20" t="str">
        <x:v>https://www.ozekahve.com.tr/bogurtlenli-frappe-tozu-250g</x:v>
      </x:c>
      <x:c r="R1268" s="20" t="str">
        <x:v>Ürün kimliği korundu; eksik alanlar erişilemedi olarak işaretlenecek.</x:v>
      </x:c>
    </x:row>
    <x:row r="1269" ht="40" customHeight="1">
      <x:c r="A1269" s="16" t="str">
        <x:v>Oze Kahve</x:v>
      </x:c>
      <x:c r="B1269" s="16" t="str"/>
      <x:c r="C1269" s="16" t="str">
        <x:v>Pilot doğrulaması</x:v>
      </x:c>
      <x:c r="D1269" s="16" t="str">
        <x:v>Ürün kaydı</x:v>
      </x:c>
      <x:c r="E1269" s="16" t="str">
        <x:v>Brazil Santos Filtre</x:v>
      </x:c>
      <x:c r="F1269" s="16" t="str">
        <x:v>Brezilya</x:v>
      </x:c>
      <x:c r="G1269" s="17" t="n">
        <x:v>250</x:v>
      </x:c>
      <x:c r="H1269" s="16" t="str">
        <x:v>Erişildi</x:v>
      </x:c>
      <x:c r="I1269" s="18" t="n">
        <x:v>362.4</x:v>
      </x:c>
      <x:c r="J1269" s="18" t="str">
        <x:v>Erişildi</x:v>
      </x:c>
      <x:c r="K1269" s="18" t="n">
        <x:f>IF(AND(ISNUMBER(G1269),ISNUMBER(I1269)),I1269/G1269*1000,"Erişilemedi")</x:f>
        <x:v>1449.6</x:v>
      </x:c>
      <x:c r="L1269" s="16" t="str">
        <x:v>Stokta</x:v>
      </x:c>
      <x:c r="M1269" s="16" t="str">
        <x:v>Tek köken</x:v>
      </x:c>
      <x:c r="N1269" s="16" t="str">
        <x:v>Pilot manuel/API doğrulaması</x:v>
      </x:c>
      <x:c r="O1269" s="16" t="str">
        <x:v>Yüksek</x:v>
      </x:c>
      <x:c r="P1269" s="19" t="n">
        <x:v>46245</x:v>
      </x:c>
      <x:c r="Q1269" s="20" t="str">
        <x:v>https://www.ozekahve.com.tr/brazil-santos-filtre-kahve-250g</x:v>
      </x:c>
      <x:c r="R1269" s="20" t="str"/>
    </x:row>
    <x:row r="1270" ht="40" customHeight="1">
      <x:c r="A1270" s="16" t="str">
        <x:v>Oze Kahve</x:v>
      </x:c>
      <x:c r="B1270" s="16" t="str">
        <x:v>Ankara</x:v>
      </x:c>
      <x:c r="C1270" s="16" t="str">
        <x:v>Doğrulandı</x:v>
      </x:c>
      <x:c r="D1270" s="16" t="str">
        <x:v>Ürün kaydı</x:v>
      </x:c>
      <x:c r="E1270" s="16" t="str">
        <x:v>Brazil Santos Filtre Kahve 2 x 250 g</x:v>
      </x:c>
      <x:c r="F1270" s="16" t="str">
        <x:v>Brezilya</x:v>
      </x:c>
      <x:c r="G1270" s="17" t="n">
        <x:v>250</x:v>
      </x:c>
      <x:c r="H1270" s="16" t="str">
        <x:v>Erişildi</x:v>
      </x:c>
      <x:c r="I1270" s="18" t="n">
        <x:v>0</x:v>
      </x:c>
      <x:c r="J1270" s="18" t="str">
        <x:v>Erişilemedi</x:v>
      </x:c>
      <x:c r="K1270" s="18" t="n">
        <x:f>IF(AND(ISNUMBER(G1270),ISNUMBER(I1270)),I1270/G1270*1000,"Erişilemedi")</x:f>
        <x:v>0</x:v>
      </x:c>
      <x:c r="L1270" s="16" t="str">
        <x:v>Belirsiz</x:v>
      </x:c>
      <x:c r="M1270" s="16" t="str">
        <x:v>Kahve ürünü</x:v>
      </x:c>
      <x:c r="N1270" s="16" t="str">
        <x:v>Site haritası ürün sayfası</x:v>
      </x:c>
      <x:c r="O1270" s="16" t="str">
        <x:v>Düşük</x:v>
      </x:c>
      <x:c r="P1270" s="19" t="n">
        <x:v>46245</x:v>
      </x:c>
      <x:c r="Q1270" s="20" t="str">
        <x:v>https://www.ozekahve.com.tr/brazil-santos-filtre-kahve-2li-250g</x:v>
      </x:c>
      <x:c r="R1270" s="20" t="str">
        <x:v>Ürün kimliği korundu; eksik alanlar erişilemedi olarak işaretlenecek.</x:v>
      </x:c>
    </x:row>
    <x:row r="1271" ht="40" customHeight="1">
      <x:c r="A1271" s="16" t="str">
        <x:v>Oze Kahve</x:v>
      </x:c>
      <x:c r="B1271" s="16" t="str">
        <x:v>Ankara</x:v>
      </x:c>
      <x:c r="C1271" s="16" t="str">
        <x:v>Doğrulandı</x:v>
      </x:c>
      <x:c r="D1271" s="16" t="str">
        <x:v>Ürün kaydı</x:v>
      </x:c>
      <x:c r="E1271" s="16" t="str">
        <x:v>Brazil Santos Filtre Kahve 250 g</x:v>
      </x:c>
      <x:c r="F1271" s="16" t="str">
        <x:v>Brezilya</x:v>
      </x:c>
      <x:c r="G1271" s="17" t="n">
        <x:v>250</x:v>
      </x:c>
      <x:c r="H1271" s="16" t="str">
        <x:v>Erişildi</x:v>
      </x:c>
      <x:c r="I1271" s="18" t="n">
        <x:v>0</x:v>
      </x:c>
      <x:c r="J1271" s="18" t="str">
        <x:v>Erişilemedi</x:v>
      </x:c>
      <x:c r="K1271" s="18" t="n">
        <x:f>IF(AND(ISNUMBER(G1271),ISNUMBER(I1271)),I1271/G1271*1000,"Erişilemedi")</x:f>
        <x:v>0</x:v>
      </x:c>
      <x:c r="L1271" s="16" t="str">
        <x:v>Belirsiz</x:v>
      </x:c>
      <x:c r="M1271" s="16" t="str">
        <x:v>Kahve ürünü</x:v>
      </x:c>
      <x:c r="N1271" s="16" t="str">
        <x:v>Site haritası ürün sayfası</x:v>
      </x:c>
      <x:c r="O1271" s="16" t="str">
        <x:v>Düşük</x:v>
      </x:c>
      <x:c r="P1271" s="19" t="n">
        <x:v>46245</x:v>
      </x:c>
      <x:c r="Q1271" s="20" t="str">
        <x:v>https://www.ozekahve.com.tr/brazil-santos-filtre-kahve-250g</x:v>
      </x:c>
      <x:c r="R1271" s="20" t="str">
        <x:v>Ürün kimliği korundu; eksik alanlar erişilemedi olarak işaretlenecek.</x:v>
      </x:c>
    </x:row>
    <x:row r="1272" ht="40" customHeight="1">
      <x:c r="A1272" s="16" t="str">
        <x:v>Oze Kahve</x:v>
      </x:c>
      <x:c r="B1272" s="16" t="str">
        <x:v>Ankara</x:v>
      </x:c>
      <x:c r="C1272" s="16" t="str">
        <x:v>Doğrulandı</x:v>
      </x:c>
      <x:c r="D1272" s="16" t="str">
        <x:v>Ürün kaydı</x:v>
      </x:c>
      <x:c r="E1272" s="16" t="str">
        <x:v>Colombian Supremo Filtre Kahve 2 x 250 g</x:v>
      </x:c>
      <x:c r="F1272" s="16" t="str">
        <x:v>Kolombiya</x:v>
      </x:c>
      <x:c r="G1272" s="17" t="n">
        <x:v>250</x:v>
      </x:c>
      <x:c r="H1272" s="16" t="str">
        <x:v>Erişildi</x:v>
      </x:c>
      <x:c r="I1272" s="18" t="n">
        <x:v>0</x:v>
      </x:c>
      <x:c r="J1272" s="18" t="str">
        <x:v>Erişilemedi</x:v>
      </x:c>
      <x:c r="K1272" s="18" t="n">
        <x:f>IF(AND(ISNUMBER(G1272),ISNUMBER(I1272)),I1272/G1272*1000,"Erişilemedi")</x:f>
        <x:v>0</x:v>
      </x:c>
      <x:c r="L1272" s="16" t="str">
        <x:v>Belirsiz</x:v>
      </x:c>
      <x:c r="M1272" s="16" t="str">
        <x:v>Kahve ürünü</x:v>
      </x:c>
      <x:c r="N1272" s="16" t="str">
        <x:v>Site haritası ürün sayfası</x:v>
      </x:c>
      <x:c r="O1272" s="16" t="str">
        <x:v>Düşük</x:v>
      </x:c>
      <x:c r="P1272" s="19" t="n">
        <x:v>46245</x:v>
      </x:c>
      <x:c r="Q1272" s="20" t="str">
        <x:v>https://www.ozekahve.com.tr/colombian-supremo-filtre-kahve-2li-250g</x:v>
      </x:c>
      <x:c r="R1272" s="20" t="str">
        <x:v>Ürün kimliği korundu; eksik alanlar erişilemedi olarak işaretlenecek.</x:v>
      </x:c>
    </x:row>
    <x:row r="1273" ht="40" customHeight="1">
      <x:c r="A1273" s="16" t="str">
        <x:v>Oze Kahve</x:v>
      </x:c>
      <x:c r="B1273" s="16" t="str">
        <x:v>Ankara</x:v>
      </x:c>
      <x:c r="C1273" s="16" t="str">
        <x:v>Doğrulandı</x:v>
      </x:c>
      <x:c r="D1273" s="16" t="str">
        <x:v>Ürün kaydı</x:v>
      </x:c>
      <x:c r="E1273" s="16" t="str">
        <x:v>Colombian Supremo Filtre Kahve 250 g</x:v>
      </x:c>
      <x:c r="F1273" s="16" t="str">
        <x:v>Kolombiya</x:v>
      </x:c>
      <x:c r="G1273" s="17" t="n">
        <x:v>250</x:v>
      </x:c>
      <x:c r="H1273" s="16" t="str">
        <x:v>Erişildi</x:v>
      </x:c>
      <x:c r="I1273" s="18" t="n">
        <x:v>0</x:v>
      </x:c>
      <x:c r="J1273" s="18" t="str">
        <x:v>Erişilemedi</x:v>
      </x:c>
      <x:c r="K1273" s="18" t="n">
        <x:f>IF(AND(ISNUMBER(G1273),ISNUMBER(I1273)),I1273/G1273*1000,"Erişilemedi")</x:f>
        <x:v>0</x:v>
      </x:c>
      <x:c r="L1273" s="16" t="str">
        <x:v>Belirsiz</x:v>
      </x:c>
      <x:c r="M1273" s="16" t="str">
        <x:v>Kahve ürünü</x:v>
      </x:c>
      <x:c r="N1273" s="16" t="str">
        <x:v>Site haritası ürün sayfası</x:v>
      </x:c>
      <x:c r="O1273" s="16" t="str">
        <x:v>Düşük</x:v>
      </x:c>
      <x:c r="P1273" s="19" t="n">
        <x:v>46245</x:v>
      </x:c>
      <x:c r="Q1273" s="20" t="str">
        <x:v>https://www.ozekahve.com.tr/colombian-supremo-filtre-kahve-250g</x:v>
      </x:c>
      <x:c r="R1273" s="20" t="str">
        <x:v>Ürün kimliği korundu; eksik alanlar erişilemedi olarak işaretlenecek.</x:v>
      </x:c>
    </x:row>
    <x:row r="1274" ht="40" customHeight="1">
      <x:c r="A1274" s="16" t="str">
        <x:v>Oze Kahve</x:v>
      </x:c>
      <x:c r="B1274" s="16" t="str"/>
      <x:c r="C1274" s="16" t="str">
        <x:v>Pilot doğrulaması</x:v>
      </x:c>
      <x:c r="D1274" s="16" t="str">
        <x:v>Ürün kaydı</x:v>
      </x:c>
      <x:c r="E1274" s="16" t="str">
        <x:v>Çikolata Aromalı Filtre</x:v>
      </x:c>
      <x:c r="F1274" s="16" t="str">
        <x:v>Latin Amerika harmanı</x:v>
      </x:c>
      <x:c r="G1274" s="17" t="n">
        <x:v>250</x:v>
      </x:c>
      <x:c r="H1274" s="16" t="str">
        <x:v>Erişildi</x:v>
      </x:c>
      <x:c r="I1274" s="18" t="n">
        <x:v>444</x:v>
      </x:c>
      <x:c r="J1274" s="18" t="str">
        <x:v>Erişildi</x:v>
      </x:c>
      <x:c r="K1274" s="18" t="n">
        <x:f>IF(AND(ISNUMBER(G1274),ISNUMBER(I1274)),I1274/G1274*1000,"Erişilemedi")</x:f>
        <x:v>1776</x:v>
      </x:c>
      <x:c r="L1274" s="16" t="str">
        <x:v>Stokta</x:v>
      </x:c>
      <x:c r="M1274" s="16" t="str">
        <x:v>Aromalı kahve</x:v>
      </x:c>
      <x:c r="N1274" s="16" t="str">
        <x:v>Pilot manuel/API doğrulaması</x:v>
      </x:c>
      <x:c r="O1274" s="16" t="str">
        <x:v>Yüksek</x:v>
      </x:c>
      <x:c r="P1274" s="19" t="n">
        <x:v>46245</x:v>
      </x:c>
      <x:c r="Q1274" s="20" t="str">
        <x:v>https://www.ozekahve.com.tr/cikolata-aromali-filtre-kahve-250g</x:v>
      </x:c>
      <x:c r="R1274" s="20" t="str"/>
    </x:row>
    <x:row r="1275" ht="40" customHeight="1">
      <x:c r="A1275" s="16" t="str">
        <x:v>Oze Kahve</x:v>
      </x:c>
      <x:c r="B1275" s="16" t="str">
        <x:v>Ankara</x:v>
      </x:c>
      <x:c r="C1275" s="16" t="str">
        <x:v>Doğrulandı</x:v>
      </x:c>
      <x:c r="D1275" s="16" t="str">
        <x:v>Ürün kaydı</x:v>
      </x:c>
      <x:c r="E1275" s="16" t="str">
        <x:v>Dağ Çileği Aromalı Türk Kahvesi 100 g</x:v>
      </x:c>
      <x:c r="F1275" s="16" t="str">
        <x:v>Menşe belirtilmemiş</x:v>
      </x:c>
      <x:c r="G1275" s="17" t="n">
        <x:v>100</x:v>
      </x:c>
      <x:c r="H1275" s="16" t="str">
        <x:v>Erişildi</x:v>
      </x:c>
      <x:c r="I1275" s="18" t="n">
        <x:v>0</x:v>
      </x:c>
      <x:c r="J1275" s="18" t="str">
        <x:v>Erişilemedi</x:v>
      </x:c>
      <x:c r="K1275" s="18" t="n">
        <x:f>IF(AND(ISNUMBER(G1275),ISNUMBER(I1275)),I1275/G1275*1000,"Erişilemedi")</x:f>
        <x:v>0</x:v>
      </x:c>
      <x:c r="L1275" s="16" t="str">
        <x:v>Belirsiz</x:v>
      </x:c>
      <x:c r="M1275" s="16" t="str">
        <x:v>Kahve ürünü</x:v>
      </x:c>
      <x:c r="N1275" s="16" t="str">
        <x:v>Site haritası ürün sayfası</x:v>
      </x:c>
      <x:c r="O1275" s="16" t="str">
        <x:v>Düşük</x:v>
      </x:c>
      <x:c r="P1275" s="19" t="n">
        <x:v>46245</x:v>
      </x:c>
      <x:c r="Q1275" s="20" t="str">
        <x:v>https://www.ozekahve.com.tr/dag-cilegi-aromali-turk-kahvesi-100g</x:v>
      </x:c>
      <x:c r="R1275" s="20" t="str">
        <x:v>Ürün kimliği korundu; eksik alanlar erişilemedi olarak işaretlenecek.</x:v>
      </x:c>
    </x:row>
    <x:row r="1276" ht="40" customHeight="1">
      <x:c r="A1276" s="16" t="str">
        <x:v>Oze Kahve</x:v>
      </x:c>
      <x:c r="B1276" s="16" t="str">
        <x:v>Ankara</x:v>
      </x:c>
      <x:c r="C1276" s="16" t="str">
        <x:v>Doğrulandı</x:v>
      </x:c>
      <x:c r="D1276" s="16" t="str">
        <x:v>Ürün kaydı</x:v>
      </x:c>
      <x:c r="E1276" s="16" t="str">
        <x:v>Dağ Çileği Aromalı Türk Kahvesi 5 x 100 g</x:v>
      </x:c>
      <x:c r="F1276" s="16" t="str">
        <x:v>Menşe belirtilmemiş</x:v>
      </x:c>
      <x:c r="G1276" s="17" t="n">
        <x:v>100</x:v>
      </x:c>
      <x:c r="H1276" s="16" t="str">
        <x:v>Erişildi</x:v>
      </x:c>
      <x:c r="I1276" s="18" t="n">
        <x:v>0</x:v>
      </x:c>
      <x:c r="J1276" s="18" t="str">
        <x:v>Erişilemedi</x:v>
      </x:c>
      <x:c r="K1276" s="18" t="n">
        <x:f>IF(AND(ISNUMBER(G1276),ISNUMBER(I1276)),I1276/G1276*1000,"Erişilemedi")</x:f>
        <x:v>0</x:v>
      </x:c>
      <x:c r="L1276" s="16" t="str">
        <x:v>Belirsiz</x:v>
      </x:c>
      <x:c r="M1276" s="16" t="str">
        <x:v>Kahve ürünü</x:v>
      </x:c>
      <x:c r="N1276" s="16" t="str">
        <x:v>Site haritası ürün sayfası</x:v>
      </x:c>
      <x:c r="O1276" s="16" t="str">
        <x:v>Düşük</x:v>
      </x:c>
      <x:c r="P1276" s="19" t="n">
        <x:v>46245</x:v>
      </x:c>
      <x:c r="Q1276" s="20" t="str">
        <x:v>https://www.ozekahve.com.tr/dag-cilegi-aromali-turk-kahvesi-5li-100g</x:v>
      </x:c>
      <x:c r="R1276" s="20" t="str">
        <x:v>Ürün kimliği korundu; eksik alanlar erişilemedi olarak işaretlenecek.</x:v>
      </x:c>
    </x:row>
    <x:row r="1277" ht="40" customHeight="1">
      <x:c r="A1277" s="16" t="str">
        <x:v>Oze Kahve</x:v>
      </x:c>
      <x:c r="B1277" s="16" t="str">
        <x:v>Ankara</x:v>
      </x:c>
      <x:c r="C1277" s="16" t="str">
        <x:v>Doğrulandı</x:v>
      </x:c>
      <x:c r="D1277" s="16" t="str">
        <x:v>Ürün kaydı</x:v>
      </x:c>
      <x:c r="E1277" s="16" t="str">
        <x:v>Damla Sakızı Şurubu 50 cc</x:v>
      </x:c>
      <x:c r="F1277" s="16" t="str">
        <x:v>Menşe belirtilmemiş</x:v>
      </x:c>
      <x:c r="G1277" s="17" t="str">
        <x:v>Erişilemedi</x:v>
      </x:c>
      <x:c r="H1277" s="16" t="str">
        <x:v>Erişilemedi</x:v>
      </x:c>
      <x:c r="I1277" s="18" t="n">
        <x:v>0</x:v>
      </x:c>
      <x:c r="J1277" s="18" t="str">
        <x:v>Erişilemedi</x:v>
      </x:c>
      <x:c r="K1277" s="18" t="str">
        <x:f>IF(AND(ISNUMBER(G1277),ISNUMBER(I1277)),I1277/G1277*1000,"Erişilemedi")</x:f>
        <x:v>Erişilemedi</x:v>
      </x:c>
      <x:c r="L1277" s="16" t="str">
        <x:v>Belirsiz</x:v>
      </x:c>
      <x:c r="M1277" s="16" t="str">
        <x:v>Kahve ürünü</x:v>
      </x:c>
      <x:c r="N1277" s="16" t="str">
        <x:v>Site haritası ürün sayfası</x:v>
      </x:c>
      <x:c r="O1277" s="16" t="str">
        <x:v>Düşük</x:v>
      </x:c>
      <x:c r="P1277" s="19" t="n">
        <x:v>46245</x:v>
      </x:c>
      <x:c r="Q1277" s="20" t="str">
        <x:v>https://www.ozekahve.com.tr/damla-sakizi-surubu-50cc</x:v>
      </x:c>
      <x:c r="R1277" s="20" t="str">
        <x:v>Ürün kimliği korundu; eksik alanlar erişilemedi olarak işaretlenecek.</x:v>
      </x:c>
    </x:row>
    <x:row r="1278" ht="40" customHeight="1">
      <x:c r="A1278" s="16" t="str">
        <x:v>Oze Kahve</x:v>
      </x:c>
      <x:c r="B1278" s="16" t="str">
        <x:v>Ankara</x:v>
      </x:c>
      <x:c r="C1278" s="16" t="str">
        <x:v>Doğrulandı</x:v>
      </x:c>
      <x:c r="D1278" s="16" t="str">
        <x:v>Ürün kaydı</x:v>
      </x:c>
      <x:c r="E1278" s="16" t="str">
        <x:v>Damla Sakızı Şurubu 6 x 75 cl</x:v>
      </x:c>
      <x:c r="F1278" s="16" t="str">
        <x:v>Menşe belirtilmemiş</x:v>
      </x:c>
      <x:c r="G1278" s="17" t="str">
        <x:v>Erişilemedi</x:v>
      </x:c>
      <x:c r="H1278" s="16" t="str">
        <x:v>Erişilemedi</x:v>
      </x:c>
      <x:c r="I1278" s="18" t="n">
        <x:v>0</x:v>
      </x:c>
      <x:c r="J1278" s="18" t="str">
        <x:v>Erişilemedi</x:v>
      </x:c>
      <x:c r="K1278" s="18" t="str">
        <x:f>IF(AND(ISNUMBER(G1278),ISNUMBER(I1278)),I1278/G1278*1000,"Erişilemedi")</x:f>
        <x:v>Erişilemedi</x:v>
      </x:c>
      <x:c r="L1278" s="16" t="str">
        <x:v>Belirsiz</x:v>
      </x:c>
      <x:c r="M1278" s="16" t="str">
        <x:v>Kahve ürünü</x:v>
      </x:c>
      <x:c r="N1278" s="16" t="str">
        <x:v>Site haritası ürün sayfası</x:v>
      </x:c>
      <x:c r="O1278" s="16" t="str">
        <x:v>Düşük</x:v>
      </x:c>
      <x:c r="P1278" s="19" t="n">
        <x:v>46245</x:v>
      </x:c>
      <x:c r="Q1278" s="20" t="str">
        <x:v>https://www.ozekahve.com.tr/damla-sakizi-surubu-6li-75cl</x:v>
      </x:c>
      <x:c r="R1278" s="20" t="str">
        <x:v>Ürün kimliği korundu; eksik alanlar erişilemedi olarak işaretlenecek.</x:v>
      </x:c>
    </x:row>
    <x:row r="1279" ht="40" customHeight="1">
      <x:c r="A1279" s="16" t="str">
        <x:v>Oze Kahve</x:v>
      </x:c>
      <x:c r="B1279" s="16" t="str">
        <x:v>Ankara</x:v>
      </x:c>
      <x:c r="C1279" s="16" t="str">
        <x:v>Doğrulandı</x:v>
      </x:c>
      <x:c r="D1279" s="16" t="str">
        <x:v>Ürün kaydı</x:v>
      </x:c>
      <x:c r="E1279" s="16" t="str">
        <x:v>Damla Sakızı Şurubu 75 cl</x:v>
      </x:c>
      <x:c r="F1279" s="16" t="str">
        <x:v>Menşe belirtilmemiş</x:v>
      </x:c>
      <x:c r="G1279" s="17" t="str">
        <x:v>Erişilemedi</x:v>
      </x:c>
      <x:c r="H1279" s="16" t="str">
        <x:v>Erişilemedi</x:v>
      </x:c>
      <x:c r="I1279" s="18" t="n">
        <x:v>0</x:v>
      </x:c>
      <x:c r="J1279" s="18" t="str">
        <x:v>Erişilemedi</x:v>
      </x:c>
      <x:c r="K1279" s="18" t="str">
        <x:f>IF(AND(ISNUMBER(G1279),ISNUMBER(I1279)),I1279/G1279*1000,"Erişilemedi")</x:f>
        <x:v>Erişilemedi</x:v>
      </x:c>
      <x:c r="L1279" s="16" t="str">
        <x:v>Belirsiz</x:v>
      </x:c>
      <x:c r="M1279" s="16" t="str">
        <x:v>Kahve ürünü</x:v>
      </x:c>
      <x:c r="N1279" s="16" t="str">
        <x:v>Site haritası ürün sayfası</x:v>
      </x:c>
      <x:c r="O1279" s="16" t="str">
        <x:v>Düşük</x:v>
      </x:c>
      <x:c r="P1279" s="19" t="n">
        <x:v>46245</x:v>
      </x:c>
      <x:c r="Q1279" s="20" t="str">
        <x:v>https://www.ozekahve.com.tr/damla-sakizi-surubu-75cl</x:v>
      </x:c>
      <x:c r="R1279" s="20" t="str">
        <x:v>Ürün kimliği korundu; eksik alanlar erişilemedi olarak işaretlenecek.</x:v>
      </x:c>
    </x:row>
    <x:row r="1280" ht="40" customHeight="1">
      <x:c r="A1280" s="16" t="str">
        <x:v>Oze Kahve</x:v>
      </x:c>
      <x:c r="B1280" s="16" t="str">
        <x:v>Ankara</x:v>
      </x:c>
      <x:c r="C1280" s="16" t="str">
        <x:v>Doğrulandı</x:v>
      </x:c>
      <x:c r="D1280" s="16" t="str">
        <x:v>Ürün kaydı</x:v>
      </x:c>
      <x:c r="E1280" s="16" t="str">
        <x:v>Damla Sakızlı Türk Kahvesi 10 x 100 g</x:v>
      </x:c>
      <x:c r="F1280" s="16" t="str">
        <x:v>Menşe belirtilmemiş</x:v>
      </x:c>
      <x:c r="G1280" s="17" t="n">
        <x:v>100</x:v>
      </x:c>
      <x:c r="H1280" s="16" t="str">
        <x:v>Erişildi</x:v>
      </x:c>
      <x:c r="I1280" s="18" t="n">
        <x:v>0</x:v>
      </x:c>
      <x:c r="J1280" s="18" t="str">
        <x:v>Erişilemedi</x:v>
      </x:c>
      <x:c r="K1280" s="18" t="n">
        <x:f>IF(AND(ISNUMBER(G1280),ISNUMBER(I1280)),I1280/G1280*1000,"Erişilemedi")</x:f>
        <x:v>0</x:v>
      </x:c>
      <x:c r="L1280" s="16" t="str">
        <x:v>Belirsiz</x:v>
      </x:c>
      <x:c r="M1280" s="16" t="str">
        <x:v>Kahve ürünü</x:v>
      </x:c>
      <x:c r="N1280" s="16" t="str">
        <x:v>Site haritası ürün sayfası</x:v>
      </x:c>
      <x:c r="O1280" s="16" t="str">
        <x:v>Düşük</x:v>
      </x:c>
      <x:c r="P1280" s="19" t="n">
        <x:v>46245</x:v>
      </x:c>
      <x:c r="Q1280" s="20" t="str">
        <x:v>https://www.ozekahve.com.tr/damla-sakizli-turk-kahvesi-10lu-100g</x:v>
      </x:c>
      <x:c r="R1280" s="20" t="str">
        <x:v>Ürün kimliği korundu; eksik alanlar erişilemedi olarak işaretlenecek.</x:v>
      </x:c>
    </x:row>
    <x:row r="1281" ht="40" customHeight="1">
      <x:c r="A1281" s="16" t="str">
        <x:v>Oze Kahve</x:v>
      </x:c>
      <x:c r="B1281" s="16" t="str">
        <x:v>Ankara</x:v>
      </x:c>
      <x:c r="C1281" s="16" t="str">
        <x:v>Doğrulandı</x:v>
      </x:c>
      <x:c r="D1281" s="16" t="str">
        <x:v>Ürün kaydı</x:v>
      </x:c>
      <x:c r="E1281" s="16" t="str">
        <x:v>Damla Sakızlı Türk Kahvesi 100 g</x:v>
      </x:c>
      <x:c r="F1281" s="16" t="str">
        <x:v>Menşe belirtilmemiş</x:v>
      </x:c>
      <x:c r="G1281" s="17" t="n">
        <x:v>100</x:v>
      </x:c>
      <x:c r="H1281" s="16" t="str">
        <x:v>Erişildi</x:v>
      </x:c>
      <x:c r="I1281" s="18" t="n">
        <x:v>0</x:v>
      </x:c>
      <x:c r="J1281" s="18" t="str">
        <x:v>Erişilemedi</x:v>
      </x:c>
      <x:c r="K1281" s="18" t="n">
        <x:f>IF(AND(ISNUMBER(G1281),ISNUMBER(I1281)),I1281/G1281*1000,"Erişilemedi")</x:f>
        <x:v>0</x:v>
      </x:c>
      <x:c r="L1281" s="16" t="str">
        <x:v>Belirsiz</x:v>
      </x:c>
      <x:c r="M1281" s="16" t="str">
        <x:v>Kahve ürünü</x:v>
      </x:c>
      <x:c r="N1281" s="16" t="str">
        <x:v>Site haritası ürün sayfası</x:v>
      </x:c>
      <x:c r="O1281" s="16" t="str">
        <x:v>Düşük</x:v>
      </x:c>
      <x:c r="P1281" s="19" t="n">
        <x:v>46245</x:v>
      </x:c>
      <x:c r="Q1281" s="20" t="str">
        <x:v>https://www.ozekahve.com.tr/damla-sakizli-turk-kahvesi-100g</x:v>
      </x:c>
      <x:c r="R1281" s="20" t="str">
        <x:v>Ürün kimliği korundu; eksik alanlar erişilemedi olarak işaretlenecek.</x:v>
      </x:c>
    </x:row>
    <x:row r="1282" ht="40" customHeight="1">
      <x:c r="A1282" s="16" t="str">
        <x:v>Oze Kahve</x:v>
      </x:c>
      <x:c r="B1282" s="16" t="str">
        <x:v>Ankara</x:v>
      </x:c>
      <x:c r="C1282" s="16" t="str">
        <x:v>Doğrulandı</x:v>
      </x:c>
      <x:c r="D1282" s="16" t="str">
        <x:v>Ürün kaydı</x:v>
      </x:c>
      <x:c r="E1282" s="16" t="str">
        <x:v>Damla Sakızlı Türk Kahvesi 5 x 100 g</x:v>
      </x:c>
      <x:c r="F1282" s="16" t="str">
        <x:v>Menşe belirtilmemiş</x:v>
      </x:c>
      <x:c r="G1282" s="17" t="n">
        <x:v>100</x:v>
      </x:c>
      <x:c r="H1282" s="16" t="str">
        <x:v>Erişildi</x:v>
      </x:c>
      <x:c r="I1282" s="18" t="n">
        <x:v>0</x:v>
      </x:c>
      <x:c r="J1282" s="18" t="str">
        <x:v>Erişilemedi</x:v>
      </x:c>
      <x:c r="K1282" s="18" t="n">
        <x:f>IF(AND(ISNUMBER(G1282),ISNUMBER(I1282)),I1282/G1282*1000,"Erişilemedi")</x:f>
        <x:v>0</x:v>
      </x:c>
      <x:c r="L1282" s="16" t="str">
        <x:v>Belirsiz</x:v>
      </x:c>
      <x:c r="M1282" s="16" t="str">
        <x:v>Kahve ürünü</x:v>
      </x:c>
      <x:c r="N1282" s="16" t="str">
        <x:v>Site haritası ürün sayfası</x:v>
      </x:c>
      <x:c r="O1282" s="16" t="str">
        <x:v>Düşük</x:v>
      </x:c>
      <x:c r="P1282" s="19" t="n">
        <x:v>46245</x:v>
      </x:c>
      <x:c r="Q1282" s="20" t="str">
        <x:v>https://www.ozekahve.com.tr/damla-sakizli-turk-kahvesi-5li-100g</x:v>
      </x:c>
      <x:c r="R1282" s="20" t="str">
        <x:v>Ürün kimliği korundu; eksik alanlar erişilemedi olarak işaretlenecek.</x:v>
      </x:c>
    </x:row>
    <x:row r="1283" ht="40" customHeight="1">
      <x:c r="A1283" s="16" t="str">
        <x:v>Oze Kahve</x:v>
      </x:c>
      <x:c r="B1283" s="16" t="str"/>
      <x:c r="C1283" s="16" t="str">
        <x:v>Pilot doğrulaması</x:v>
      </x:c>
      <x:c r="D1283" s="16" t="str">
        <x:v>Ürün kaydı</x:v>
      </x:c>
      <x:c r="E1283" s="16" t="str">
        <x:v>Decaf Espresso</x:v>
      </x:c>
      <x:c r="F1283" s="16" t="str">
        <x:v>Latin Amerika harmanı</x:v>
      </x:c>
      <x:c r="G1283" s="17" t="n">
        <x:v>250</x:v>
      </x:c>
      <x:c r="H1283" s="16" t="str">
        <x:v>Erişildi</x:v>
      </x:c>
      <x:c r="I1283" s="18" t="n">
        <x:v>520</x:v>
      </x:c>
      <x:c r="J1283" s="18" t="str">
        <x:v>Erişildi</x:v>
      </x:c>
      <x:c r="K1283" s="18" t="n">
        <x:f>IF(AND(ISNUMBER(G1283),ISNUMBER(I1283)),I1283/G1283*1000,"Erişilemedi")</x:f>
        <x:v>2080</x:v>
      </x:c>
      <x:c r="L1283" s="16" t="str">
        <x:v>Stokta</x:v>
      </x:c>
      <x:c r="M1283" s="16" t="str">
        <x:v>Harman</x:v>
      </x:c>
      <x:c r="N1283" s="16" t="str">
        <x:v>Pilot manuel/API doğrulaması</x:v>
      </x:c>
      <x:c r="O1283" s="16" t="str">
        <x:v>Yüksek</x:v>
      </x:c>
      <x:c r="P1283" s="19" t="n">
        <x:v>46245</x:v>
      </x:c>
      <x:c r="Q1283" s="20" t="str">
        <x:v>https://www.ozekahve.com.tr/decaf-espresso-kahve-250g</x:v>
      </x:c>
      <x:c r="R1283" s="20" t="str"/>
    </x:row>
    <x:row r="1284" ht="40" customHeight="1">
      <x:c r="A1284" s="16" t="str">
        <x:v>Oze Kahve</x:v>
      </x:c>
      <x:c r="B1284" s="16" t="str">
        <x:v>Ankara</x:v>
      </x:c>
      <x:c r="C1284" s="16" t="str">
        <x:v>Doğrulandı</x:v>
      </x:c>
      <x:c r="D1284" s="16" t="str">
        <x:v>Ürün kaydı</x:v>
      </x:c>
      <x:c r="E1284" s="16" t="str">
        <x:v>Decaf Espresso Kahve 250 g</x:v>
      </x:c>
      <x:c r="F1284" s="16" t="str">
        <x:v>Menşe belirtilmemiş</x:v>
      </x:c>
      <x:c r="G1284" s="17" t="n">
        <x:v>250</x:v>
      </x:c>
      <x:c r="H1284" s="16" t="str">
        <x:v>Erişildi</x:v>
      </x:c>
      <x:c r="I1284" s="18" t="n">
        <x:v>0</x:v>
      </x:c>
      <x:c r="J1284" s="18" t="str">
        <x:v>Erişilemedi</x:v>
      </x:c>
      <x:c r="K1284" s="18" t="n">
        <x:f>IF(AND(ISNUMBER(G1284),ISNUMBER(I1284)),I1284/G1284*1000,"Erişilemedi")</x:f>
        <x:v>0</x:v>
      </x:c>
      <x:c r="L1284" s="16" t="str">
        <x:v>Belirsiz</x:v>
      </x:c>
      <x:c r="M1284" s="16" t="str">
        <x:v>Kahve ürünü</x:v>
      </x:c>
      <x:c r="N1284" s="16" t="str">
        <x:v>Site haritası ürün sayfası</x:v>
      </x:c>
      <x:c r="O1284" s="16" t="str">
        <x:v>Düşük</x:v>
      </x:c>
      <x:c r="P1284" s="19" t="n">
        <x:v>46245</x:v>
      </x:c>
      <x:c r="Q1284" s="20" t="str">
        <x:v>https://www.ozekahve.com.tr/decaf-espresso-kahve-250g</x:v>
      </x:c>
      <x:c r="R1284" s="20" t="str">
        <x:v>Ürün kimliği korundu; eksik alanlar erişilemedi olarak işaretlenecek.</x:v>
      </x:c>
    </x:row>
    <x:row r="1285" ht="40" customHeight="1">
      <x:c r="A1285" s="16" t="str">
        <x:v>Oze Kahve</x:v>
      </x:c>
      <x:c r="B1285" s="16" t="str"/>
      <x:c r="C1285" s="16" t="str">
        <x:v>Pilot doğrulaması</x:v>
      </x:c>
      <x:c r="D1285" s="16" t="str">
        <x:v>Ürün kaydı</x:v>
      </x:c>
      <x:c r="E1285" s="16" t="str">
        <x:v>Decaf Filtre</x:v>
      </x:c>
      <x:c r="F1285" s="16" t="str">
        <x:v>Latin Amerika harmanı</x:v>
      </x:c>
      <x:c r="G1285" s="17" t="n">
        <x:v>250</x:v>
      </x:c>
      <x:c r="H1285" s="16" t="str">
        <x:v>Erişildi</x:v>
      </x:c>
      <x:c r="I1285" s="18" t="n">
        <x:v>520</x:v>
      </x:c>
      <x:c r="J1285" s="18" t="str">
        <x:v>Erişildi</x:v>
      </x:c>
      <x:c r="K1285" s="18" t="n">
        <x:f>IF(AND(ISNUMBER(G1285),ISNUMBER(I1285)),I1285/G1285*1000,"Erişilemedi")</x:f>
        <x:v>2080</x:v>
      </x:c>
      <x:c r="L1285" s="16" t="str">
        <x:v>Stokta</x:v>
      </x:c>
      <x:c r="M1285" s="16" t="str">
        <x:v>Harman</x:v>
      </x:c>
      <x:c r="N1285" s="16" t="str">
        <x:v>Pilot manuel/API doğrulaması</x:v>
      </x:c>
      <x:c r="O1285" s="16" t="str">
        <x:v>Yüksek</x:v>
      </x:c>
      <x:c r="P1285" s="19" t="n">
        <x:v>46245</x:v>
      </x:c>
      <x:c r="Q1285" s="20" t="str">
        <x:v>https://www.ozekahve.com.tr/decaf-filtre-kahve-250g</x:v>
      </x:c>
      <x:c r="R1285" s="20" t="str"/>
    </x:row>
    <x:row r="1286" ht="40" customHeight="1">
      <x:c r="A1286" s="16" t="str">
        <x:v>Oze Kahve</x:v>
      </x:c>
      <x:c r="B1286" s="16" t="str">
        <x:v>Ankara</x:v>
      </x:c>
      <x:c r="C1286" s="16" t="str">
        <x:v>Doğrulandı</x:v>
      </x:c>
      <x:c r="D1286" s="16" t="str">
        <x:v>Ürün kaydı</x:v>
      </x:c>
      <x:c r="E1286" s="16" t="str">
        <x:v>Decaf Filtre Kahve 250 g</x:v>
      </x:c>
      <x:c r="F1286" s="16" t="str">
        <x:v>Menşe belirtilmemiş</x:v>
      </x:c>
      <x:c r="G1286" s="17" t="n">
        <x:v>250</x:v>
      </x:c>
      <x:c r="H1286" s="16" t="str">
        <x:v>Erişildi</x:v>
      </x:c>
      <x:c r="I1286" s="18" t="n">
        <x:v>0</x:v>
      </x:c>
      <x:c r="J1286" s="18" t="str">
        <x:v>Erişilemedi</x:v>
      </x:c>
      <x:c r="K1286" s="18" t="n">
        <x:f>IF(AND(ISNUMBER(G1286),ISNUMBER(I1286)),I1286/G1286*1000,"Erişilemedi")</x:f>
        <x:v>0</x:v>
      </x:c>
      <x:c r="L1286" s="16" t="str">
        <x:v>Belirsiz</x:v>
      </x:c>
      <x:c r="M1286" s="16" t="str">
        <x:v>Kahve ürünü</x:v>
      </x:c>
      <x:c r="N1286" s="16" t="str">
        <x:v>Site haritası ürün sayfası</x:v>
      </x:c>
      <x:c r="O1286" s="16" t="str">
        <x:v>Düşük</x:v>
      </x:c>
      <x:c r="P1286" s="19" t="n">
        <x:v>46245</x:v>
      </x:c>
      <x:c r="Q1286" s="20" t="str">
        <x:v>https://www.ozekahve.com.tr/decaf-filtre-kahve-250g</x:v>
      </x:c>
      <x:c r="R1286" s="20" t="str">
        <x:v>Ürün kimliği korundu; eksik alanlar erişilemedi olarak işaretlenecek.</x:v>
      </x:c>
    </x:row>
    <x:row r="1287" ht="40" customHeight="1">
      <x:c r="A1287" s="16" t="str">
        <x:v>Oze Kahve</x:v>
      </x:c>
      <x:c r="B1287" s="16" t="str">
        <x:v>Ankara</x:v>
      </x:c>
      <x:c r="C1287" s="16" t="str">
        <x:v>Doğrulandı</x:v>
      </x:c>
      <x:c r="D1287" s="16" t="str">
        <x:v>Ürün kaydı</x:v>
      </x:c>
      <x:c r="E1287" s="16" t="str">
        <x:v>Dünya Kahveleri Tanışma Seti 5 x 250 g</x:v>
      </x:c>
      <x:c r="F1287" s="16" t="str">
        <x:v>Menşe belirtilmemiş</x:v>
      </x:c>
      <x:c r="G1287" s="17" t="n">
        <x:v>250</x:v>
      </x:c>
      <x:c r="H1287" s="16" t="str">
        <x:v>Erişildi</x:v>
      </x:c>
      <x:c r="I1287" s="18" t="n">
        <x:v>0</x:v>
      </x:c>
      <x:c r="J1287" s="18" t="str">
        <x:v>Erişilemedi</x:v>
      </x:c>
      <x:c r="K1287" s="18" t="n">
        <x:f>IF(AND(ISNUMBER(G1287),ISNUMBER(I1287)),I1287/G1287*1000,"Erişilemedi")</x:f>
        <x:v>0</x:v>
      </x:c>
      <x:c r="L1287" s="16" t="str">
        <x:v>Belirsiz</x:v>
      </x:c>
      <x:c r="M1287" s="16" t="str">
        <x:v>Kahve ürünü</x:v>
      </x:c>
      <x:c r="N1287" s="16" t="str">
        <x:v>Site haritası ürün sayfası</x:v>
      </x:c>
      <x:c r="O1287" s="16" t="str">
        <x:v>Düşük</x:v>
      </x:c>
      <x:c r="P1287" s="19" t="n">
        <x:v>46245</x:v>
      </x:c>
      <x:c r="Q1287" s="20" t="str">
        <x:v>https://www.ozekahve.com.tr/dunya-kahveleri-seti-5li-250g</x:v>
      </x:c>
      <x:c r="R1287" s="20" t="str">
        <x:v>Ürün kimliği korundu; eksik alanlar erişilemedi olarak işaretlenecek.</x:v>
      </x:c>
    </x:row>
    <x:row r="1288" ht="40" customHeight="1">
      <x:c r="A1288" s="16" t="str">
        <x:v>Oze Kahve</x:v>
      </x:c>
      <x:c r="B1288" s="16" t="str">
        <x:v>Ankara</x:v>
      </x:c>
      <x:c r="C1288" s="16" t="str">
        <x:v>Doğrulandı</x:v>
      </x:c>
      <x:c r="D1288" s="16" t="str">
        <x:v>Ürün kaydı</x:v>
      </x:c>
      <x:c r="E1288" s="16" t="str">
        <x:v>Elma Çayı 125 g</x:v>
      </x:c>
      <x:c r="F1288" s="16" t="str">
        <x:v>Menşe belirtilmemiş</x:v>
      </x:c>
      <x:c r="G1288" s="17" t="n">
        <x:v>125</x:v>
      </x:c>
      <x:c r="H1288" s="16" t="str">
        <x:v>Erişildi</x:v>
      </x:c>
      <x:c r="I1288" s="18" t="n">
        <x:v>0</x:v>
      </x:c>
      <x:c r="J1288" s="18" t="str">
        <x:v>Erişilemedi</x:v>
      </x:c>
      <x:c r="K1288" s="18" t="n">
        <x:f>IF(AND(ISNUMBER(G1288),ISNUMBER(I1288)),I1288/G1288*1000,"Erişilemedi")</x:f>
        <x:v>0</x:v>
      </x:c>
      <x:c r="L1288" s="16" t="str">
        <x:v>Belirsiz</x:v>
      </x:c>
      <x:c r="M1288" s="16" t="str">
        <x:v>Kahve ürünü</x:v>
      </x:c>
      <x:c r="N1288" s="16" t="str">
        <x:v>Site haritası ürün sayfası</x:v>
      </x:c>
      <x:c r="O1288" s="16" t="str">
        <x:v>Düşük</x:v>
      </x:c>
      <x:c r="P1288" s="19" t="n">
        <x:v>46245</x:v>
      </x:c>
      <x:c r="Q1288" s="20" t="str">
        <x:v>https://www.ozekahve.com.tr/elma-cayi-125g</x:v>
      </x:c>
      <x:c r="R1288" s="20" t="str">
        <x:v>Ürün kimliği korundu; eksik alanlar erişilemedi olarak işaretlenecek.</x:v>
      </x:c>
    </x:row>
    <x:row r="1289" ht="40" customHeight="1">
      <x:c r="A1289" s="16" t="str">
        <x:v>Oze Kahve</x:v>
      </x:c>
      <x:c r="B1289" s="16" t="str">
        <x:v>Ankara</x:v>
      </x:c>
      <x:c r="C1289" s="16" t="str">
        <x:v>Doğrulandı</x:v>
      </x:c>
      <x:c r="D1289" s="16" t="str">
        <x:v>Ürün kaydı</x:v>
      </x:c>
      <x:c r="E1289" s="16" t="str">
        <x:v>Elma Şurubu 50 cc</x:v>
      </x:c>
      <x:c r="F1289" s="16" t="str">
        <x:v>Menşe belirtilmemiş</x:v>
      </x:c>
      <x:c r="G1289" s="17" t="str">
        <x:v>Erişilemedi</x:v>
      </x:c>
      <x:c r="H1289" s="16" t="str">
        <x:v>Erişilemedi</x:v>
      </x:c>
      <x:c r="I1289" s="18" t="n">
        <x:v>0</x:v>
      </x:c>
      <x:c r="J1289" s="18" t="str">
        <x:v>Erişilemedi</x:v>
      </x:c>
      <x:c r="K1289" s="18" t="str">
        <x:f>IF(AND(ISNUMBER(G1289),ISNUMBER(I1289)),I1289/G1289*1000,"Erişilemedi")</x:f>
        <x:v>Erişilemedi</x:v>
      </x:c>
      <x:c r="L1289" s="16" t="str">
        <x:v>Belirsiz</x:v>
      </x:c>
      <x:c r="M1289" s="16" t="str">
        <x:v>Kahve ürünü</x:v>
      </x:c>
      <x:c r="N1289" s="16" t="str">
        <x:v>Site haritası ürün sayfası</x:v>
      </x:c>
      <x:c r="O1289" s="16" t="str">
        <x:v>Düşük</x:v>
      </x:c>
      <x:c r="P1289" s="19" t="n">
        <x:v>46245</x:v>
      </x:c>
      <x:c r="Q1289" s="20" t="str">
        <x:v>https://www.ozekahve.com.tr/elma-surubu-50cc</x:v>
      </x:c>
      <x:c r="R1289" s="20" t="str">
        <x:v>Ürün kimliği korundu; eksik alanlar erişilemedi olarak işaretlenecek.</x:v>
      </x:c>
    </x:row>
    <x:row r="1290" ht="40" customHeight="1">
      <x:c r="A1290" s="16" t="str">
        <x:v>Oze Kahve</x:v>
      </x:c>
      <x:c r="B1290" s="16" t="str">
        <x:v>Ankara</x:v>
      </x:c>
      <x:c r="C1290" s="16" t="str">
        <x:v>Doğrulandı</x:v>
      </x:c>
      <x:c r="D1290" s="16" t="str">
        <x:v>Ürün kaydı</x:v>
      </x:c>
      <x:c r="E1290" s="16" t="str">
        <x:v>Elma Şurubu 6 x 75 cl</x:v>
      </x:c>
      <x:c r="F1290" s="16" t="str">
        <x:v>Menşe belirtilmemiş</x:v>
      </x:c>
      <x:c r="G1290" s="17" t="str">
        <x:v>Erişilemedi</x:v>
      </x:c>
      <x:c r="H1290" s="16" t="str">
        <x:v>Erişilemedi</x:v>
      </x:c>
      <x:c r="I1290" s="18" t="n">
        <x:v>0</x:v>
      </x:c>
      <x:c r="J1290" s="18" t="str">
        <x:v>Erişilemedi</x:v>
      </x:c>
      <x:c r="K1290" s="18" t="str">
        <x:f>IF(AND(ISNUMBER(G1290),ISNUMBER(I1290)),I1290/G1290*1000,"Erişilemedi")</x:f>
        <x:v>Erişilemedi</x:v>
      </x:c>
      <x:c r="L1290" s="16" t="str">
        <x:v>Belirsiz</x:v>
      </x:c>
      <x:c r="M1290" s="16" t="str">
        <x:v>Kahve ürünü</x:v>
      </x:c>
      <x:c r="N1290" s="16" t="str">
        <x:v>Site haritası ürün sayfası</x:v>
      </x:c>
      <x:c r="O1290" s="16" t="str">
        <x:v>Düşük</x:v>
      </x:c>
      <x:c r="P1290" s="19" t="n">
        <x:v>46245</x:v>
      </x:c>
      <x:c r="Q1290" s="20" t="str">
        <x:v>https://www.ozekahve.com.tr/elma-surubu-6li-75cl</x:v>
      </x:c>
      <x:c r="R1290" s="20" t="str">
        <x:v>Ürün kimliği korundu; eksik alanlar erişilemedi olarak işaretlenecek.</x:v>
      </x:c>
    </x:row>
    <x:row r="1291" ht="40" customHeight="1">
      <x:c r="A1291" s="16" t="str">
        <x:v>Oze Kahve</x:v>
      </x:c>
      <x:c r="B1291" s="16" t="str">
        <x:v>Ankara</x:v>
      </x:c>
      <x:c r="C1291" s="16" t="str">
        <x:v>Doğrulandı</x:v>
      </x:c>
      <x:c r="D1291" s="16" t="str">
        <x:v>Ürün kaydı</x:v>
      </x:c>
      <x:c r="E1291" s="16" t="str">
        <x:v>Elma Şurubu 75 cl</x:v>
      </x:c>
      <x:c r="F1291" s="16" t="str">
        <x:v>Menşe belirtilmemiş</x:v>
      </x:c>
      <x:c r="G1291" s="17" t="str">
        <x:v>Erişilemedi</x:v>
      </x:c>
      <x:c r="H1291" s="16" t="str">
        <x:v>Erişilemedi</x:v>
      </x:c>
      <x:c r="I1291" s="18" t="n">
        <x:v>0</x:v>
      </x:c>
      <x:c r="J1291" s="18" t="str">
        <x:v>Erişilemedi</x:v>
      </x:c>
      <x:c r="K1291" s="18" t="str">
        <x:f>IF(AND(ISNUMBER(G1291),ISNUMBER(I1291)),I1291/G1291*1000,"Erişilemedi")</x:f>
        <x:v>Erişilemedi</x:v>
      </x:c>
      <x:c r="L1291" s="16" t="str">
        <x:v>Belirsiz</x:v>
      </x:c>
      <x:c r="M1291" s="16" t="str">
        <x:v>Kahve ürünü</x:v>
      </x:c>
      <x:c r="N1291" s="16" t="str">
        <x:v>Site haritası ürün sayfası</x:v>
      </x:c>
      <x:c r="O1291" s="16" t="str">
        <x:v>Düşük</x:v>
      </x:c>
      <x:c r="P1291" s="19" t="n">
        <x:v>46245</x:v>
      </x:c>
      <x:c r="Q1291" s="20" t="str">
        <x:v>https://www.ozekahve.com.tr/elma-surubu-75cl</x:v>
      </x:c>
      <x:c r="R1291" s="20" t="str">
        <x:v>Ürün kimliği korundu; eksik alanlar erişilemedi olarak işaretlenecek.</x:v>
      </x:c>
    </x:row>
    <x:row r="1292" ht="40" customHeight="1">
      <x:c r="A1292" s="16" t="str">
        <x:v>Oze Kahve</x:v>
      </x:c>
      <x:c r="B1292" s="16" t="str">
        <x:v>Ankara</x:v>
      </x:c>
      <x:c r="C1292" s="16" t="str">
        <x:v>Doğrulandı</x:v>
      </x:c>
      <x:c r="D1292" s="16" t="str">
        <x:v>Ürün kaydı</x:v>
      </x:c>
      <x:c r="E1292" s="16" t="str">
        <x:v>Elma Tarçın Çayı 125 g</x:v>
      </x:c>
      <x:c r="F1292" s="16" t="str">
        <x:v>Menşe belirtilmemiş</x:v>
      </x:c>
      <x:c r="G1292" s="17" t="n">
        <x:v>125</x:v>
      </x:c>
      <x:c r="H1292" s="16" t="str">
        <x:v>Erişildi</x:v>
      </x:c>
      <x:c r="I1292" s="18" t="n">
        <x:v>0</x:v>
      </x:c>
      <x:c r="J1292" s="18" t="str">
        <x:v>Erişilemedi</x:v>
      </x:c>
      <x:c r="K1292" s="18" t="n">
        <x:f>IF(AND(ISNUMBER(G1292),ISNUMBER(I1292)),I1292/G1292*1000,"Erişilemedi")</x:f>
        <x:v>0</x:v>
      </x:c>
      <x:c r="L1292" s="16" t="str">
        <x:v>Belirsiz</x:v>
      </x:c>
      <x:c r="M1292" s="16" t="str">
        <x:v>Kahve ürünü</x:v>
      </x:c>
      <x:c r="N1292" s="16" t="str">
        <x:v>Site haritası ürün sayfası</x:v>
      </x:c>
      <x:c r="O1292" s="16" t="str">
        <x:v>Düşük</x:v>
      </x:c>
      <x:c r="P1292" s="19" t="n">
        <x:v>46245</x:v>
      </x:c>
      <x:c r="Q1292" s="20" t="str">
        <x:v>https://www.ozekahve.com.tr/elma-tarcin-cayi-125g</x:v>
      </x:c>
      <x:c r="R1292" s="20" t="str">
        <x:v>Ürün kimliği korundu; eksik alanlar erişilemedi olarak işaretlenecek.</x:v>
      </x:c>
    </x:row>
    <x:row r="1293" ht="40" customHeight="1">
      <x:c r="A1293" s="16" t="str">
        <x:v>Oze Kahve</x:v>
      </x:c>
      <x:c r="B1293" s="16" t="str">
        <x:v>Ankara</x:v>
      </x:c>
      <x:c r="C1293" s="16" t="str">
        <x:v>Doğrulandı</x:v>
      </x:c>
      <x:c r="D1293" s="16" t="str">
        <x:v>Ürün kaydı</x:v>
      </x:c>
      <x:c r="E1293" s="16" t="str">
        <x:v>Ethiopian Sidamo Filtre Kahve 2 x 250 g</x:v>
      </x:c>
      <x:c r="F1293" s="16" t="str">
        <x:v>Etiyopya</x:v>
      </x:c>
      <x:c r="G1293" s="17" t="n">
        <x:v>250</x:v>
      </x:c>
      <x:c r="H1293" s="16" t="str">
        <x:v>Erişildi</x:v>
      </x:c>
      <x:c r="I1293" s="18" t="n">
        <x:v>0</x:v>
      </x:c>
      <x:c r="J1293" s="18" t="str">
        <x:v>Erişilemedi</x:v>
      </x:c>
      <x:c r="K1293" s="18" t="n">
        <x:f>IF(AND(ISNUMBER(G1293),ISNUMBER(I1293)),I1293/G1293*1000,"Erişilemedi")</x:f>
        <x:v>0</x:v>
      </x:c>
      <x:c r="L1293" s="16" t="str">
        <x:v>Belirsiz</x:v>
      </x:c>
      <x:c r="M1293" s="16" t="str">
        <x:v>Kahve ürünü</x:v>
      </x:c>
      <x:c r="N1293" s="16" t="str">
        <x:v>Site haritası ürün sayfası</x:v>
      </x:c>
      <x:c r="O1293" s="16" t="str">
        <x:v>Düşük</x:v>
      </x:c>
      <x:c r="P1293" s="19" t="n">
        <x:v>46245</x:v>
      </x:c>
      <x:c r="Q1293" s="20" t="str">
        <x:v>https://www.ozekahve.com.tr/ethiopian-sidamo-filtre-kahve-2li-250g</x:v>
      </x:c>
      <x:c r="R1293" s="20" t="str">
        <x:v>Ürün kimliği korundu; eksik alanlar erişilemedi olarak işaretlenecek.</x:v>
      </x:c>
    </x:row>
    <x:row r="1294" ht="40" customHeight="1">
      <x:c r="A1294" s="16" t="str">
        <x:v>Oze Kahve</x:v>
      </x:c>
      <x:c r="B1294" s="16" t="str">
        <x:v>Ankara</x:v>
      </x:c>
      <x:c r="C1294" s="16" t="str">
        <x:v>Doğrulandı</x:v>
      </x:c>
      <x:c r="D1294" s="16" t="str">
        <x:v>Ürün kaydı</x:v>
      </x:c>
      <x:c r="E1294" s="16" t="str">
        <x:v>Ethiopian Sidamo Filtre Kahve 250 g</x:v>
      </x:c>
      <x:c r="F1294" s="16" t="str">
        <x:v>Etiyopya</x:v>
      </x:c>
      <x:c r="G1294" s="17" t="n">
        <x:v>250</x:v>
      </x:c>
      <x:c r="H1294" s="16" t="str">
        <x:v>Erişildi</x:v>
      </x:c>
      <x:c r="I1294" s="18" t="n">
        <x:v>0</x:v>
      </x:c>
      <x:c r="J1294" s="18" t="str">
        <x:v>Erişilemedi</x:v>
      </x:c>
      <x:c r="K1294" s="18" t="n">
        <x:f>IF(AND(ISNUMBER(G1294),ISNUMBER(I1294)),I1294/G1294*1000,"Erişilemedi")</x:f>
        <x:v>0</x:v>
      </x:c>
      <x:c r="L1294" s="16" t="str">
        <x:v>Belirsiz</x:v>
      </x:c>
      <x:c r="M1294" s="16" t="str">
        <x:v>Kahve ürünü</x:v>
      </x:c>
      <x:c r="N1294" s="16" t="str">
        <x:v>Site haritası ürün sayfası</x:v>
      </x:c>
      <x:c r="O1294" s="16" t="str">
        <x:v>Düşük</x:v>
      </x:c>
      <x:c r="P1294" s="19" t="n">
        <x:v>46245</x:v>
      </x:c>
      <x:c r="Q1294" s="20" t="str">
        <x:v>https://www.ozekahve.com.tr/ethiopian-sidamo-filtre-kahve-250g</x:v>
      </x:c>
      <x:c r="R1294" s="20" t="str">
        <x:v>Ürün kimliği korundu; eksik alanlar erişilemedi olarak işaretlenecek.</x:v>
      </x:c>
    </x:row>
    <x:row r="1295" ht="40" customHeight="1">
      <x:c r="A1295" s="16" t="str">
        <x:v>Oze Kahve</x:v>
      </x:c>
      <x:c r="B1295" s="16" t="str">
        <x:v>Ankara</x:v>
      </x:c>
      <x:c r="C1295" s="16" t="str">
        <x:v>Doğrulandı</x:v>
      </x:c>
      <x:c r="D1295" s="16" t="str">
        <x:v>Ürün kaydı</x:v>
      </x:c>
      <x:c r="E1295" s="16" t="str">
        <x:v>Frappe Tanışma Seti 3 x 250 g (Çilek, Çikolata, Mango)</x:v>
      </x:c>
      <x:c r="F1295" s="16" t="str">
        <x:v>Menşe belirtilmemiş</x:v>
      </x:c>
      <x:c r="G1295" s="17" t="n">
        <x:v>250</x:v>
      </x:c>
      <x:c r="H1295" s="16" t="str">
        <x:v>Erişildi</x:v>
      </x:c>
      <x:c r="I1295" s="18" t="n">
        <x:v>0</x:v>
      </x:c>
      <x:c r="J1295" s="18" t="str">
        <x:v>Erişilemedi</x:v>
      </x:c>
      <x:c r="K1295" s="18" t="n">
        <x:f>IF(AND(ISNUMBER(G1295),ISNUMBER(I1295)),I1295/G1295*1000,"Erişilemedi")</x:f>
        <x:v>0</x:v>
      </x:c>
      <x:c r="L1295" s="16" t="str">
        <x:v>Belirsiz</x:v>
      </x:c>
      <x:c r="M1295" s="16" t="str">
        <x:v>Kahve ürünü</x:v>
      </x:c>
      <x:c r="N1295" s="16" t="str">
        <x:v>Site haritası ürün sayfası</x:v>
      </x:c>
      <x:c r="O1295" s="16" t="str">
        <x:v>Düşük</x:v>
      </x:c>
      <x:c r="P1295" s="19" t="n">
        <x:v>46245</x:v>
      </x:c>
      <x:c r="Q1295" s="20" t="str">
        <x:v>https://www.ozekahve.com.tr/frappe-tanisma-seti-cilek-cikolata-mango-3lu-250g</x:v>
      </x:c>
      <x:c r="R1295" s="20" t="str">
        <x:v>Ürün kimliği korundu; eksik alanlar erişilemedi olarak işaretlenecek.</x:v>
      </x:c>
    </x:row>
    <x:row r="1296" ht="40" customHeight="1">
      <x:c r="A1296" s="16" t="str">
        <x:v>Oze Kahve</x:v>
      </x:c>
      <x:c r="B1296" s="16" t="str">
        <x:v>Ankara</x:v>
      </x:c>
      <x:c r="C1296" s="16" t="str">
        <x:v>Doğrulandı</x:v>
      </x:c>
      <x:c r="D1296" s="16" t="str">
        <x:v>Ürün kaydı</x:v>
      </x:c>
      <x:c r="E1296" s="16" t="str">
        <x:v>Frappe Tanışma Seti 3 x 250 g (Vanilya, Karamel, Mokka)</x:v>
      </x:c>
      <x:c r="F1296" s="16" t="str">
        <x:v>Menşe belirtilmemiş</x:v>
      </x:c>
      <x:c r="G1296" s="17" t="n">
        <x:v>250</x:v>
      </x:c>
      <x:c r="H1296" s="16" t="str">
        <x:v>Erişildi</x:v>
      </x:c>
      <x:c r="I1296" s="18" t="n">
        <x:v>0</x:v>
      </x:c>
      <x:c r="J1296" s="18" t="str">
        <x:v>Erişilemedi</x:v>
      </x:c>
      <x:c r="K1296" s="18" t="n">
        <x:f>IF(AND(ISNUMBER(G1296),ISNUMBER(I1296)),I1296/G1296*1000,"Erişilemedi")</x:f>
        <x:v>0</x:v>
      </x:c>
      <x:c r="L1296" s="16" t="str">
        <x:v>Belirsiz</x:v>
      </x:c>
      <x:c r="M1296" s="16" t="str">
        <x:v>Kahve ürünü</x:v>
      </x:c>
      <x:c r="N1296" s="16" t="str">
        <x:v>Site haritası ürün sayfası</x:v>
      </x:c>
      <x:c r="O1296" s="16" t="str">
        <x:v>Düşük</x:v>
      </x:c>
      <x:c r="P1296" s="19" t="n">
        <x:v>46245</x:v>
      </x:c>
      <x:c r="Q1296" s="20" t="str">
        <x:v>https://www.ozekahve.com.tr/frappe-tanisma-seti-vanilya-karamel-mokka-3lu-250g</x:v>
      </x:c>
      <x:c r="R1296" s="20" t="str">
        <x:v>Ürün kimliği korundu; eksik alanlar erişilemedi olarak işaretlenecek.</x:v>
      </x:c>
    </x:row>
    <x:row r="1297" ht="40" customHeight="1">
      <x:c r="A1297" s="16" t="str">
        <x:v>Oze Kahve</x:v>
      </x:c>
      <x:c r="B1297" s="16" t="str">
        <x:v>Ankara</x:v>
      </x:c>
      <x:c r="C1297" s="16" t="str">
        <x:v>Doğrulandı</x:v>
      </x:c>
      <x:c r="D1297" s="16" t="str">
        <x:v>Ürün kaydı</x:v>
      </x:c>
      <x:c r="E1297" s="16" t="str">
        <x:v>Frappe Tanışma Seti 6 x 250 g (Kivi, Muz, Böğürtlen, Karamel, Çilek, Mango)</x:v>
      </x:c>
      <x:c r="F1297" s="16" t="str">
        <x:v>Menşe belirtilmemiş</x:v>
      </x:c>
      <x:c r="G1297" s="17" t="n">
        <x:v>250</x:v>
      </x:c>
      <x:c r="H1297" s="16" t="str">
        <x:v>Erişildi</x:v>
      </x:c>
      <x:c r="I1297" s="18" t="n">
        <x:v>0</x:v>
      </x:c>
      <x:c r="J1297" s="18" t="str">
        <x:v>Erişilemedi</x:v>
      </x:c>
      <x:c r="K1297" s="18" t="n">
        <x:f>IF(AND(ISNUMBER(G1297),ISNUMBER(I1297)),I1297/G1297*1000,"Erişilemedi")</x:f>
        <x:v>0</x:v>
      </x:c>
      <x:c r="L1297" s="16" t="str">
        <x:v>Belirsiz</x:v>
      </x:c>
      <x:c r="M1297" s="16" t="str">
        <x:v>Kahve ürünü</x:v>
      </x:c>
      <x:c r="N1297" s="16" t="str">
        <x:v>Site haritası ürün sayfası</x:v>
      </x:c>
      <x:c r="O1297" s="16" t="str">
        <x:v>Düşük</x:v>
      </x:c>
      <x:c r="P1297" s="19" t="n">
        <x:v>46245</x:v>
      </x:c>
      <x:c r="Q1297" s="20" t="str">
        <x:v>https://www.ozekahve.com.tr/frappe-seti-cilek-karamel-kivi-mango-muz-bogurtlen-6li-250g</x:v>
      </x:c>
      <x:c r="R1297" s="20" t="str">
        <x:v>Ürün kimliği korundu; eksik alanlar erişilemedi olarak işaretlenecek.</x:v>
      </x:c>
    </x:row>
    <x:row r="1298" ht="40" customHeight="1">
      <x:c r="A1298" s="16" t="str">
        <x:v>Oze Kahve</x:v>
      </x:c>
      <x:c r="B1298" s="16" t="str">
        <x:v>Ankara</x:v>
      </x:c>
      <x:c r="C1298" s="16" t="str">
        <x:v>Doğrulandı</x:v>
      </x:c>
      <x:c r="D1298" s="16" t="str">
        <x:v>Ürün kaydı</x:v>
      </x:c>
      <x:c r="E1298" s="16" t="str">
        <x:v>Frappe Tanışma Seti 6 x 250 g (Vanilya, Mokka, Çikolata, Karamel, Çilek, Mango)</x:v>
      </x:c>
      <x:c r="F1298" s="16" t="str">
        <x:v>Menşe belirtilmemiş</x:v>
      </x:c>
      <x:c r="G1298" s="17" t="n">
        <x:v>250</x:v>
      </x:c>
      <x:c r="H1298" s="16" t="str">
        <x:v>Erişildi</x:v>
      </x:c>
      <x:c r="I1298" s="18" t="n">
        <x:v>0</x:v>
      </x:c>
      <x:c r="J1298" s="18" t="str">
        <x:v>Erişilemedi</x:v>
      </x:c>
      <x:c r="K1298" s="18" t="n">
        <x:f>IF(AND(ISNUMBER(G1298),ISNUMBER(I1298)),I1298/G1298*1000,"Erişilemedi")</x:f>
        <x:v>0</x:v>
      </x:c>
      <x:c r="L1298" s="16" t="str">
        <x:v>Belirsiz</x:v>
      </x:c>
      <x:c r="M1298" s="16" t="str">
        <x:v>Kahve ürünü</x:v>
      </x:c>
      <x:c r="N1298" s="16" t="str">
        <x:v>Site haritası ürün sayfası</x:v>
      </x:c>
      <x:c r="O1298" s="16" t="str">
        <x:v>Düşük</x:v>
      </x:c>
      <x:c r="P1298" s="19" t="n">
        <x:v>46245</x:v>
      </x:c>
      <x:c r="Q1298" s="20" t="str">
        <x:v>https://www.ozekahve.com.tr/frappe-seti-vanilya-mokka-mango-karamel-cilek-cikolata-6li-250g</x:v>
      </x:c>
      <x:c r="R1298" s="20" t="str">
        <x:v>Ürün kimliği korundu; eksik alanlar erişilemedi olarak işaretlenecek.</x:v>
      </x:c>
    </x:row>
    <x:row r="1299" ht="40" customHeight="1">
      <x:c r="A1299" s="16" t="str">
        <x:v>Oze Kahve</x:v>
      </x:c>
      <x:c r="B1299" s="16" t="str"/>
      <x:c r="C1299" s="16" t="str">
        <x:v>Pilot doğrulaması</x:v>
      </x:c>
      <x:c r="D1299" s="16" t="str">
        <x:v>Ürün kaydı</x:v>
      </x:c>
      <x:c r="E1299" s="16" t="str">
        <x:v>Royal Espresso</x:v>
      </x:c>
      <x:c r="F1299" s="16" t="str">
        <x:v>Latin Amerika harmanı</x:v>
      </x:c>
      <x:c r="G1299" s="17" t="n">
        <x:v>250</x:v>
      </x:c>
      <x:c r="H1299" s="16" t="str">
        <x:v>Erişildi</x:v>
      </x:c>
      <x:c r="I1299" s="18" t="n">
        <x:v>386.4</x:v>
      </x:c>
      <x:c r="J1299" s="18" t="str">
        <x:v>Erişildi</x:v>
      </x:c>
      <x:c r="K1299" s="18" t="n">
        <x:f>IF(AND(ISNUMBER(G1299),ISNUMBER(I1299)),I1299/G1299*1000,"Erişilemedi")</x:f>
        <x:v>1545.6</x:v>
      </x:c>
      <x:c r="L1299" s="16" t="str">
        <x:v>Stokta</x:v>
      </x:c>
      <x:c r="M1299" s="16" t="str">
        <x:v>Harman</x:v>
      </x:c>
      <x:c r="N1299" s="16" t="str">
        <x:v>Pilot manuel/API doğrulaması</x:v>
      </x:c>
      <x:c r="O1299" s="16" t="str">
        <x:v>Yüksek</x:v>
      </x:c>
      <x:c r="P1299" s="19" t="n">
        <x:v>46245</x:v>
      </x:c>
      <x:c r="Q1299" s="20" t="str">
        <x:v>https://www.ozekahve.com.tr/royal-espresso-kahve-250g</x:v>
      </x:c>
      <x:c r="R1299" s="20" t="str"/>
    </x:row>
    <x:row r="1300" ht="40" customHeight="1">
      <x:c r="A1300" s="16" t="str">
        <x:v>Oze Kahve</x:v>
      </x:c>
      <x:c r="B1300" s="16" t="str"/>
      <x:c r="C1300" s="16" t="str">
        <x:v>Pilot doğrulaması</x:v>
      </x:c>
      <x:c r="D1300" s="16" t="str">
        <x:v>Ürün kaydı</x:v>
      </x:c>
      <x:c r="E1300" s="16" t="str">
        <x:v>Special Blend Dark Roast</x:v>
      </x:c>
      <x:c r="F1300" s="16" t="str">
        <x:v>Latin Amerika harmanı</x:v>
      </x:c>
      <x:c r="G1300" s="17" t="n">
        <x:v>250</x:v>
      </x:c>
      <x:c r="H1300" s="16" t="str">
        <x:v>Erişildi</x:v>
      </x:c>
      <x:c r="I1300" s="18" t="n">
        <x:v>416.4</x:v>
      </x:c>
      <x:c r="J1300" s="18" t="str">
        <x:v>Erişildi</x:v>
      </x:c>
      <x:c r="K1300" s="18" t="n">
        <x:f>IF(AND(ISNUMBER(G1300),ISNUMBER(I1300)),I1300/G1300*1000,"Erişilemedi")</x:f>
        <x:v>1665.6</x:v>
      </x:c>
      <x:c r="L1300" s="16" t="str">
        <x:v>Stokta</x:v>
      </x:c>
      <x:c r="M1300" s="16" t="str">
        <x:v>Harman</x:v>
      </x:c>
      <x:c r="N1300" s="16" t="str">
        <x:v>Pilot manuel/API doğrulaması</x:v>
      </x:c>
      <x:c r="O1300" s="16" t="str">
        <x:v>Yüksek</x:v>
      </x:c>
      <x:c r="P1300" s="19" t="n">
        <x:v>46245</x:v>
      </x:c>
      <x:c r="Q1300" s="20" t="str">
        <x:v>https://www.ozekahve.com.tr/special-blend-dark-roast-filtre-kahve-250g</x:v>
      </x:c>
      <x:c r="R1300" s="20" t="str"/>
    </x:row>
    <x:row r="1301" ht="40" customHeight="1">
      <x:c r="A1301" s="16" t="str">
        <x:v>Pangea Coffee</x:v>
      </x:c>
      <x:c r="B1301" s="16" t="str">
        <x:v>İstanbul</x:v>
      </x:c>
      <x:c r="C1301" s="16" t="str">
        <x:v>Kısmi doğrulama</x:v>
      </x:c>
      <x:c r="D1301" s="16" t="str">
        <x:v>Katalog takip kaydı</x:v>
      </x:c>
      <x:c r="E1301" s="16" t="str">
        <x:v>Ürün kataloğu — ayrıntılı ürün verisine erişilemedi</x:v>
      </x:c>
      <x:c r="F1301" s="16" t="str">
        <x:v>Erişilemedi</x:v>
      </x:c>
      <x:c r="G1301" s="17" t="str">
        <x:v>Erişilemedi</x:v>
      </x:c>
      <x:c r="H1301" s="16" t="str">
        <x:v>Erişilemedi</x:v>
      </x:c>
      <x:c r="I1301" s="18" t="str">
        <x:v>Erişilemedi</x:v>
      </x:c>
      <x:c r="J1301" s="18" t="str">
        <x:v>Erişilemedi</x:v>
      </x:c>
      <x:c r="K1301" s="18" t="str">
        <x:f>IF(AND(ISNUMBER(G1301),ISNUMBER(I1301)),I1301/G1301*1000,"Erişilemedi")</x:f>
        <x:v>Erişilemedi</x:v>
      </x:c>
      <x:c r="L1301" s="16" t="str">
        <x:v>Erişilemedi</x:v>
      </x:c>
      <x:c r="M1301" s="16" t="str">
        <x:v>Katalog/takip kaydı</x:v>
      </x:c>
      <x:c r="N1301" s="16" t="str">
        <x:v>Instagram veya mevcut kaynak</x:v>
      </x:c>
      <x:c r="O1301" s="16" t="str">
        <x:v>Takip gerekli</x:v>
      </x:c>
      <x:c r="P1301" s="19" t="n">
        <x:v>46245</x:v>
      </x:c>
      <x:c r="Q1301" s="20" t="str">
        <x:v>Erişilemedi</x:v>
      </x:c>
      <x:c r="R1301" s="20" t="str">
        <x:v>Ürün adı, gramaj ve fiyat birlikte çıkarılamadı. Bağlantı manuel inceleme için korundu.</x:v>
      </x:c>
    </x:row>
    <x:row r="1302" ht="40" customHeight="1">
      <x:c r="A1302" s="16" t="str">
        <x:v>Paper Coffee &amp; Chocolate</x:v>
      </x:c>
      <x:c r="B1302" s="16" t="str">
        <x:v>Ankara</x:v>
      </x:c>
      <x:c r="C1302" s="16" t="str">
        <x:v>Kısmi doğrulama</x:v>
      </x:c>
      <x:c r="D1302" s="16" t="str">
        <x:v>Ürün kaydı</x:v>
      </x:c>
      <x:c r="E1302" s="16" t="str">
        <x:v>Brazil Cerrado Natural</x:v>
      </x:c>
      <x:c r="F1302" s="16" t="str">
        <x:v>Brezilya</x:v>
      </x:c>
      <x:c r="G1302" s="17" t="str">
        <x:v>Erişilemedi</x:v>
      </x:c>
      <x:c r="H1302" s="16" t="str">
        <x:v>Erişilemedi</x:v>
      </x:c>
      <x:c r="I1302" s="18" t="n">
        <x:v>1000</x:v>
      </x:c>
      <x:c r="J1302" s="18" t="str">
        <x:v>Erişildi</x:v>
      </x:c>
      <x:c r="K1302" s="18" t="str">
        <x:f>IF(AND(ISNUMBER(G1302),ISNUMBER(I1302)),I1302/G1302*1000,"Erişilemedi")</x:f>
        <x:v>Erişilemedi</x:v>
      </x:c>
      <x:c r="L1302" s="16" t="str">
        <x:v>Belirsiz</x:v>
      </x:c>
      <x:c r="M1302" s="16" t="str">
        <x:v>Kahve ürünü</x:v>
      </x:c>
      <x:c r="N1302" s="16" t="str">
        <x:v>Site haritası ürün sayfası</x:v>
      </x:c>
      <x:c r="O1302" s="16" t="str">
        <x:v>Düşük</x:v>
      </x:c>
      <x:c r="P1302" s="19" t="n">
        <x:v>46245</x:v>
      </x:c>
      <x:c r="Q1302" s="20" t="str">
        <x:v>https://paperroastingcoffee.com/brazil-cerrado-natural</x:v>
      </x:c>
      <x:c r="R1302" s="20" t="str">
        <x:v>Ürün kimliği korundu; eksik alanlar erişilemedi olarak işaretlenecek.</x:v>
      </x:c>
    </x:row>
    <x:row r="1303" ht="40" customHeight="1">
      <x:c r="A1303" s="16" t="str">
        <x:v>Paper Coffee &amp; Chocolate</x:v>
      </x:c>
      <x:c r="B1303" s="16" t="str">
        <x:v>Ankara</x:v>
      </x:c>
      <x:c r="C1303" s="16" t="str">
        <x:v>Kısmi doğrulama</x:v>
      </x:c>
      <x:c r="D1303" s="16" t="str">
        <x:v>Ürün kaydı</x:v>
      </x:c>
      <x:c r="E1303" s="16" t="str">
        <x:v>Colombia Strawberry Washed - Aeropress Championship Selection</x:v>
      </x:c>
      <x:c r="F1303" s="16" t="str">
        <x:v>Kolombiya</x:v>
      </x:c>
      <x:c r="G1303" s="17" t="str">
        <x:v>Erişilemedi</x:v>
      </x:c>
      <x:c r="H1303" s="16" t="str">
        <x:v>Erişilemedi</x:v>
      </x:c>
      <x:c r="I1303" s="18" t="n">
        <x:v>1000</x:v>
      </x:c>
      <x:c r="J1303" s="18" t="str">
        <x:v>Erişildi</x:v>
      </x:c>
      <x:c r="K1303" s="18" t="str">
        <x:f>IF(AND(ISNUMBER(G1303),ISNUMBER(I1303)),I1303/G1303*1000,"Erişilemedi")</x:f>
        <x:v>Erişilemedi</x:v>
      </x:c>
      <x:c r="L1303" s="16" t="str">
        <x:v>Belirsiz</x:v>
      </x:c>
      <x:c r="M1303" s="16" t="str">
        <x:v>Kahve ürünü</x:v>
      </x:c>
      <x:c r="N1303" s="16" t="str">
        <x:v>Site haritası ürün sayfası</x:v>
      </x:c>
      <x:c r="O1303" s="16" t="str">
        <x:v>Düşük</x:v>
      </x:c>
      <x:c r="P1303" s="19" t="n">
        <x:v>46245</x:v>
      </x:c>
      <x:c r="Q1303" s="20" t="str">
        <x:v>https://paperroastingcoffee.com/colombia-strawberry-washed---aeropress-championship-selection</x:v>
      </x:c>
      <x:c r="R1303" s="20" t="str">
        <x:v>Ürün kimliği korundu; eksik alanlar erişilemedi olarak işaretlenecek.</x:v>
      </x:c>
    </x:row>
    <x:row r="1304" ht="40" customHeight="1">
      <x:c r="A1304" s="16" t="str">
        <x:v>Paper Coffee &amp; Chocolate</x:v>
      </x:c>
      <x:c r="B1304" s="16" t="str">
        <x:v>Ankara</x:v>
      </x:c>
      <x:c r="C1304" s="16" t="str">
        <x:v>Kısmi doğrulama</x:v>
      </x:c>
      <x:c r="D1304" s="16" t="str">
        <x:v>Ürün kaydı</x:v>
      </x:c>
      <x:c r="E1304" s="16" t="str">
        <x:v>Dark Roast House Blend</x:v>
      </x:c>
      <x:c r="F1304" s="16" t="str">
        <x:v>Harman – menşe belirtilmemiş</x:v>
      </x:c>
      <x:c r="G1304" s="17" t="str">
        <x:v>Erişilemedi</x:v>
      </x:c>
      <x:c r="H1304" s="16" t="str">
        <x:v>Erişilemedi</x:v>
      </x:c>
      <x:c r="I1304" s="18" t="n">
        <x:v>1000</x:v>
      </x:c>
      <x:c r="J1304" s="18" t="str">
        <x:v>Erişildi</x:v>
      </x:c>
      <x:c r="K1304" s="18" t="str">
        <x:f>IF(AND(ISNUMBER(G1304),ISNUMBER(I1304)),I1304/G1304*1000,"Erişilemedi")</x:f>
        <x:v>Erişilemedi</x:v>
      </x:c>
      <x:c r="L1304" s="16" t="str">
        <x:v>Belirsiz</x:v>
      </x:c>
      <x:c r="M1304" s="16" t="str">
        <x:v>Harman</x:v>
      </x:c>
      <x:c r="N1304" s="16" t="str">
        <x:v>Site haritası ürün sayfası</x:v>
      </x:c>
      <x:c r="O1304" s="16" t="str">
        <x:v>Düşük</x:v>
      </x:c>
      <x:c r="P1304" s="19" t="n">
        <x:v>46245</x:v>
      </x:c>
      <x:c r="Q1304" s="20" t="str">
        <x:v>https://paperroastingcoffee.com/dark-roast-espresso-house-blend</x:v>
      </x:c>
      <x:c r="R1304" s="20" t="str">
        <x:v>Ürün kimliği korundu; eksik alanlar erişilemedi olarak işaretlenecek.</x:v>
      </x:c>
    </x:row>
    <x:row r="1305" ht="40" customHeight="1">
      <x:c r="A1305" s="16" t="str">
        <x:v>Paper Coffee &amp; Chocolate</x:v>
      </x:c>
      <x:c r="B1305" s="16" t="str">
        <x:v>Ankara</x:v>
      </x:c>
      <x:c r="C1305" s="16" t="str">
        <x:v>Kısmi doğrulama</x:v>
      </x:c>
      <x:c r="D1305" s="16" t="str">
        <x:v>Ürün kaydı</x:v>
      </x:c>
      <x:c r="E1305" s="16" t="str">
        <x:v>Desenli Kahve Çuvalı</x:v>
      </x:c>
      <x:c r="F1305" s="16" t="str">
        <x:v>Menşe belirtilmemiş</x:v>
      </x:c>
      <x:c r="G1305" s="17" t="n">
        <x:v>69000</x:v>
      </x:c>
      <x:c r="H1305" s="16" t="str">
        <x:v>Erişildi</x:v>
      </x:c>
      <x:c r="I1305" s="18" t="n">
        <x:v>90</x:v>
      </x:c>
      <x:c r="J1305" s="18" t="str">
        <x:v>Erişildi</x:v>
      </x:c>
      <x:c r="K1305" s="18" t="n">
        <x:f>IF(AND(ISNUMBER(G1305),ISNUMBER(I1305)),I1305/G1305*1000,"Erişilemedi")</x:f>
        <x:v>1.3043478260869565</x:v>
      </x:c>
      <x:c r="L1305" s="16" t="str">
        <x:v>Stokta</x:v>
      </x:c>
      <x:c r="M1305" s="16" t="str">
        <x:v>Tek köken/ürün</x:v>
      </x:c>
      <x:c r="N1305" s="16" t="str">
        <x:v>Site haritası + ürün JSON-LD</x:v>
      </x:c>
      <x:c r="O1305" s="16" t="str">
        <x:v>Orta</x:v>
      </x:c>
      <x:c r="P1305" s="19" t="n">
        <x:v>46245</x:v>
      </x:c>
      <x:c r="Q1305" s="20" t="str">
        <x:v>https://paperroastingcoffee.com/desenli-kahve-cuvali</x:v>
      </x:c>
      <x:c r="R1305" s="20" t="str">
        <x:v>Tekil ürün sayfasındaki yapılandırılmış veriden çıkarıldı.</x:v>
      </x:c>
    </x:row>
    <x:row r="1306" ht="40" customHeight="1">
      <x:c r="A1306" s="16" t="str">
        <x:v>Paper Coffee &amp; Chocolate</x:v>
      </x:c>
      <x:c r="B1306" s="16" t="str">
        <x:v>Ankara</x:v>
      </x:c>
      <x:c r="C1306" s="16" t="str">
        <x:v>Kısmi doğrulama</x:v>
      </x:c>
      <x:c r="D1306" s="16" t="str">
        <x:v>Ürün kaydı</x:v>
      </x:c>
      <x:c r="E1306" s="16" t="str">
        <x:v>Desenli Kahve Çuvalı</x:v>
      </x:c>
      <x:c r="F1306" s="16" t="str">
        <x:v>Menşe belirtilmemiş</x:v>
      </x:c>
      <x:c r="G1306" s="17" t="n">
        <x:v>69000</x:v>
      </x:c>
      <x:c r="H1306" s="16" t="str">
        <x:v>Erişildi</x:v>
      </x:c>
      <x:c r="I1306" s="18" t="n">
        <x:v>1000</x:v>
      </x:c>
      <x:c r="J1306" s="18" t="str">
        <x:v>Erişildi</x:v>
      </x:c>
      <x:c r="K1306" s="18" t="n">
        <x:f>IF(AND(ISNUMBER(G1306),ISNUMBER(I1306)),I1306/G1306*1000,"Erişilemedi")</x:f>
        <x:v>14.492753623188406</x:v>
      </x:c>
      <x:c r="L1306" s="16" t="str">
        <x:v>Belirsiz</x:v>
      </x:c>
      <x:c r="M1306" s="16" t="str">
        <x:v>Kahve ürünü</x:v>
      </x:c>
      <x:c r="N1306" s="16" t="str">
        <x:v>Site haritası ürün sayfası</x:v>
      </x:c>
      <x:c r="O1306" s="16" t="str">
        <x:v>Orta</x:v>
      </x:c>
      <x:c r="P1306" s="19" t="n">
        <x:v>46245</x:v>
      </x:c>
      <x:c r="Q1306" s="20" t="str">
        <x:v>https://paperroastingcoffee.com/desenli-kahve-cuvali</x:v>
      </x:c>
      <x:c r="R1306" s="20" t="str">
        <x:v>Ürün kimliği korundu; eksik alanlar erişilemedi olarak işaretlenecek.</x:v>
      </x:c>
    </x:row>
    <x:row r="1307" ht="40" customHeight="1">
      <x:c r="A1307" s="16" t="str">
        <x:v>Paper Coffee &amp; Chocolate</x:v>
      </x:c>
      <x:c r="B1307" s="16" t="str">
        <x:v>Ankara</x:v>
      </x:c>
      <x:c r="C1307" s="16" t="str">
        <x:v>Kısmi doğrulama</x:v>
      </x:c>
      <x:c r="D1307" s="16" t="str">
        <x:v>Ürün kaydı</x:v>
      </x:c>
      <x:c r="E1307" s="16" t="str">
        <x:v>ESPRESSO - Brazil Cerrado Natural</x:v>
      </x:c>
      <x:c r="F1307" s="16" t="str">
        <x:v>Brezilya</x:v>
      </x:c>
      <x:c r="G1307" s="17" t="str">
        <x:v>Erişilemedi</x:v>
      </x:c>
      <x:c r="H1307" s="16" t="str">
        <x:v>Erişilemedi</x:v>
      </x:c>
      <x:c r="I1307" s="18" t="n">
        <x:v>1000</x:v>
      </x:c>
      <x:c r="J1307" s="18" t="str">
        <x:v>Erişildi</x:v>
      </x:c>
      <x:c r="K1307" s="18" t="str">
        <x:f>IF(AND(ISNUMBER(G1307),ISNUMBER(I1307)),I1307/G1307*1000,"Erişilemedi")</x:f>
        <x:v>Erişilemedi</x:v>
      </x:c>
      <x:c r="L1307" s="16" t="str">
        <x:v>Belirsiz</x:v>
      </x:c>
      <x:c r="M1307" s="16" t="str">
        <x:v>Kahve ürünü</x:v>
      </x:c>
      <x:c r="N1307" s="16" t="str">
        <x:v>Site haritası ürün sayfası</x:v>
      </x:c>
      <x:c r="O1307" s="16" t="str">
        <x:v>Düşük</x:v>
      </x:c>
      <x:c r="P1307" s="19" t="n">
        <x:v>46245</x:v>
      </x:c>
      <x:c r="Q1307" s="20" t="str">
        <x:v>https://paperroastingcoffee.com/espresso---brazil-cerrado-natural</x:v>
      </x:c>
      <x:c r="R1307" s="20" t="str">
        <x:v>Ürün kimliği korundu; eksik alanlar erişilemedi olarak işaretlenecek.</x:v>
      </x:c>
    </x:row>
    <x:row r="1308" ht="40" customHeight="1">
      <x:c r="A1308" s="16" t="str">
        <x:v>Paper Coffee &amp; Chocolate</x:v>
      </x:c>
      <x:c r="B1308" s="16" t="str">
        <x:v>Ankara</x:v>
      </x:c>
      <x:c r="C1308" s="16" t="str">
        <x:v>Kısmi doğrulama</x:v>
      </x:c>
      <x:c r="D1308" s="16" t="str">
        <x:v>Ürün kaydı</x:v>
      </x:c>
      <x:c r="E1308" s="16" t="str">
        <x:v>Espresso - Ethiopia Yirgacheffe Washed</x:v>
      </x:c>
      <x:c r="F1308" s="16" t="str">
        <x:v>Etiyopya</x:v>
      </x:c>
      <x:c r="G1308" s="17" t="str">
        <x:v>Erişilemedi</x:v>
      </x:c>
      <x:c r="H1308" s="16" t="str">
        <x:v>Erişilemedi</x:v>
      </x:c>
      <x:c r="I1308" s="18" t="n">
        <x:v>1000</x:v>
      </x:c>
      <x:c r="J1308" s="18" t="str">
        <x:v>Erişildi</x:v>
      </x:c>
      <x:c r="K1308" s="18" t="str">
        <x:f>IF(AND(ISNUMBER(G1308),ISNUMBER(I1308)),I1308/G1308*1000,"Erişilemedi")</x:f>
        <x:v>Erişilemedi</x:v>
      </x:c>
      <x:c r="L1308" s="16" t="str">
        <x:v>Belirsiz</x:v>
      </x:c>
      <x:c r="M1308" s="16" t="str">
        <x:v>Kahve ürünü</x:v>
      </x:c>
      <x:c r="N1308" s="16" t="str">
        <x:v>Site haritası ürün sayfası</x:v>
      </x:c>
      <x:c r="O1308" s="16" t="str">
        <x:v>Düşük</x:v>
      </x:c>
      <x:c r="P1308" s="19" t="n">
        <x:v>46245</x:v>
      </x:c>
      <x:c r="Q1308" s="20" t="str">
        <x:v>https://paperroastingcoffee.com/espresso-ethiopia-yirgacheffe-washed</x:v>
      </x:c>
      <x:c r="R1308" s="20" t="str">
        <x:v>Ürün kimliği korundu; eksik alanlar erişilemedi olarak işaretlenecek.</x:v>
      </x:c>
    </x:row>
    <x:row r="1309" ht="40" customHeight="1">
      <x:c r="A1309" s="16" t="str">
        <x:v>Paper Coffee &amp; Chocolate</x:v>
      </x:c>
      <x:c r="B1309" s="16" t="str">
        <x:v>Ankara</x:v>
      </x:c>
      <x:c r="C1309" s="16" t="str">
        <x:v>Kısmi doğrulama</x:v>
      </x:c>
      <x:c r="D1309" s="16" t="str">
        <x:v>Ürün kaydı</x:v>
      </x:c>
      <x:c r="E1309" s="16" t="str">
        <x:v>Espresso Yirgacheffe Washed</x:v>
      </x:c>
      <x:c r="F1309" s="16" t="str">
        <x:v>Etiyopya</x:v>
      </x:c>
      <x:c r="G1309" s="17" t="str">
        <x:v>Erişilemedi</x:v>
      </x:c>
      <x:c r="H1309" s="16" t="str">
        <x:v>Erişilemedi</x:v>
      </x:c>
      <x:c r="I1309" s="18" t="n">
        <x:v>1000</x:v>
      </x:c>
      <x:c r="J1309" s="18" t="str">
        <x:v>Erişildi</x:v>
      </x:c>
      <x:c r="K1309" s="18" t="str">
        <x:f>IF(AND(ISNUMBER(G1309),ISNUMBER(I1309)),I1309/G1309*1000,"Erişilemedi")</x:f>
        <x:v>Erişilemedi</x:v>
      </x:c>
      <x:c r="L1309" s="16" t="str">
        <x:v>Belirsiz</x:v>
      </x:c>
      <x:c r="M1309" s="16" t="str">
        <x:v>Kahve ürünü</x:v>
      </x:c>
      <x:c r="N1309" s="16" t="str">
        <x:v>Site haritası ürün sayfası</x:v>
      </x:c>
      <x:c r="O1309" s="16" t="str">
        <x:v>Düşük</x:v>
      </x:c>
      <x:c r="P1309" s="19" t="n">
        <x:v>46245</x:v>
      </x:c>
      <x:c r="Q1309" s="20" t="str">
        <x:v>https://paperroastingcoffee.com/natural-espresso-yirgacheffe-washed</x:v>
      </x:c>
      <x:c r="R1309" s="20" t="str">
        <x:v>Ürün kimliği korundu; eksik alanlar erişilemedi olarak işaretlenecek.</x:v>
      </x:c>
    </x:row>
    <x:row r="1310" ht="40" customHeight="1">
      <x:c r="A1310" s="16" t="str">
        <x:v>Paper Coffee &amp; Chocolate</x:v>
      </x:c>
      <x:c r="B1310" s="16" t="str">
        <x:v>Ankara</x:v>
      </x:c>
      <x:c r="C1310" s="16" t="str">
        <x:v>Kısmi doğrulama</x:v>
      </x:c>
      <x:c r="D1310" s="16" t="str">
        <x:v>Ürün kaydı</x:v>
      </x:c>
      <x:c r="E1310" s="16" t="str">
        <x:v>Ethiopia Sidamo Natural - Kapsül Kahve</x:v>
      </x:c>
      <x:c r="F1310" s="16" t="str">
        <x:v>Etiyopya</x:v>
      </x:c>
      <x:c r="G1310" s="17" t="n">
        <x:v>55</x:v>
      </x:c>
      <x:c r="H1310" s="16" t="str">
        <x:v>Erişildi</x:v>
      </x:c>
      <x:c r="I1310" s="18" t="n">
        <x:v>289</x:v>
      </x:c>
      <x:c r="J1310" s="18" t="str">
        <x:v>Erişildi</x:v>
      </x:c>
      <x:c r="K1310" s="18" t="n">
        <x:f>IF(AND(ISNUMBER(G1310),ISNUMBER(I1310)),I1310/G1310*1000,"Erişilemedi")</x:f>
        <x:v>5254.545454545455</x:v>
      </x:c>
      <x:c r="L1310" s="16" t="str">
        <x:v>Stokta</x:v>
      </x:c>
      <x:c r="M1310" s="16" t="str">
        <x:v>Tek köken/ürün</x:v>
      </x:c>
      <x:c r="N1310" s="16" t="str">
        <x:v>Site haritası + ürün JSON-LD</x:v>
      </x:c>
      <x:c r="O1310" s="16" t="str">
        <x:v>Orta</x:v>
      </x:c>
      <x:c r="P1310" s="19" t="n">
        <x:v>46245</x:v>
      </x:c>
      <x:c r="Q1310" s="20" t="str">
        <x:v>https://paperroastingcoffee.com/ethiopia-sidamo-natural---kapsul-kahve</x:v>
      </x:c>
      <x:c r="R1310" s="20" t="str">
        <x:v>Tekil ürün sayfasındaki yapılandırılmış veriden çıkarıldı.</x:v>
      </x:c>
    </x:row>
    <x:row r="1311" ht="40" customHeight="1">
      <x:c r="A1311" s="16" t="str">
        <x:v>Paper Coffee &amp; Chocolate</x:v>
      </x:c>
      <x:c r="B1311" s="16" t="str">
        <x:v>Ankara</x:v>
      </x:c>
      <x:c r="C1311" s="16" t="str">
        <x:v>Kısmi doğrulama</x:v>
      </x:c>
      <x:c r="D1311" s="16" t="str">
        <x:v>Ürün kaydı</x:v>
      </x:c>
      <x:c r="E1311" s="16" t="str">
        <x:v>Ethiopia Sidamo Natural - Kapsül Kahve</x:v>
      </x:c>
      <x:c r="F1311" s="16" t="str">
        <x:v>Etiyopya</x:v>
      </x:c>
      <x:c r="G1311" s="17" t="n">
        <x:v>55</x:v>
      </x:c>
      <x:c r="H1311" s="16" t="str">
        <x:v>Erişildi</x:v>
      </x:c>
      <x:c r="I1311" s="18" t="n">
        <x:v>1000</x:v>
      </x:c>
      <x:c r="J1311" s="18" t="str">
        <x:v>Erişildi</x:v>
      </x:c>
      <x:c r="K1311" s="18" t="n">
        <x:f>IF(AND(ISNUMBER(G1311),ISNUMBER(I1311)),I1311/G1311*1000,"Erişilemedi")</x:f>
        <x:v>18181.818181818184</x:v>
      </x:c>
      <x:c r="L1311" s="16" t="str">
        <x:v>Belirsiz</x:v>
      </x:c>
      <x:c r="M1311" s="16" t="str">
        <x:v>Kahve ürünü</x:v>
      </x:c>
      <x:c r="N1311" s="16" t="str">
        <x:v>Site haritası ürün sayfası</x:v>
      </x:c>
      <x:c r="O1311" s="16" t="str">
        <x:v>Orta</x:v>
      </x:c>
      <x:c r="P1311" s="19" t="n">
        <x:v>46245</x:v>
      </x:c>
      <x:c r="Q1311" s="20" t="str">
        <x:v>https://paperroastingcoffee.com/ethiopia-sidamo-natural---kapsul-kahve</x:v>
      </x:c>
      <x:c r="R1311" s="20" t="str">
        <x:v>Ürün kimliği korundu; eksik alanlar erişilemedi olarak işaretlenecek.</x:v>
      </x:c>
    </x:row>
    <x:row r="1312" ht="40" customHeight="1">
      <x:c r="A1312" s="16" t="str">
        <x:v>Paper Coffee &amp; Chocolate</x:v>
      </x:c>
      <x:c r="B1312" s="16" t="str">
        <x:v>Ankara</x:v>
      </x:c>
      <x:c r="C1312" s="16" t="str">
        <x:v>Kısmi doğrulama</x:v>
      </x:c>
      <x:c r="D1312" s="16" t="str">
        <x:v>Ürün kaydı</x:v>
      </x:c>
      <x:c r="E1312" s="16" t="str">
        <x:v>Ethiopia Yirgacheffe Washed</x:v>
      </x:c>
      <x:c r="F1312" s="16" t="str">
        <x:v>Etiyopya</x:v>
      </x:c>
      <x:c r="G1312" s="17" t="str">
        <x:v>Erişilemedi</x:v>
      </x:c>
      <x:c r="H1312" s="16" t="str">
        <x:v>Erişilemedi</x:v>
      </x:c>
      <x:c r="I1312" s="18" t="n">
        <x:v>1000</x:v>
      </x:c>
      <x:c r="J1312" s="18" t="str">
        <x:v>Erişildi</x:v>
      </x:c>
      <x:c r="K1312" s="18" t="str">
        <x:f>IF(AND(ISNUMBER(G1312),ISNUMBER(I1312)),I1312/G1312*1000,"Erişilemedi")</x:f>
        <x:v>Erişilemedi</x:v>
      </x:c>
      <x:c r="L1312" s="16" t="str">
        <x:v>Belirsiz</x:v>
      </x:c>
      <x:c r="M1312" s="16" t="str">
        <x:v>Kahve ürünü</x:v>
      </x:c>
      <x:c r="N1312" s="16" t="str">
        <x:v>Site haritası ürün sayfası</x:v>
      </x:c>
      <x:c r="O1312" s="16" t="str">
        <x:v>Düşük</x:v>
      </x:c>
      <x:c r="P1312" s="19" t="n">
        <x:v>46245</x:v>
      </x:c>
      <x:c r="Q1312" s="20" t="str">
        <x:v>https://paperroastingcoffee.com/ethiopia-yirgacheffe-washed-1</x:v>
      </x:c>
      <x:c r="R1312" s="20" t="str">
        <x:v>Ürün kimliği korundu; eksik alanlar erişilemedi olarak işaretlenecek.</x:v>
      </x:c>
    </x:row>
    <x:row r="1313" ht="40" customHeight="1">
      <x:c r="A1313" s="16" t="str">
        <x:v>Paper Coffee &amp; Chocolate</x:v>
      </x:c>
      <x:c r="B1313" s="16" t="str">
        <x:v>Ankara</x:v>
      </x:c>
      <x:c r="C1313" s="16" t="str">
        <x:v>Kısmi doğrulama</x:v>
      </x:c>
      <x:c r="D1313" s="16" t="str">
        <x:v>Ürün kaydı</x:v>
      </x:c>
      <x:c r="E1313" s="16" t="str">
        <x:v>Guess? Espresso Blend</x:v>
      </x:c>
      <x:c r="F1313" s="16" t="str">
        <x:v>Harman – menşe belirtilmemiş</x:v>
      </x:c>
      <x:c r="G1313" s="17" t="str">
        <x:v>Erişilemedi</x:v>
      </x:c>
      <x:c r="H1313" s="16" t="str">
        <x:v>Erişilemedi</x:v>
      </x:c>
      <x:c r="I1313" s="18" t="n">
        <x:v>1000</x:v>
      </x:c>
      <x:c r="J1313" s="18" t="str">
        <x:v>Erişildi</x:v>
      </x:c>
      <x:c r="K1313" s="18" t="str">
        <x:f>IF(AND(ISNUMBER(G1313),ISNUMBER(I1313)),I1313/G1313*1000,"Erişilemedi")</x:f>
        <x:v>Erişilemedi</x:v>
      </x:c>
      <x:c r="L1313" s="16" t="str">
        <x:v>Belirsiz</x:v>
      </x:c>
      <x:c r="M1313" s="16" t="str">
        <x:v>Harman</x:v>
      </x:c>
      <x:c r="N1313" s="16" t="str">
        <x:v>Site haritası ürün sayfası</x:v>
      </x:c>
      <x:c r="O1313" s="16" t="str">
        <x:v>Düşük</x:v>
      </x:c>
      <x:c r="P1313" s="19" t="n">
        <x:v>46245</x:v>
      </x:c>
      <x:c r="Q1313" s="20" t="str">
        <x:v>https://paperroastingcoffee.com/guess-espresso-blend-250-gr-1</x:v>
      </x:c>
      <x:c r="R1313" s="20" t="str">
        <x:v>Ürün kimliği korundu; eksik alanlar erişilemedi olarak işaretlenecek.</x:v>
      </x:c>
    </x:row>
    <x:row r="1314" ht="40" customHeight="1">
      <x:c r="A1314" s="16" t="str">
        <x:v>Paper Coffee &amp; Chocolate</x:v>
      </x:c>
      <x:c r="B1314" s="16" t="str">
        <x:v>Ankara</x:v>
      </x:c>
      <x:c r="C1314" s="16" t="str">
        <x:v>Kısmi doğrulama</x:v>
      </x:c>
      <x:c r="D1314" s="16" t="str">
        <x:v>Ürün kaydı</x:v>
      </x:c>
      <x:c r="E1314" s="16" t="str">
        <x:v>Guess? Espresso Blend - Kapsül Kahve</x:v>
      </x:c>
      <x:c r="F1314" s="16" t="str">
        <x:v>Harman – menşe belirtilmemiş</x:v>
      </x:c>
      <x:c r="G1314" s="17" t="n">
        <x:v>55</x:v>
      </x:c>
      <x:c r="H1314" s="16" t="str">
        <x:v>Erişildi</x:v>
      </x:c>
      <x:c r="I1314" s="18" t="n">
        <x:v>279</x:v>
      </x:c>
      <x:c r="J1314" s="18" t="str">
        <x:v>Erişildi</x:v>
      </x:c>
      <x:c r="K1314" s="18" t="n">
        <x:f>IF(AND(ISNUMBER(G1314),ISNUMBER(I1314)),I1314/G1314*1000,"Erişilemedi")</x:f>
        <x:v>5072.727272727272</x:v>
      </x:c>
      <x:c r="L1314" s="16" t="str">
        <x:v>Stokta</x:v>
      </x:c>
      <x:c r="M1314" s="16" t="str">
        <x:v>Harman</x:v>
      </x:c>
      <x:c r="N1314" s="16" t="str">
        <x:v>Site haritası + ürün JSON-LD</x:v>
      </x:c>
      <x:c r="O1314" s="16" t="str">
        <x:v>Orta</x:v>
      </x:c>
      <x:c r="P1314" s="19" t="n">
        <x:v>46245</x:v>
      </x:c>
      <x:c r="Q1314" s="20" t="str">
        <x:v>https://paperroastingcoffee.com/guess-espresso-blend---kapsul-kahve</x:v>
      </x:c>
      <x:c r="R1314" s="20" t="str">
        <x:v>Tekil ürün sayfasındaki yapılandırılmış veriden çıkarıldı.</x:v>
      </x:c>
    </x:row>
    <x:row r="1315" ht="40" customHeight="1">
      <x:c r="A1315" s="16" t="str">
        <x:v>Paper Coffee &amp; Chocolate</x:v>
      </x:c>
      <x:c r="B1315" s="16" t="str">
        <x:v>Ankara</x:v>
      </x:c>
      <x:c r="C1315" s="16" t="str">
        <x:v>Kısmi doğrulama</x:v>
      </x:c>
      <x:c r="D1315" s="16" t="str">
        <x:v>Ürün kaydı</x:v>
      </x:c>
      <x:c r="E1315" s="16" t="str">
        <x:v>Guess? Espresso Blend - Kapsül Kahve</x:v>
      </x:c>
      <x:c r="F1315" s="16" t="str">
        <x:v>Harman – menşe belirtilmemiş</x:v>
      </x:c>
      <x:c r="G1315" s="17" t="n">
        <x:v>55</x:v>
      </x:c>
      <x:c r="H1315" s="16" t="str">
        <x:v>Erişildi</x:v>
      </x:c>
      <x:c r="I1315" s="18" t="n">
        <x:v>1000</x:v>
      </x:c>
      <x:c r="J1315" s="18" t="str">
        <x:v>Erişildi</x:v>
      </x:c>
      <x:c r="K1315" s="18" t="n">
        <x:f>IF(AND(ISNUMBER(G1315),ISNUMBER(I1315)),I1315/G1315*1000,"Erişilemedi")</x:f>
        <x:v>18181.818181818184</x:v>
      </x:c>
      <x:c r="L1315" s="16" t="str">
        <x:v>Belirsiz</x:v>
      </x:c>
      <x:c r="M1315" s="16" t="str">
        <x:v>Harman</x:v>
      </x:c>
      <x:c r="N1315" s="16" t="str">
        <x:v>Site haritası ürün sayfası</x:v>
      </x:c>
      <x:c r="O1315" s="16" t="str">
        <x:v>Orta</x:v>
      </x:c>
      <x:c r="P1315" s="19" t="n">
        <x:v>46245</x:v>
      </x:c>
      <x:c r="Q1315" s="20" t="str">
        <x:v>https://paperroastingcoffee.com/guess-espresso-blend---kapsul-kahve</x:v>
      </x:c>
      <x:c r="R1315" s="20" t="str">
        <x:v>Ürün kimliği korundu; eksik alanlar erişilemedi olarak işaretlenecek.</x:v>
      </x:c>
    </x:row>
    <x:row r="1316" ht="40" customHeight="1">
      <x:c r="A1316" s="16" t="str">
        <x:v>Paper Coffee &amp; Chocolate</x:v>
      </x:c>
      <x:c r="B1316" s="16" t="str">
        <x:v>Ankara</x:v>
      </x:c>
      <x:c r="C1316" s="16" t="str">
        <x:v>Kısmi doğrulama</x:v>
      </x:c>
      <x:c r="D1316" s="16" t="str">
        <x:v>Ürün kaydı</x:v>
      </x:c>
      <x:c r="E1316" s="16" t="str">
        <x:v>Kahve Aboneliği (6 Aylık)</x:v>
      </x:c>
      <x:c r="F1316" s="16" t="str">
        <x:v>Menşe belirtilmemiş</x:v>
      </x:c>
      <x:c r="G1316" s="17" t="n">
        <x:v>1000</x:v>
      </x:c>
      <x:c r="H1316" s="16" t="str">
        <x:v>Erişildi</x:v>
      </x:c>
      <x:c r="I1316" s="18" t="n">
        <x:v>3700</x:v>
      </x:c>
      <x:c r="J1316" s="18" t="str">
        <x:v>Erişildi</x:v>
      </x:c>
      <x:c r="K1316" s="18" t="n">
        <x:f>IF(AND(ISNUMBER(G1316),ISNUMBER(I1316)),I1316/G1316*1000,"Erişilemedi")</x:f>
        <x:v>3700</x:v>
      </x:c>
      <x:c r="L1316" s="16" t="str">
        <x:v>Stokta</x:v>
      </x:c>
      <x:c r="M1316" s="16" t="str">
        <x:v>Tek köken/ürün</x:v>
      </x:c>
      <x:c r="N1316" s="16" t="str">
        <x:v>Site haritası + ürün JSON-LD</x:v>
      </x:c>
      <x:c r="O1316" s="16" t="str">
        <x:v>Orta</x:v>
      </x:c>
      <x:c r="P1316" s="19" t="n">
        <x:v>46245</x:v>
      </x:c>
      <x:c r="Q1316" s="20" t="str">
        <x:v>https://paperroastingcoffee.com/kahve-aboneligi-6-aylik</x:v>
      </x:c>
      <x:c r="R1316" s="20" t="str">
        <x:v>Tekil ürün sayfasındaki yapılandırılmış veriden çıkarıldı.</x:v>
      </x:c>
    </x:row>
    <x:row r="1317" ht="40" customHeight="1">
      <x:c r="A1317" s="16" t="str">
        <x:v>Paper Coffee &amp; Chocolate</x:v>
      </x:c>
      <x:c r="B1317" s="16" t="str">
        <x:v>Ankara</x:v>
      </x:c>
      <x:c r="C1317" s="16" t="str">
        <x:v>Kısmi doğrulama</x:v>
      </x:c>
      <x:c r="D1317" s="16" t="str">
        <x:v>Ürün kaydı</x:v>
      </x:c>
      <x:c r="E1317" s="16" t="str">
        <x:v>Kahve Aboneliği (6 Aylık)</x:v>
      </x:c>
      <x:c r="F1317" s="16" t="str">
        <x:v>Menşe belirtilmemiş</x:v>
      </x:c>
      <x:c r="G1317" s="17" t="n">
        <x:v>1000</x:v>
      </x:c>
      <x:c r="H1317" s="16" t="str">
        <x:v>Erişildi</x:v>
      </x:c>
      <x:c r="I1317" s="18" t="n">
        <x:v>1000</x:v>
      </x:c>
      <x:c r="J1317" s="18" t="str">
        <x:v>Erişildi</x:v>
      </x:c>
      <x:c r="K1317" s="18" t="n">
        <x:f>IF(AND(ISNUMBER(G1317),ISNUMBER(I1317)),I1317/G1317*1000,"Erişilemedi")</x:f>
        <x:v>1000</x:v>
      </x:c>
      <x:c r="L1317" s="16" t="str">
        <x:v>Belirsiz</x:v>
      </x:c>
      <x:c r="M1317" s="16" t="str">
        <x:v>Kahve ürünü</x:v>
      </x:c>
      <x:c r="N1317" s="16" t="str">
        <x:v>Site haritası ürün sayfası</x:v>
      </x:c>
      <x:c r="O1317" s="16" t="str">
        <x:v>Orta</x:v>
      </x:c>
      <x:c r="P1317" s="19" t="n">
        <x:v>46245</x:v>
      </x:c>
      <x:c r="Q1317" s="20" t="str">
        <x:v>https://paperroastingcoffee.com/kahve-aboneligi-6-aylik</x:v>
      </x:c>
      <x:c r="R1317" s="20" t="str">
        <x:v>Ürün kimliği korundu; eksik alanlar erişilemedi olarak işaretlenecek.</x:v>
      </x:c>
    </x:row>
    <x:row r="1318" ht="40" customHeight="1">
      <x:c r="A1318" s="16" t="str">
        <x:v>Paper Coffee &amp; Chocolate</x:v>
      </x:c>
      <x:c r="B1318" s="16" t="str">
        <x:v>Ankara</x:v>
      </x:c>
      <x:c r="C1318" s="16" t="str">
        <x:v>Kısmi doğrulama</x:v>
      </x:c>
      <x:c r="D1318" s="16" t="str">
        <x:v>Ürün kaydı</x:v>
      </x:c>
      <x:c r="E1318" s="16" t="str">
        <x:v>Kitap - Nitelikli Kahve 3. Basım - Uğur Asilsoy</x:v>
      </x:c>
      <x:c r="F1318" s="16" t="str">
        <x:v>Menşe belirtilmemiş</x:v>
      </x:c>
      <x:c r="G1318" s="17" t="str">
        <x:v>Erişilemedi</x:v>
      </x:c>
      <x:c r="H1318" s="16" t="str">
        <x:v>Erişilemedi</x:v>
      </x:c>
      <x:c r="I1318" s="18" t="n">
        <x:v>1000</x:v>
      </x:c>
      <x:c r="J1318" s="18" t="str">
        <x:v>Erişildi</x:v>
      </x:c>
      <x:c r="K1318" s="18" t="str">
        <x:f>IF(AND(ISNUMBER(G1318),ISNUMBER(I1318)),I1318/G1318*1000,"Erişilemedi")</x:f>
        <x:v>Erişilemedi</x:v>
      </x:c>
      <x:c r="L1318" s="16" t="str">
        <x:v>Belirsiz</x:v>
      </x:c>
      <x:c r="M1318" s="16" t="str">
        <x:v>Kahve ürünü</x:v>
      </x:c>
      <x:c r="N1318" s="16" t="str">
        <x:v>Site haritası ürün sayfası</x:v>
      </x:c>
      <x:c r="O1318" s="16" t="str">
        <x:v>Düşük</x:v>
      </x:c>
      <x:c r="P1318" s="19" t="n">
        <x:v>46245</x:v>
      </x:c>
      <x:c r="Q1318" s="20" t="str">
        <x:v>https://paperroastingcoffee.com/kitap-nitelikli-kahve-ugur-asilsoy</x:v>
      </x:c>
      <x:c r="R1318" s="20" t="str">
        <x:v>Ürün kimliği korundu; eksik alanlar erişilemedi olarak işaretlenecek.</x:v>
      </x:c>
    </x:row>
    <x:row r="1319" ht="40" customHeight="1">
      <x:c r="A1319" s="16" t="str">
        <x:v>Paper Coffee &amp; Chocolate</x:v>
      </x:c>
      <x:c r="B1319" s="16" t="str">
        <x:v>Ankara</x:v>
      </x:c>
      <x:c r="C1319" s="16" t="str">
        <x:v>Kısmi doğrulama</x:v>
      </x:c>
      <x:c r="D1319" s="16" t="str">
        <x:v>Ürün kaydı</x:v>
      </x:c>
      <x:c r="E1319" s="16" t="str">
        <x:v>Mixed Fruit Box - 200 gr</x:v>
      </x:c>
      <x:c r="F1319" s="16" t="str">
        <x:v>Menşe belirtilmemiş</x:v>
      </x:c>
      <x:c r="G1319" s="17" t="n">
        <x:v>200</x:v>
      </x:c>
      <x:c r="H1319" s="16" t="str">
        <x:v>Erişildi</x:v>
      </x:c>
      <x:c r="I1319" s="18" t="n">
        <x:v>650</x:v>
      </x:c>
      <x:c r="J1319" s="18" t="str">
        <x:v>Erişildi</x:v>
      </x:c>
      <x:c r="K1319" s="18" t="n">
        <x:f>IF(AND(ISNUMBER(G1319),ISNUMBER(I1319)),I1319/G1319*1000,"Erişilemedi")</x:f>
        <x:v>3250</x:v>
      </x:c>
      <x:c r="L1319" s="16" t="str">
        <x:v>Stokta</x:v>
      </x:c>
      <x:c r="M1319" s="16" t="str">
        <x:v>Tek köken/ürün</x:v>
      </x:c>
      <x:c r="N1319" s="16" t="str">
        <x:v>Site haritası + ürün JSON-LD</x:v>
      </x:c>
      <x:c r="O1319" s="16" t="str">
        <x:v>Orta</x:v>
      </x:c>
      <x:c r="P1319" s="19" t="n">
        <x:v>46245</x:v>
      </x:c>
      <x:c r="Q1319" s="20" t="str">
        <x:v>https://paperroastingcoffee.com/mixed-fruit-box</x:v>
      </x:c>
      <x:c r="R1319" s="20" t="str">
        <x:v>Tekil ürün sayfasındaki yapılandırılmış veriden çıkarıldı.</x:v>
      </x:c>
    </x:row>
    <x:row r="1320" ht="40" customHeight="1">
      <x:c r="A1320" s="16" t="str">
        <x:v>Paper Coffee &amp; Chocolate</x:v>
      </x:c>
      <x:c r="B1320" s="16" t="str">
        <x:v>Ankara</x:v>
      </x:c>
      <x:c r="C1320" s="16" t="str">
        <x:v>Kısmi doğrulama</x:v>
      </x:c>
      <x:c r="D1320" s="16" t="str">
        <x:v>Ürün kaydı</x:v>
      </x:c>
      <x:c r="E1320" s="16" t="str">
        <x:v>Mixed Fruit Box - 200 gr</x:v>
      </x:c>
      <x:c r="F1320" s="16" t="str">
        <x:v>Menşe belirtilmemiş</x:v>
      </x:c>
      <x:c r="G1320" s="17" t="n">
        <x:v>200</x:v>
      </x:c>
      <x:c r="H1320" s="16" t="str">
        <x:v>Erişildi</x:v>
      </x:c>
      <x:c r="I1320" s="18" t="n">
        <x:v>1000</x:v>
      </x:c>
      <x:c r="J1320" s="18" t="str">
        <x:v>Erişildi</x:v>
      </x:c>
      <x:c r="K1320" s="18" t="n">
        <x:f>IF(AND(ISNUMBER(G1320),ISNUMBER(I1320)),I1320/G1320*1000,"Erişilemedi")</x:f>
        <x:v>5000</x:v>
      </x:c>
      <x:c r="L1320" s="16" t="str">
        <x:v>Belirsiz</x:v>
      </x:c>
      <x:c r="M1320" s="16" t="str">
        <x:v>Kahve ürünü</x:v>
      </x:c>
      <x:c r="N1320" s="16" t="str">
        <x:v>Site haritası ürün sayfası</x:v>
      </x:c>
      <x:c r="O1320" s="16" t="str">
        <x:v>Orta</x:v>
      </x:c>
      <x:c r="P1320" s="19" t="n">
        <x:v>46245</x:v>
      </x:c>
      <x:c r="Q1320" s="20" t="str">
        <x:v>https://paperroastingcoffee.com/mixed-fruit-box</x:v>
      </x:c>
      <x:c r="R1320" s="20" t="str">
        <x:v>Ürün kimliği korundu; eksik alanlar erişilemedi olarak işaretlenecek.</x:v>
      </x:c>
    </x:row>
    <x:row r="1321" ht="40" customHeight="1">
      <x:c r="A1321" s="16" t="str">
        <x:v>Paper Coffee &amp; Chocolate</x:v>
      </x:c>
      <x:c r="B1321" s="16" t="str">
        <x:v>Ankara</x:v>
      </x:c>
      <x:c r="C1321" s="16" t="str">
        <x:v>Kısmi doğrulama</x:v>
      </x:c>
      <x:c r="D1321" s="16" t="str">
        <x:v>Ürün kaydı</x:v>
      </x:c>
      <x:c r="E1321" s="16" t="str">
        <x:v>Paper Chocolate - El Salvador La Carrera %25 Kakao Nibi - Sütlü Çikolata</x:v>
      </x:c>
      <x:c r="F1321" s="16" t="str">
        <x:v>El Salvador</x:v>
      </x:c>
      <x:c r="G1321" s="17" t="str">
        <x:v>Erişilemedi</x:v>
      </x:c>
      <x:c r="H1321" s="16" t="str">
        <x:v>Erişilemedi</x:v>
      </x:c>
      <x:c r="I1321" s="18" t="n">
        <x:v>1000</x:v>
      </x:c>
      <x:c r="J1321" s="18" t="str">
        <x:v>Erişildi</x:v>
      </x:c>
      <x:c r="K1321" s="18" t="str">
        <x:f>IF(AND(ISNUMBER(G1321),ISNUMBER(I1321)),I1321/G1321*1000,"Erişilemedi")</x:f>
        <x:v>Erişilemedi</x:v>
      </x:c>
      <x:c r="L1321" s="16" t="str">
        <x:v>Belirsiz</x:v>
      </x:c>
      <x:c r="M1321" s="16" t="str">
        <x:v>Kahve ürünü</x:v>
      </x:c>
      <x:c r="N1321" s="16" t="str">
        <x:v>Site haritası ürün sayfası</x:v>
      </x:c>
      <x:c r="O1321" s="16" t="str">
        <x:v>Düşük</x:v>
      </x:c>
      <x:c r="P1321" s="19" t="n">
        <x:v>46245</x:v>
      </x:c>
      <x:c r="Q1321" s="20" t="str">
        <x:v>https://paperroastingcoffee.com/paper-chocolate-el-salvador-la-carrera-25-sutlu</x:v>
      </x:c>
      <x:c r="R1321" s="20" t="str">
        <x:v>Ürün kimliği korundu; eksik alanlar erişilemedi olarak işaretlenecek.</x:v>
      </x:c>
    </x:row>
    <x:row r="1322" ht="40" customHeight="1">
      <x:c r="A1322" s="16" t="str">
        <x:v>Paper Coffee &amp; Chocolate</x:v>
      </x:c>
      <x:c r="B1322" s="16" t="str">
        <x:v>Ankara</x:v>
      </x:c>
      <x:c r="C1322" s="16" t="str">
        <x:v>Kısmi doğrulama</x:v>
      </x:c>
      <x:c r="D1322" s="16" t="str">
        <x:v>Ürün kaydı</x:v>
      </x:c>
      <x:c r="E1322" s="16" t="str">
        <x:v>Paper Chocolate - El Salvador La Carrera %70 Kakao Nibi - Bitter Çikolata</x:v>
      </x:c>
      <x:c r="F1322" s="16" t="str">
        <x:v>El Salvador</x:v>
      </x:c>
      <x:c r="G1322" s="17" t="str">
        <x:v>Erişilemedi</x:v>
      </x:c>
      <x:c r="H1322" s="16" t="str">
        <x:v>Erişilemedi</x:v>
      </x:c>
      <x:c r="I1322" s="18" t="n">
        <x:v>1000</x:v>
      </x:c>
      <x:c r="J1322" s="18" t="str">
        <x:v>Erişildi</x:v>
      </x:c>
      <x:c r="K1322" s="18" t="str">
        <x:f>IF(AND(ISNUMBER(G1322),ISNUMBER(I1322)),I1322/G1322*1000,"Erişilemedi")</x:f>
        <x:v>Erişilemedi</x:v>
      </x:c>
      <x:c r="L1322" s="16" t="str">
        <x:v>Belirsiz</x:v>
      </x:c>
      <x:c r="M1322" s="16" t="str">
        <x:v>Kahve ürünü</x:v>
      </x:c>
      <x:c r="N1322" s="16" t="str">
        <x:v>Site haritası ürün sayfası</x:v>
      </x:c>
      <x:c r="O1322" s="16" t="str">
        <x:v>Düşük</x:v>
      </x:c>
      <x:c r="P1322" s="19" t="n">
        <x:v>46245</x:v>
      </x:c>
      <x:c r="Q1322" s="20" t="str">
        <x:v>https://paperroastingcoffee.com/paper-chocolate-el-salvador-la-carrera-70-kakao-nibi-bitter-cikolata</x:v>
      </x:c>
      <x:c r="R1322" s="20" t="str">
        <x:v>Ürün kimliği korundu; eksik alanlar erişilemedi olarak işaretlenecek.</x:v>
      </x:c>
    </x:row>
    <x:row r="1323" ht="40" customHeight="1">
      <x:c r="A1323" s="16" t="str">
        <x:v>Paper Coffee &amp; Chocolate</x:v>
      </x:c>
      <x:c r="B1323" s="16" t="str">
        <x:v>Ankara</x:v>
      </x:c>
      <x:c r="C1323" s="16" t="str">
        <x:v>Kısmi doğrulama</x:v>
      </x:c>
      <x:c r="D1323" s="16" t="str">
        <x:v>Ürün kaydı</x:v>
      </x:c>
      <x:c r="E1323" s="16" t="str">
        <x:v>SCA BARISTA SKILLS - INTERMEDIATE (5-6 EYLÜL)</x:v>
      </x:c>
      <x:c r="F1323" s="16" t="str">
        <x:v>Menşe belirtilmemiş</x:v>
      </x:c>
      <x:c r="G1323" s="17" t="str">
        <x:v>Erişilemedi</x:v>
      </x:c>
      <x:c r="H1323" s="16" t="str">
        <x:v>Erişilemedi</x:v>
      </x:c>
      <x:c r="I1323" s="18" t="n">
        <x:v>1000</x:v>
      </x:c>
      <x:c r="J1323" s="18" t="str">
        <x:v>Erişildi</x:v>
      </x:c>
      <x:c r="K1323" s="18" t="str">
        <x:f>IF(AND(ISNUMBER(G1323),ISNUMBER(I1323)),I1323/G1323*1000,"Erişilemedi")</x:f>
        <x:v>Erişilemedi</x:v>
      </x:c>
      <x:c r="L1323" s="16" t="str">
        <x:v>Belirsiz</x:v>
      </x:c>
      <x:c r="M1323" s="16" t="str">
        <x:v>Kahve ürünü</x:v>
      </x:c>
      <x:c r="N1323" s="16" t="str">
        <x:v>Site haritası ürün sayfası</x:v>
      </x:c>
      <x:c r="O1323" s="16" t="str">
        <x:v>Düşük</x:v>
      </x:c>
      <x:c r="P1323" s="19" t="n">
        <x:v>46245</x:v>
      </x:c>
      <x:c r="Q1323" s="20" t="str">
        <x:v>https://paperroastingcoffee.com/sca-barista-skills-intermediate-15-16-mayis</x:v>
      </x:c>
      <x:c r="R1323" s="20" t="str">
        <x:v>Ürün kimliği korundu; eksik alanlar erişilemedi olarak işaretlenecek.</x:v>
      </x:c>
    </x:row>
    <x:row r="1324" ht="40" customHeight="1">
      <x:c r="A1324" s="16" t="str">
        <x:v>Paper Coffee &amp; Chocolate</x:v>
      </x:c>
      <x:c r="B1324" s="16" t="str">
        <x:v>Ankara</x:v>
      </x:c>
      <x:c r="C1324" s="16" t="str">
        <x:v>Kısmi doğrulama</x:v>
      </x:c>
      <x:c r="D1324" s="16" t="str">
        <x:v>Ürün kaydı</x:v>
      </x:c>
      <x:c r="E1324" s="16" t="str">
        <x:v>SCA Sensory Skills - FOUNDATION (23 AĞUSTOS)</x:v>
      </x:c>
      <x:c r="F1324" s="16" t="str">
        <x:v>Menşe belirtilmemiş</x:v>
      </x:c>
      <x:c r="G1324" s="17" t="str">
        <x:v>Erişilemedi</x:v>
      </x:c>
      <x:c r="H1324" s="16" t="str">
        <x:v>Erişilemedi</x:v>
      </x:c>
      <x:c r="I1324" s="18" t="n">
        <x:v>1000</x:v>
      </x:c>
      <x:c r="J1324" s="18" t="str">
        <x:v>Erişildi</x:v>
      </x:c>
      <x:c r="K1324" s="18" t="str">
        <x:f>IF(AND(ISNUMBER(G1324),ISNUMBER(I1324)),I1324/G1324*1000,"Erişilemedi")</x:f>
        <x:v>Erişilemedi</x:v>
      </x:c>
      <x:c r="L1324" s="16" t="str">
        <x:v>Belirsiz</x:v>
      </x:c>
      <x:c r="M1324" s="16" t="str">
        <x:v>Kahve ürünü</x:v>
      </x:c>
      <x:c r="N1324" s="16" t="str">
        <x:v>Site haritası ürün sayfası</x:v>
      </x:c>
      <x:c r="O1324" s="16" t="str">
        <x:v>Düşük</x:v>
      </x:c>
      <x:c r="P1324" s="19" t="n">
        <x:v>46245</x:v>
      </x:c>
      <x:c r="Q1324" s="20" t="str">
        <x:v>https://paperroastingcoffee.com/sca-brewing-foundation-8-mayis</x:v>
      </x:c>
      <x:c r="R1324" s="20" t="str">
        <x:v>Ürün kimliği korundu; eksik alanlar erişilemedi olarak işaretlenecek.</x:v>
      </x:c>
    </x:row>
    <x:row r="1325" ht="40" customHeight="1">
      <x:c r="A1325" s="16" t="str">
        <x:v>Paper Coffee &amp; Chocolate</x:v>
      </x:c>
      <x:c r="B1325" s="16" t="str">
        <x:v>Ankara</x:v>
      </x:c>
      <x:c r="C1325" s="16" t="str">
        <x:v>Kısmi doğrulama</x:v>
      </x:c>
      <x:c r="D1325" s="16" t="str">
        <x:v>Ürün kaydı</x:v>
      </x:c>
      <x:c r="E1325" s="16" t="str">
        <x:v>SCA Sensory Skills - INTERMEDIATE (1-2 AĞUSTOS)</x:v>
      </x:c>
      <x:c r="F1325" s="16" t="str">
        <x:v>Menşe belirtilmemiş</x:v>
      </x:c>
      <x:c r="G1325" s="17" t="str">
        <x:v>Erişilemedi</x:v>
      </x:c>
      <x:c r="H1325" s="16" t="str">
        <x:v>Erişilemedi</x:v>
      </x:c>
      <x:c r="I1325" s="18" t="n">
        <x:v>1000</x:v>
      </x:c>
      <x:c r="J1325" s="18" t="str">
        <x:v>Erişildi</x:v>
      </x:c>
      <x:c r="K1325" s="18" t="str">
        <x:f>IF(AND(ISNUMBER(G1325),ISNUMBER(I1325)),I1325/G1325*1000,"Erişilemedi")</x:f>
        <x:v>Erişilemedi</x:v>
      </x:c>
      <x:c r="L1325" s="16" t="str">
        <x:v>Belirsiz</x:v>
      </x:c>
      <x:c r="M1325" s="16" t="str">
        <x:v>Kahve ürünü</x:v>
      </x:c>
      <x:c r="N1325" s="16" t="str">
        <x:v>Site haritası ürün sayfası</x:v>
      </x:c>
      <x:c r="O1325" s="16" t="str">
        <x:v>Düşük</x:v>
      </x:c>
      <x:c r="P1325" s="19" t="n">
        <x:v>46245</x:v>
      </x:c>
      <x:c r="Q1325" s="20" t="str">
        <x:v>https://paperroastingcoffee.com/sca-sensory-skills-foundation-9-mayis-1</x:v>
      </x:c>
      <x:c r="R1325" s="20" t="str">
        <x:v>Ürün kimliği korundu; eksik alanlar erişilemedi olarak işaretlenecek.</x:v>
      </x:c>
    </x:row>
    <x:row r="1326" ht="40" customHeight="1">
      <x:c r="A1326" s="16" t="str">
        <x:v>Paper Coffee &amp; Chocolate</x:v>
      </x:c>
      <x:c r="B1326" s="16" t="str">
        <x:v>Ankara</x:v>
      </x:c>
      <x:c r="C1326" s="16" t="str">
        <x:v>Kısmi doğrulama</x:v>
      </x:c>
      <x:c r="D1326" s="16" t="str">
        <x:v>Ürün kaydı</x:v>
      </x:c>
      <x:c r="E1326" s="16" t="str">
        <x:v>Super Special - Colombia Cafe Granja La Espreanza Potosi XO</x:v>
      </x:c>
      <x:c r="F1326" s="16" t="str">
        <x:v>Kolombiya</x:v>
      </x:c>
      <x:c r="G1326" s="17" t="str">
        <x:v>Erişilemedi</x:v>
      </x:c>
      <x:c r="H1326" s="16" t="str">
        <x:v>Erişilemedi</x:v>
      </x:c>
      <x:c r="I1326" s="18" t="n">
        <x:v>1000</x:v>
      </x:c>
      <x:c r="J1326" s="18" t="str">
        <x:v>Erişildi</x:v>
      </x:c>
      <x:c r="K1326" s="18" t="str">
        <x:f>IF(AND(ISNUMBER(G1326),ISNUMBER(I1326)),I1326/G1326*1000,"Erişilemedi")</x:f>
        <x:v>Erişilemedi</x:v>
      </x:c>
      <x:c r="L1326" s="16" t="str">
        <x:v>Belirsiz</x:v>
      </x:c>
      <x:c r="M1326" s="16" t="str">
        <x:v>Kahve ürünü</x:v>
      </x:c>
      <x:c r="N1326" s="16" t="str">
        <x:v>Site haritası ürün sayfası</x:v>
      </x:c>
      <x:c r="O1326" s="16" t="str">
        <x:v>Düşük</x:v>
      </x:c>
      <x:c r="P1326" s="19" t="n">
        <x:v>46245</x:v>
      </x:c>
      <x:c r="Q1326" s="20" t="str">
        <x:v>https://paperroastingcoffee.com/super-special---colombia-cafe-granja-la-espreanza-potosi-xo---250-gr</x:v>
      </x:c>
      <x:c r="R1326" s="20" t="str">
        <x:v>Ürün kimliği korundu; eksik alanlar erişilemedi olarak işaretlenecek.</x:v>
      </x:c>
    </x:row>
    <x:row r="1327" ht="40" customHeight="1">
      <x:c r="A1327" s="16" t="str">
        <x:v>Paper Coffee &amp; Chocolate</x:v>
      </x:c>
      <x:c r="B1327" s="16" t="str">
        <x:v>Ankara</x:v>
      </x:c>
      <x:c r="C1327" s="16" t="str">
        <x:v>Kısmi doğrulama</x:v>
      </x:c>
      <x:c r="D1327" s="16" t="str">
        <x:v>Ürün kaydı</x:v>
      </x:c>
      <x:c r="E1327" s="16" t="str">
        <x:v>Time More Black Mirror Basic 3 Scale | Hassas Tartı</x:v>
      </x:c>
      <x:c r="F1327" s="16" t="str">
        <x:v>Menşe belirtilmemiş</x:v>
      </x:c>
      <x:c r="G1327" s="17" t="str">
        <x:v>Erişilemedi</x:v>
      </x:c>
      <x:c r="H1327" s="16" t="str">
        <x:v>Erişilemedi</x:v>
      </x:c>
      <x:c r="I1327" s="18" t="n">
        <x:v>1000</x:v>
      </x:c>
      <x:c r="J1327" s="18" t="str">
        <x:v>Erişildi</x:v>
      </x:c>
      <x:c r="K1327" s="18" t="str">
        <x:f>IF(AND(ISNUMBER(G1327),ISNUMBER(I1327)),I1327/G1327*1000,"Erişilemedi")</x:f>
        <x:v>Erişilemedi</x:v>
      </x:c>
      <x:c r="L1327" s="16" t="str">
        <x:v>Belirsiz</x:v>
      </x:c>
      <x:c r="M1327" s="16" t="str">
        <x:v>Kahve ürünü</x:v>
      </x:c>
      <x:c r="N1327" s="16" t="str">
        <x:v>Site haritası ürün sayfası</x:v>
      </x:c>
      <x:c r="O1327" s="16" t="str">
        <x:v>Düşük</x:v>
      </x:c>
      <x:c r="P1327" s="19" t="n">
        <x:v>46245</x:v>
      </x:c>
      <x:c r="Q1327" s="20" t="str">
        <x:v>https://paperroastingcoffee.com/time-more-black-mirror-basic-3-scale-hassas-tarti</x:v>
      </x:c>
      <x:c r="R1327" s="20" t="str">
        <x:v>Ürün kimliği korundu; eksik alanlar erişilemedi olarak işaretlenecek.</x:v>
      </x:c>
    </x:row>
    <x:row r="1328" ht="40" customHeight="1">
      <x:c r="A1328" s="16" t="str">
        <x:v>Paper Coffee &amp; Chocolate</x:v>
      </x:c>
      <x:c r="B1328" s="16" t="str">
        <x:v>Ankara</x:v>
      </x:c>
      <x:c r="C1328" s="16" t="str">
        <x:v>Kısmi doğrulama</x:v>
      </x:c>
      <x:c r="D1328" s="16" t="str">
        <x:v>Ürün kaydı</x:v>
      </x:c>
      <x:c r="E1328" s="16" t="str">
        <x:v>Türk Kahvesi</x:v>
      </x:c>
      <x:c r="F1328" s="16" t="str">
        <x:v>Brezilya</x:v>
      </x:c>
      <x:c r="G1328" s="17" t="str">
        <x:v>Erişilemedi</x:v>
      </x:c>
      <x:c r="H1328" s="16" t="str">
        <x:v>Erişilemedi</x:v>
      </x:c>
      <x:c r="I1328" s="18" t="n">
        <x:v>1000</x:v>
      </x:c>
      <x:c r="J1328" s="18" t="str">
        <x:v>Erişildi</x:v>
      </x:c>
      <x:c r="K1328" s="18" t="str">
        <x:f>IF(AND(ISNUMBER(G1328),ISNUMBER(I1328)),I1328/G1328*1000,"Erişilemedi")</x:f>
        <x:v>Erişilemedi</x:v>
      </x:c>
      <x:c r="L1328" s="16" t="str">
        <x:v>Belirsiz</x:v>
      </x:c>
      <x:c r="M1328" s="16" t="str">
        <x:v>Kahve ürünü</x:v>
      </x:c>
      <x:c r="N1328" s="16" t="str">
        <x:v>Site haritası ürün sayfası</x:v>
      </x:c>
      <x:c r="O1328" s="16" t="str">
        <x:v>Düşük</x:v>
      </x:c>
      <x:c r="P1328" s="19" t="n">
        <x:v>46245</x:v>
      </x:c>
      <x:c r="Q1328" s="20" t="str">
        <x:v>https://paperroastingcoffee.com/turk-kahvesi-250-gr-1</x:v>
      </x:c>
      <x:c r="R1328" s="20" t="str">
        <x:v>Ürün kimliği korundu; eksik alanlar erişilemedi olarak işaretlenecek.</x:v>
      </x:c>
    </x:row>
    <x:row r="1329" ht="40" customHeight="1">
      <x:c r="A1329" s="16" t="str">
        <x:v>Paper Coffee &amp; Chocolate</x:v>
      </x:c>
      <x:c r="B1329" s="16" t="str">
        <x:v>Ankara</x:v>
      </x:c>
      <x:c r="C1329" s="16" t="str">
        <x:v>Kısmi doğrulama</x:v>
      </x:c>
      <x:c r="D1329" s="16" t="str">
        <x:v>Ürün kaydı</x:v>
      </x:c>
      <x:c r="E1329" s="16" t="str">
        <x:v>Whose? Filter Blend</x:v>
      </x:c>
      <x:c r="F1329" s="16" t="str">
        <x:v>Harman – menşe belirtilmemiş</x:v>
      </x:c>
      <x:c r="G1329" s="17" t="str">
        <x:v>Erişilemedi</x:v>
      </x:c>
      <x:c r="H1329" s="16" t="str">
        <x:v>Erişilemedi</x:v>
      </x:c>
      <x:c r="I1329" s="18" t="n">
        <x:v>1000</x:v>
      </x:c>
      <x:c r="J1329" s="18" t="str">
        <x:v>Erişildi</x:v>
      </x:c>
      <x:c r="K1329" s="18" t="str">
        <x:f>IF(AND(ISNUMBER(G1329),ISNUMBER(I1329)),I1329/G1329*1000,"Erişilemedi")</x:f>
        <x:v>Erişilemedi</x:v>
      </x:c>
      <x:c r="L1329" s="16" t="str">
        <x:v>Belirsiz</x:v>
      </x:c>
      <x:c r="M1329" s="16" t="str">
        <x:v>Harman</x:v>
      </x:c>
      <x:c r="N1329" s="16" t="str">
        <x:v>Site haritası ürün sayfası</x:v>
      </x:c>
      <x:c r="O1329" s="16" t="str">
        <x:v>Düşük</x:v>
      </x:c>
      <x:c r="P1329" s="19" t="n">
        <x:v>46245</x:v>
      </x:c>
      <x:c r="Q1329" s="20" t="str">
        <x:v>https://paperroastingcoffee.com/whose-filter-blend-250gr-1-1</x:v>
      </x:c>
      <x:c r="R1329" s="20" t="str">
        <x:v>Ürün kimliği korundu; eksik alanlar erişilemedi olarak işaretlenecek.</x:v>
      </x:c>
    </x:row>
    <x:row r="1330" ht="40" customHeight="1">
      <x:c r="A1330" s="16" t="str">
        <x:v>Paper Coffee &amp; Chocolate</x:v>
      </x:c>
      <x:c r="B1330" s="16" t="str">
        <x:v>Ankara</x:v>
      </x:c>
      <x:c r="C1330" s="16" t="str">
        <x:v>Kısmi doğrulama</x:v>
      </x:c>
      <x:c r="D1330" s="16" t="str">
        <x:v>Ürün kaydı</x:v>
      </x:c>
      <x:c r="E1330" s="16" t="str">
        <x:v>Wilfa - Aroma Konik Dişli Kahve Öğütücü - CGWS-130B</x:v>
      </x:c>
      <x:c r="F1330" s="16" t="str">
        <x:v>Menşe belirtilmemiş</x:v>
      </x:c>
      <x:c r="G1330" s="17" t="str">
        <x:v>Erişilemedi</x:v>
      </x:c>
      <x:c r="H1330" s="16" t="str">
        <x:v>Erişilemedi</x:v>
      </x:c>
      <x:c r="I1330" s="18" t="n">
        <x:v>1000</x:v>
      </x:c>
      <x:c r="J1330" s="18" t="str">
        <x:v>Erişildi</x:v>
      </x:c>
      <x:c r="K1330" s="18" t="str">
        <x:f>IF(AND(ISNUMBER(G1330),ISNUMBER(I1330)),I1330/G1330*1000,"Erişilemedi")</x:f>
        <x:v>Erişilemedi</x:v>
      </x:c>
      <x:c r="L1330" s="16" t="str">
        <x:v>Belirsiz</x:v>
      </x:c>
      <x:c r="M1330" s="16" t="str">
        <x:v>Kahve ürünü</x:v>
      </x:c>
      <x:c r="N1330" s="16" t="str">
        <x:v>Site haritası ürün sayfası</x:v>
      </x:c>
      <x:c r="O1330" s="16" t="str">
        <x:v>Düşük</x:v>
      </x:c>
      <x:c r="P1330" s="19" t="n">
        <x:v>46245</x:v>
      </x:c>
      <x:c r="Q1330" s="20" t="str">
        <x:v>https://paperroastingcoffee.com/wilfa---aroma-konik-disli-kahve-ogutucu---cgws-130b</x:v>
      </x:c>
      <x:c r="R1330" s="20" t="str">
        <x:v>Ürün kimliği korundu; eksik alanlar erişilemedi olarak işaretlenecek.</x:v>
      </x:c>
    </x:row>
    <x:row r="1331" ht="40" customHeight="1">
      <x:c r="A1331" s="16" t="str">
        <x:v>Paper Coffee &amp; Chocolate</x:v>
      </x:c>
      <x:c r="B1331" s="16" t="str">
        <x:v>Ankara</x:v>
      </x:c>
      <x:c r="C1331" s="16" t="str">
        <x:v>Kısmi doğrulama</x:v>
      </x:c>
      <x:c r="D1331" s="16" t="str">
        <x:v>Ürün kaydı</x:v>
      </x:c>
      <x:c r="E1331" s="16" t="str">
        <x:v>Wilfa - Uniform 58mm Flat Dişli Kahve Öğütücü - Gümüş</x:v>
      </x:c>
      <x:c r="F1331" s="16" t="str">
        <x:v>Menşe belirtilmemiş</x:v>
      </x:c>
      <x:c r="G1331" s="17" t="str">
        <x:v>Erişilemedi</x:v>
      </x:c>
      <x:c r="H1331" s="16" t="str">
        <x:v>Erişilemedi</x:v>
      </x:c>
      <x:c r="I1331" s="18" t="n">
        <x:v>1000</x:v>
      </x:c>
      <x:c r="J1331" s="18" t="str">
        <x:v>Erişildi</x:v>
      </x:c>
      <x:c r="K1331" s="18" t="str">
        <x:f>IF(AND(ISNUMBER(G1331),ISNUMBER(I1331)),I1331/G1331*1000,"Erişilemedi")</x:f>
        <x:v>Erişilemedi</x:v>
      </x:c>
      <x:c r="L1331" s="16" t="str">
        <x:v>Belirsiz</x:v>
      </x:c>
      <x:c r="M1331" s="16" t="str">
        <x:v>Kahve ürünü</x:v>
      </x:c>
      <x:c r="N1331" s="16" t="str">
        <x:v>Site haritası ürün sayfası</x:v>
      </x:c>
      <x:c r="O1331" s="16" t="str">
        <x:v>Düşük</x:v>
      </x:c>
      <x:c r="P1331" s="19" t="n">
        <x:v>46245</x:v>
      </x:c>
      <x:c r="Q1331" s="20" t="str">
        <x:v>https://paperroastingcoffee.com/wilfa---uniform-58mm-flat-disli-kahve-ogutucu---gumus</x:v>
      </x:c>
      <x:c r="R1331" s="20" t="str">
        <x:v>Ürün kimliği korundu; eksik alanlar erişilemedi olarak işaretlenecek.</x:v>
      </x:c>
    </x:row>
    <x:row r="1332" ht="40" customHeight="1">
      <x:c r="A1332" s="16" t="str">
        <x:v>Paper Coffee &amp; Chocolate</x:v>
      </x:c>
      <x:c r="B1332" s="16" t="str">
        <x:v>Ankara</x:v>
      </x:c>
      <x:c r="C1332" s="16" t="str">
        <x:v>Kısmi doğrulama</x:v>
      </x:c>
      <x:c r="D1332" s="16" t="str">
        <x:v>Ürün kaydı</x:v>
      </x:c>
      <x:c r="E1332" s="16" t="str">
        <x:v>Wilfa - Uniform+ 58mm Flat Dişli Tartılı Kahve Öğütücü - Siyah</x:v>
      </x:c>
      <x:c r="F1332" s="16" t="str">
        <x:v>Menşe belirtilmemiş</x:v>
      </x:c>
      <x:c r="G1332" s="17" t="str">
        <x:v>Erişilemedi</x:v>
      </x:c>
      <x:c r="H1332" s="16" t="str">
        <x:v>Erişilemedi</x:v>
      </x:c>
      <x:c r="I1332" s="18" t="n">
        <x:v>1000</x:v>
      </x:c>
      <x:c r="J1332" s="18" t="str">
        <x:v>Erişildi</x:v>
      </x:c>
      <x:c r="K1332" s="18" t="str">
        <x:f>IF(AND(ISNUMBER(G1332),ISNUMBER(I1332)),I1332/G1332*1000,"Erişilemedi")</x:f>
        <x:v>Erişilemedi</x:v>
      </x:c>
      <x:c r="L1332" s="16" t="str">
        <x:v>Belirsiz</x:v>
      </x:c>
      <x:c r="M1332" s="16" t="str">
        <x:v>Kahve ürünü</x:v>
      </x:c>
      <x:c r="N1332" s="16" t="str">
        <x:v>Site haritası ürün sayfası</x:v>
      </x:c>
      <x:c r="O1332" s="16" t="str">
        <x:v>Düşük</x:v>
      </x:c>
      <x:c r="P1332" s="19" t="n">
        <x:v>46245</x:v>
      </x:c>
      <x:c r="Q1332" s="20" t="str">
        <x:v>https://paperroastingcoffee.com/wilfa---uniform-58mm-flat-disli-tartili-kahve-ogutucu---siyah</x:v>
      </x:c>
      <x:c r="R1332" s="20" t="str">
        <x:v>Ürün kimliği korundu; eksik alanlar erişilemedi olarak işaretlenecek.</x:v>
      </x:c>
    </x:row>
    <x:row r="1333" ht="40" customHeight="1">
      <x:c r="A1333" s="16" t="str">
        <x:v>Parsa Coffee Roasters</x:v>
      </x:c>
      <x:c r="B1333" s="16" t="str">
        <x:v>İstanbul</x:v>
      </x:c>
      <x:c r="C1333" s="16" t="str">
        <x:v>Doğrulandı</x:v>
      </x:c>
      <x:c r="D1333" s="16" t="str">
        <x:v>Ürün kaydı</x:v>
      </x:c>
      <x:c r="E1333" s="16" t="str">
        <x:v>Brazil Irmas Pereira</x:v>
      </x:c>
      <x:c r="F1333" s="16" t="str">
        <x:v>Brezilya</x:v>
      </x:c>
      <x:c r="G1333" s="17" t="str">
        <x:v>Erişilemedi</x:v>
      </x:c>
      <x:c r="H1333" s="16" t="str">
        <x:v>Erişilemedi</x:v>
      </x:c>
      <x:c r="I1333" s="18" t="n">
        <x:v>1000</x:v>
      </x:c>
      <x:c r="J1333" s="18" t="str">
        <x:v>Erişildi</x:v>
      </x:c>
      <x:c r="K1333" s="18" t="str">
        <x:f>IF(AND(ISNUMBER(G1333),ISNUMBER(I1333)),I1333/G1333*1000,"Erişilemedi")</x:f>
        <x:v>Erişilemedi</x:v>
      </x:c>
      <x:c r="L1333" s="16" t="str">
        <x:v>Belirsiz</x:v>
      </x:c>
      <x:c r="M1333" s="16" t="str">
        <x:v>Kahve ürünü</x:v>
      </x:c>
      <x:c r="N1333" s="16" t="str">
        <x:v>Site haritası ürün sayfası</x:v>
      </x:c>
      <x:c r="O1333" s="16" t="str">
        <x:v>Düşük</x:v>
      </x:c>
      <x:c r="P1333" s="19" t="n">
        <x:v>46245</x:v>
      </x:c>
      <x:c r="Q1333" s="20" t="str">
        <x:v>https://parsacoffeeroasters.com/en/kahve/101</x:v>
      </x:c>
      <x:c r="R1333" s="20" t="str">
        <x:v>Ürün kimliği korundu; eksik alanlar erişilemedi olarak işaretlenecek.</x:v>
      </x:c>
    </x:row>
    <x:row r="1334" ht="40" customHeight="1">
      <x:c r="A1334" s="16" t="str">
        <x:v>Parsa Coffee Roasters</x:v>
      </x:c>
      <x:c r="B1334" s="16" t="str">
        <x:v>İstanbul</x:v>
      </x:c>
      <x:c r="C1334" s="16" t="str">
        <x:v>Doğrulandı</x:v>
      </x:c>
      <x:c r="D1334" s="16" t="str">
        <x:v>Ürün kaydı</x:v>
      </x:c>
      <x:c r="E1334" s="16" t="str">
        <x:v>Choosing the Right Coffee Beans</x:v>
      </x:c>
      <x:c r="F1334" s="16" t="str">
        <x:v>Menşe belirtilmemiş</x:v>
      </x:c>
      <x:c r="G1334" s="17" t="str">
        <x:v>Erişilemedi</x:v>
      </x:c>
      <x:c r="H1334" s="16" t="str">
        <x:v>Erişilemedi</x:v>
      </x:c>
      <x:c r="I1334" s="18" t="n">
        <x:v>1000</x:v>
      </x:c>
      <x:c r="J1334" s="18" t="str">
        <x:v>Erişildi</x:v>
      </x:c>
      <x:c r="K1334" s="18" t="str">
        <x:f>IF(AND(ISNUMBER(G1334),ISNUMBER(I1334)),I1334/G1334*1000,"Erişilemedi")</x:f>
        <x:v>Erişilemedi</x:v>
      </x:c>
      <x:c r="L1334" s="16" t="str">
        <x:v>Belirsiz</x:v>
      </x:c>
      <x:c r="M1334" s="16" t="str">
        <x:v>Kahve ürünü</x:v>
      </x:c>
      <x:c r="N1334" s="16" t="str">
        <x:v>Site haritası ürün sayfası</x:v>
      </x:c>
      <x:c r="O1334" s="16" t="str">
        <x:v>Düşük</x:v>
      </x:c>
      <x:c r="P1334" s="19" t="n">
        <x:v>46245</x:v>
      </x:c>
      <x:c r="Q1334" s="20" t="str">
        <x:v>https://parsacoffeeroasters.com/en/gunluk/N%C2%B001</x:v>
      </x:c>
      <x:c r="R1334" s="20" t="str">
        <x:v>Ürün kimliği korundu; eksik alanlar erişilemedi olarak işaretlenecek.</x:v>
      </x:c>
    </x:row>
    <x:row r="1335" ht="40" customHeight="1">
      <x:c r="A1335" s="16" t="str">
        <x:v>Parsa Coffee Roasters</x:v>
      </x:c>
      <x:c r="B1335" s="16" t="str">
        <x:v>İstanbul</x:v>
      </x:c>
      <x:c r="C1335" s="16" t="str">
        <x:v>Doğrulandı</x:v>
      </x:c>
      <x:c r="D1335" s="16" t="str">
        <x:v>Ürün kaydı</x:v>
      </x:c>
      <x:c r="E1335" s="16" t="str">
        <x:v>Colombia Jairo Arcila</x:v>
      </x:c>
      <x:c r="F1335" s="16" t="str">
        <x:v>Kolombiya</x:v>
      </x:c>
      <x:c r="G1335" s="17" t="str">
        <x:v>Erişilemedi</x:v>
      </x:c>
      <x:c r="H1335" s="16" t="str">
        <x:v>Erişilemedi</x:v>
      </x:c>
      <x:c r="I1335" s="18" t="n">
        <x:v>1000</x:v>
      </x:c>
      <x:c r="J1335" s="18" t="str">
        <x:v>Erişildi</x:v>
      </x:c>
      <x:c r="K1335" s="18" t="str">
        <x:f>IF(AND(ISNUMBER(G1335),ISNUMBER(I1335)),I1335/G1335*1000,"Erişilemedi")</x:f>
        <x:v>Erişilemedi</x:v>
      </x:c>
      <x:c r="L1335" s="16" t="str">
        <x:v>Belirsiz</x:v>
      </x:c>
      <x:c r="M1335" s="16" t="str">
        <x:v>Kahve ürünü</x:v>
      </x:c>
      <x:c r="N1335" s="16" t="str">
        <x:v>Site haritası ürün sayfası</x:v>
      </x:c>
      <x:c r="O1335" s="16" t="str">
        <x:v>Düşük</x:v>
      </x:c>
      <x:c r="P1335" s="19" t="n">
        <x:v>46245</x:v>
      </x:c>
      <x:c r="Q1335" s="20" t="str">
        <x:v>https://parsacoffeeroasters.com/en/kahve/119</x:v>
      </x:c>
      <x:c r="R1335" s="20" t="str">
        <x:v>Ürün kimliği korundu; eksik alanlar erişilemedi olarak işaretlenecek.</x:v>
      </x:c>
    </x:row>
    <x:row r="1336" ht="40" customHeight="1">
      <x:c r="A1336" s="16" t="str">
        <x:v>Parsa Coffee Roasters</x:v>
      </x:c>
      <x:c r="B1336" s="16" t="str">
        <x:v>İstanbul</x:v>
      </x:c>
      <x:c r="C1336" s="16" t="str">
        <x:v>Doğrulandı</x:v>
      </x:c>
      <x:c r="D1336" s="16" t="str">
        <x:v>Ürün kaydı</x:v>
      </x:c>
      <x:c r="E1336" s="16" t="str">
        <x:v>Colombia Santa Monica Lulo</x:v>
      </x:c>
      <x:c r="F1336" s="16" t="str">
        <x:v>Kolombiya</x:v>
      </x:c>
      <x:c r="G1336" s="17" t="str">
        <x:v>Erişilemedi</x:v>
      </x:c>
      <x:c r="H1336" s="16" t="str">
        <x:v>Erişilemedi</x:v>
      </x:c>
      <x:c r="I1336" s="18" t="n">
        <x:v>1000</x:v>
      </x:c>
      <x:c r="J1336" s="18" t="str">
        <x:v>Erişildi</x:v>
      </x:c>
      <x:c r="K1336" s="18" t="str">
        <x:f>IF(AND(ISNUMBER(G1336),ISNUMBER(I1336)),I1336/G1336*1000,"Erişilemedi")</x:f>
        <x:v>Erişilemedi</x:v>
      </x:c>
      <x:c r="L1336" s="16" t="str">
        <x:v>Belirsiz</x:v>
      </x:c>
      <x:c r="M1336" s="16" t="str">
        <x:v>Kahve ürünü</x:v>
      </x:c>
      <x:c r="N1336" s="16" t="str">
        <x:v>Site haritası ürün sayfası</x:v>
      </x:c>
      <x:c r="O1336" s="16" t="str">
        <x:v>Düşük</x:v>
      </x:c>
      <x:c r="P1336" s="19" t="n">
        <x:v>46245</x:v>
      </x:c>
      <x:c r="Q1336" s="20" t="str">
        <x:v>https://parsacoffeeroasters.com/en/kahve/118</x:v>
      </x:c>
      <x:c r="R1336" s="20" t="str">
        <x:v>Ürün kimliği korundu; eksik alanlar erişilemedi olarak işaretlenecek.</x:v>
      </x:c>
    </x:row>
    <x:row r="1337" ht="40" customHeight="1">
      <x:c r="A1337" s="16" t="str">
        <x:v>Parsa Coffee Roasters</x:v>
      </x:c>
      <x:c r="B1337" s="16" t="str">
        <x:v>İstanbul</x:v>
      </x:c>
      <x:c r="C1337" s="16" t="str">
        <x:v>Doğrulandı</x:v>
      </x:c>
      <x:c r="D1337" s="16" t="str">
        <x:v>Ürün kaydı</x:v>
      </x:c>
      <x:c r="E1337" s="16" t="str">
        <x:v>Connect Share</x:v>
      </x:c>
      <x:c r="F1337" s="16" t="str">
        <x:v>Etiyopya | Kolombiya | Brezilya</x:v>
      </x:c>
      <x:c r="G1337" s="17" t="str">
        <x:v>Erişilemedi</x:v>
      </x:c>
      <x:c r="H1337" s="16" t="str">
        <x:v>Erişilemedi</x:v>
      </x:c>
      <x:c r="I1337" s="18" t="n">
        <x:v>1000</x:v>
      </x:c>
      <x:c r="J1337" s="18" t="str">
        <x:v>Erişildi</x:v>
      </x:c>
      <x:c r="K1337" s="18" t="str">
        <x:f>IF(AND(ISNUMBER(G1337),ISNUMBER(I1337)),I1337/G1337*1000,"Erişilemedi")</x:f>
        <x:v>Erişilemedi</x:v>
      </x:c>
      <x:c r="L1337" s="16" t="str">
        <x:v>Belirsiz</x:v>
      </x:c>
      <x:c r="M1337" s="16" t="str">
        <x:v>Kahve ürünü</x:v>
      </x:c>
      <x:c r="N1337" s="16" t="str">
        <x:v>Site haritası ürün sayfası</x:v>
      </x:c>
      <x:c r="O1337" s="16" t="str">
        <x:v>Düşük</x:v>
      </x:c>
      <x:c r="P1337" s="19" t="n">
        <x:v>46245</x:v>
      </x:c>
      <x:c r="Q1337" s="20" t="str">
        <x:v>https://parsacoffeeroasters.com/en/connect</x:v>
      </x:c>
      <x:c r="R1337" s="20" t="str">
        <x:v>Ürün kimliği korundu; eksik alanlar erişilemedi olarak işaretlenecek.</x:v>
      </x:c>
    </x:row>
    <x:row r="1338" ht="40" customHeight="1">
      <x:c r="A1338" s="16" t="str">
        <x:v>Parsa Coffee Roasters</x:v>
      </x:c>
      <x:c r="B1338" s="16" t="str">
        <x:v>İstanbul</x:v>
      </x:c>
      <x:c r="C1338" s="16" t="str">
        <x:v>Doğrulandı</x:v>
      </x:c>
      <x:c r="D1338" s="16" t="str">
        <x:v>Ürün kaydı</x:v>
      </x:c>
      <x:c r="E1338" s="16" t="str">
        <x:v>Contact</x:v>
      </x:c>
      <x:c r="F1338" s="16" t="str">
        <x:v>Etiyopya | Kolombiya | Brezilya</x:v>
      </x:c>
      <x:c r="G1338" s="17" t="str">
        <x:v>Erişilemedi</x:v>
      </x:c>
      <x:c r="H1338" s="16" t="str">
        <x:v>Erişilemedi</x:v>
      </x:c>
      <x:c r="I1338" s="18" t="n">
        <x:v>1000</x:v>
      </x:c>
      <x:c r="J1338" s="18" t="str">
        <x:v>Erişildi</x:v>
      </x:c>
      <x:c r="K1338" s="18" t="str">
        <x:f>IF(AND(ISNUMBER(G1338),ISNUMBER(I1338)),I1338/G1338*1000,"Erişilemedi")</x:f>
        <x:v>Erişilemedi</x:v>
      </x:c>
      <x:c r="L1338" s="16" t="str">
        <x:v>Belirsiz</x:v>
      </x:c>
      <x:c r="M1338" s="16" t="str">
        <x:v>Kahve ürünü</x:v>
      </x:c>
      <x:c r="N1338" s="16" t="str">
        <x:v>Site haritası ürün sayfası</x:v>
      </x:c>
      <x:c r="O1338" s="16" t="str">
        <x:v>Düşük</x:v>
      </x:c>
      <x:c r="P1338" s="19" t="n">
        <x:v>46245</x:v>
      </x:c>
      <x:c r="Q1338" s="20" t="str">
        <x:v>https://parsacoffeeroasters.com/en/iletisim</x:v>
      </x:c>
      <x:c r="R1338" s="20" t="str">
        <x:v>Ürün kimliği korundu; eksik alanlar erişilemedi olarak işaretlenecek.</x:v>
      </x:c>
    </x:row>
    <x:row r="1339" ht="40" customHeight="1">
      <x:c r="A1339" s="16" t="str">
        <x:v>Parsa Coffee Roasters</x:v>
      </x:c>
      <x:c r="B1339" s="16" t="str">
        <x:v>İstanbul</x:v>
      </x:c>
      <x:c r="C1339" s="16" t="str">
        <x:v>Doğrulandı</x:v>
      </x:c>
      <x:c r="D1339" s="16" t="str">
        <x:v>Ürün kaydı</x:v>
      </x:c>
      <x:c r="E1339" s="16" t="str">
        <x:v>CVA Form Coffee Evaluation System</x:v>
      </x:c>
      <x:c r="F1339" s="16" t="str">
        <x:v>Menşe belirtilmemiş</x:v>
      </x:c>
      <x:c r="G1339" s="17" t="str">
        <x:v>Erişilemedi</x:v>
      </x:c>
      <x:c r="H1339" s="16" t="str">
        <x:v>Erişilemedi</x:v>
      </x:c>
      <x:c r="I1339" s="18" t="n">
        <x:v>1000</x:v>
      </x:c>
      <x:c r="J1339" s="18" t="str">
        <x:v>Erişildi</x:v>
      </x:c>
      <x:c r="K1339" s="18" t="str">
        <x:f>IF(AND(ISNUMBER(G1339),ISNUMBER(I1339)),I1339/G1339*1000,"Erişilemedi")</x:f>
        <x:v>Erişilemedi</x:v>
      </x:c>
      <x:c r="L1339" s="16" t="str">
        <x:v>Belirsiz</x:v>
      </x:c>
      <x:c r="M1339" s="16" t="str">
        <x:v>Kahve ürünü</x:v>
      </x:c>
      <x:c r="N1339" s="16" t="str">
        <x:v>Site haritası ürün sayfası</x:v>
      </x:c>
      <x:c r="O1339" s="16" t="str">
        <x:v>Düşük</x:v>
      </x:c>
      <x:c r="P1339" s="19" t="n">
        <x:v>46245</x:v>
      </x:c>
      <x:c r="Q1339" s="20" t="str">
        <x:v>https://parsacoffeeroasters.com/en/gunluk/N%C2%B003</x:v>
      </x:c>
      <x:c r="R1339" s="20" t="str">
        <x:v>Ürün kimliği korundu; eksik alanlar erişilemedi olarak işaretlenecek.</x:v>
      </x:c>
    </x:row>
    <x:row r="1340" ht="40" customHeight="1">
      <x:c r="A1340" s="16" t="str">
        <x:v>Parsa Coffee Roasters</x:v>
      </x:c>
      <x:c r="B1340" s="16" t="str">
        <x:v>İstanbul</x:v>
      </x:c>
      <x:c r="C1340" s="16" t="str">
        <x:v>Doğrulandı</x:v>
      </x:c>
      <x:c r="D1340" s="16" t="str">
        <x:v>Ürün kaydı</x:v>
      </x:c>
      <x:c r="E1340" s="16" t="str">
        <x:v>Defter&amp;#x27; den .</x:v>
      </x:c>
      <x:c r="F1340" s="16" t="str">
        <x:v>Etiyopya | Kolombiya | Brezilya</x:v>
      </x:c>
      <x:c r="G1340" s="17" t="str">
        <x:v>Erişilemedi</x:v>
      </x:c>
      <x:c r="H1340" s="16" t="str">
        <x:v>Erişilemedi</x:v>
      </x:c>
      <x:c r="I1340" s="18" t="n">
        <x:v>1000</x:v>
      </x:c>
      <x:c r="J1340" s="18" t="str">
        <x:v>Erişildi</x:v>
      </x:c>
      <x:c r="K1340" s="18" t="str">
        <x:f>IF(AND(ISNUMBER(G1340),ISNUMBER(I1340)),I1340/G1340*1000,"Erişilemedi")</x:f>
        <x:v>Erişilemedi</x:v>
      </x:c>
      <x:c r="L1340" s="16" t="str">
        <x:v>Belirsiz</x:v>
      </x:c>
      <x:c r="M1340" s="16" t="str">
        <x:v>Kahve ürünü</x:v>
      </x:c>
      <x:c r="N1340" s="16" t="str">
        <x:v>Site haritası ürün sayfası</x:v>
      </x:c>
      <x:c r="O1340" s="16" t="str">
        <x:v>Düşük</x:v>
      </x:c>
      <x:c r="P1340" s="19" t="n">
        <x:v>46245</x:v>
      </x:c>
      <x:c r="Q1340" s="20" t="str">
        <x:v>https://parsacoffeeroasters.com/tr/gunluk</x:v>
      </x:c>
      <x:c r="R1340" s="20" t="str">
        <x:v>Ürün kimliği korundu; eksik alanlar erişilemedi olarak işaretlenecek.</x:v>
      </x:c>
    </x:row>
    <x:row r="1341" ht="40" customHeight="1">
      <x:c r="A1341" s="16" t="str">
        <x:v>Parsa Coffee Roasters</x:v>
      </x:c>
      <x:c r="B1341" s="16" t="str">
        <x:v>İstanbul</x:v>
      </x:c>
      <x:c r="C1341" s="16" t="str">
        <x:v>Doğrulandı</x:v>
      </x:c>
      <x:c r="D1341" s="16" t="str">
        <x:v>Ürün kaydı</x:v>
      </x:c>
      <x:c r="E1341" s="16" t="str">
        <x:v>Doğru Kahve Çekirdeklerini Seçmek</x:v>
      </x:c>
      <x:c r="F1341" s="16" t="str">
        <x:v>Menşe belirtilmemiş</x:v>
      </x:c>
      <x:c r="G1341" s="17" t="str">
        <x:v>Erişilemedi</x:v>
      </x:c>
      <x:c r="H1341" s="16" t="str">
        <x:v>Erişilemedi</x:v>
      </x:c>
      <x:c r="I1341" s="18" t="n">
        <x:v>1000</x:v>
      </x:c>
      <x:c r="J1341" s="18" t="str">
        <x:v>Erişildi</x:v>
      </x:c>
      <x:c r="K1341" s="18" t="str">
        <x:f>IF(AND(ISNUMBER(G1341),ISNUMBER(I1341)),I1341/G1341*1000,"Erişilemedi")</x:f>
        <x:v>Erişilemedi</x:v>
      </x:c>
      <x:c r="L1341" s="16" t="str">
        <x:v>Belirsiz</x:v>
      </x:c>
      <x:c r="M1341" s="16" t="str">
        <x:v>Kahve ürünü</x:v>
      </x:c>
      <x:c r="N1341" s="16" t="str">
        <x:v>Site haritası ürün sayfası</x:v>
      </x:c>
      <x:c r="O1341" s="16" t="str">
        <x:v>Düşük</x:v>
      </x:c>
      <x:c r="P1341" s="19" t="n">
        <x:v>46245</x:v>
      </x:c>
      <x:c r="Q1341" s="20" t="str">
        <x:v>https://parsacoffeeroasters.com/tr/gunluk/N%C2%B001</x:v>
      </x:c>
      <x:c r="R1341" s="20" t="str">
        <x:v>Ürün kimliği korundu; eksik alanlar erişilemedi olarak işaretlenecek.</x:v>
      </x:c>
    </x:row>
    <x:row r="1342" ht="40" customHeight="1">
      <x:c r="A1342" s="16" t="str">
        <x:v>Parsa Coffee Roasters</x:v>
      </x:c>
      <x:c r="B1342" s="16" t="str">
        <x:v>İstanbul</x:v>
      </x:c>
      <x:c r="C1342" s="16" t="str">
        <x:v>Doğrulandı</x:v>
      </x:c>
      <x:c r="D1342" s="16" t="str">
        <x:v>Ürün kaydı</x:v>
      </x:c>
      <x:c r="E1342" s="16" t="str">
        <x:v>Ethiopia Guji</x:v>
      </x:c>
      <x:c r="F1342" s="16" t="str">
        <x:v>Etiyopya</x:v>
      </x:c>
      <x:c r="G1342" s="17" t="str">
        <x:v>Erişilemedi</x:v>
      </x:c>
      <x:c r="H1342" s="16" t="str">
        <x:v>Erişilemedi</x:v>
      </x:c>
      <x:c r="I1342" s="18" t="n">
        <x:v>1000</x:v>
      </x:c>
      <x:c r="J1342" s="18" t="str">
        <x:v>Erişildi</x:v>
      </x:c>
      <x:c r="K1342" s="18" t="str">
        <x:f>IF(AND(ISNUMBER(G1342),ISNUMBER(I1342)),I1342/G1342*1000,"Erişilemedi")</x:f>
        <x:v>Erişilemedi</x:v>
      </x:c>
      <x:c r="L1342" s="16" t="str">
        <x:v>Belirsiz</x:v>
      </x:c>
      <x:c r="M1342" s="16" t="str">
        <x:v>Kahve ürünü</x:v>
      </x:c>
      <x:c r="N1342" s="16" t="str">
        <x:v>Site haritası ürün sayfası</x:v>
      </x:c>
      <x:c r="O1342" s="16" t="str">
        <x:v>Düşük</x:v>
      </x:c>
      <x:c r="P1342" s="19" t="n">
        <x:v>46245</x:v>
      </x:c>
      <x:c r="Q1342" s="20" t="str">
        <x:v>https://parsacoffeeroasters.com/en/kahve/110</x:v>
      </x:c>
      <x:c r="R1342" s="20" t="str">
        <x:v>Ürün kimliği korundu; eksik alanlar erişilemedi olarak işaretlenecek.</x:v>
      </x:c>
    </x:row>
    <x:row r="1343" ht="40" customHeight="1">
      <x:c r="A1343" s="16" t="str">
        <x:v>Parsa Coffee Roasters</x:v>
      </x:c>
      <x:c r="B1343" s="16" t="str">
        <x:v>İstanbul</x:v>
      </x:c>
      <x:c r="C1343" s="16" t="str">
        <x:v>Doğrulandı</x:v>
      </x:c>
      <x:c r="D1343" s="16" t="str">
        <x:v>Ürün kaydı</x:v>
      </x:c>
      <x:c r="E1343" s="16" t="str">
        <x:v>Ethiopia Hambella Bella</x:v>
      </x:c>
      <x:c r="F1343" s="16" t="str">
        <x:v>Etiyopya</x:v>
      </x:c>
      <x:c r="G1343" s="17" t="str">
        <x:v>Erişilemedi</x:v>
      </x:c>
      <x:c r="H1343" s="16" t="str">
        <x:v>Erişilemedi</x:v>
      </x:c>
      <x:c r="I1343" s="18" t="n">
        <x:v>1000</x:v>
      </x:c>
      <x:c r="J1343" s="18" t="str">
        <x:v>Erişildi</x:v>
      </x:c>
      <x:c r="K1343" s="18" t="str">
        <x:f>IF(AND(ISNUMBER(G1343),ISNUMBER(I1343)),I1343/G1343*1000,"Erişilemedi")</x:f>
        <x:v>Erişilemedi</x:v>
      </x:c>
      <x:c r="L1343" s="16" t="str">
        <x:v>Belirsiz</x:v>
      </x:c>
      <x:c r="M1343" s="16" t="str">
        <x:v>Kahve ürünü</x:v>
      </x:c>
      <x:c r="N1343" s="16" t="str">
        <x:v>Site haritası ürün sayfası</x:v>
      </x:c>
      <x:c r="O1343" s="16" t="str">
        <x:v>Düşük</x:v>
      </x:c>
      <x:c r="P1343" s="19" t="n">
        <x:v>46245</x:v>
      </x:c>
      <x:c r="Q1343" s="20" t="str">
        <x:v>https://parsacoffeeroasters.com/en/kahve/112</x:v>
      </x:c>
      <x:c r="R1343" s="20" t="str">
        <x:v>Ürün kimliği korundu; eksik alanlar erişilemedi olarak işaretlenecek.</x:v>
      </x:c>
    </x:row>
    <x:row r="1344" ht="40" customHeight="1">
      <x:c r="A1344" s="16" t="str">
        <x:v>Parsa Coffee Roasters</x:v>
      </x:c>
      <x:c r="B1344" s="16" t="str">
        <x:v>İstanbul</x:v>
      </x:c>
      <x:c r="C1344" s="16" t="str">
        <x:v>Doğrulandı</x:v>
      </x:c>
      <x:c r="D1344" s="16" t="str">
        <x:v>Ürün kaydı</x:v>
      </x:c>
      <x:c r="E1344" s="16" t="str">
        <x:v>Ethiopia Lalesa</x:v>
      </x:c>
      <x:c r="F1344" s="16" t="str">
        <x:v>Etiyopya</x:v>
      </x:c>
      <x:c r="G1344" s="17" t="str">
        <x:v>Erişilemedi</x:v>
      </x:c>
      <x:c r="H1344" s="16" t="str">
        <x:v>Erişilemedi</x:v>
      </x:c>
      <x:c r="I1344" s="18" t="n">
        <x:v>1000</x:v>
      </x:c>
      <x:c r="J1344" s="18" t="str">
        <x:v>Erişildi</x:v>
      </x:c>
      <x:c r="K1344" s="18" t="str">
        <x:f>IF(AND(ISNUMBER(G1344),ISNUMBER(I1344)),I1344/G1344*1000,"Erişilemedi")</x:f>
        <x:v>Erişilemedi</x:v>
      </x:c>
      <x:c r="L1344" s="16" t="str">
        <x:v>Belirsiz</x:v>
      </x:c>
      <x:c r="M1344" s="16" t="str">
        <x:v>Kahve ürünü</x:v>
      </x:c>
      <x:c r="N1344" s="16" t="str">
        <x:v>Site haritası ürün sayfası</x:v>
      </x:c>
      <x:c r="O1344" s="16" t="str">
        <x:v>Düşük</x:v>
      </x:c>
      <x:c r="P1344" s="19" t="n">
        <x:v>46245</x:v>
      </x:c>
      <x:c r="Q1344" s="20" t="str">
        <x:v>https://parsacoffeeroasters.com/en/kahve/113</x:v>
      </x:c>
      <x:c r="R1344" s="20" t="str">
        <x:v>Ürün kimliği korundu; eksik alanlar erişilemedi olarak işaretlenecek.</x:v>
      </x:c>
    </x:row>
    <x:row r="1345" ht="40" customHeight="1">
      <x:c r="A1345" s="16" t="str">
        <x:v>Parsa Coffee Roasters</x:v>
      </x:c>
      <x:c r="B1345" s="16" t="str">
        <x:v>İstanbul</x:v>
      </x:c>
      <x:c r="C1345" s="16" t="str">
        <x:v>Doğrulandı</x:v>
      </x:c>
      <x:c r="D1345" s="16" t="str">
        <x:v>Ürün kaydı</x:v>
      </x:c>
      <x:c r="E1345" s="16" t="str">
        <x:v>Ethiopia Yirgacheffe Danche</x:v>
      </x:c>
      <x:c r="F1345" s="16" t="str">
        <x:v>Etiyopya</x:v>
      </x:c>
      <x:c r="G1345" s="17" t="str">
        <x:v>Erişilemedi</x:v>
      </x:c>
      <x:c r="H1345" s="16" t="str">
        <x:v>Erişilemedi</x:v>
      </x:c>
      <x:c r="I1345" s="18" t="n">
        <x:v>1000</x:v>
      </x:c>
      <x:c r="J1345" s="18" t="str">
        <x:v>Erişildi</x:v>
      </x:c>
      <x:c r="K1345" s="18" t="str">
        <x:f>IF(AND(ISNUMBER(G1345),ISNUMBER(I1345)),I1345/G1345*1000,"Erişilemedi")</x:f>
        <x:v>Erişilemedi</x:v>
      </x:c>
      <x:c r="L1345" s="16" t="str">
        <x:v>Belirsiz</x:v>
      </x:c>
      <x:c r="M1345" s="16" t="str">
        <x:v>Kahve ürünü</x:v>
      </x:c>
      <x:c r="N1345" s="16" t="str">
        <x:v>Site haritası ürün sayfası</x:v>
      </x:c>
      <x:c r="O1345" s="16" t="str">
        <x:v>Düşük</x:v>
      </x:c>
      <x:c r="P1345" s="19" t="n">
        <x:v>46245</x:v>
      </x:c>
      <x:c r="Q1345" s="20" t="str">
        <x:v>https://parsacoffeeroasters.com/en/kahve/111</x:v>
      </x:c>
      <x:c r="R1345" s="20" t="str">
        <x:v>Ürün kimliği korundu; eksik alanlar erişilemedi olarak işaretlenecek.</x:v>
      </x:c>
    </x:row>
    <x:row r="1346" ht="40" customHeight="1">
      <x:c r="A1346" s="16" t="str">
        <x:v>Parsa Coffee Roasters</x:v>
      </x:c>
      <x:c r="B1346" s="16" t="str">
        <x:v>İstanbul</x:v>
      </x:c>
      <x:c r="C1346" s="16" t="str">
        <x:v>Doğrulandı</x:v>
      </x:c>
      <x:c r="D1346" s="16" t="str">
        <x:v>Ürün kaydı</x:v>
      </x:c>
      <x:c r="E1346" s="16" t="str">
        <x:v>Favorilerim</x:v>
      </x:c>
      <x:c r="F1346" s="16" t="str">
        <x:v>Etiyopya | Kolombiya | Brezilya</x:v>
      </x:c>
      <x:c r="G1346" s="17" t="str">
        <x:v>Erişilemedi</x:v>
      </x:c>
      <x:c r="H1346" s="16" t="str">
        <x:v>Erişilemedi</x:v>
      </x:c>
      <x:c r="I1346" s="18" t="n">
        <x:v>1000</x:v>
      </x:c>
      <x:c r="J1346" s="18" t="str">
        <x:v>Erişildi</x:v>
      </x:c>
      <x:c r="K1346" s="18" t="str">
        <x:f>IF(AND(ISNUMBER(G1346),ISNUMBER(I1346)),I1346/G1346*1000,"Erişilemedi")</x:f>
        <x:v>Erişilemedi</x:v>
      </x:c>
      <x:c r="L1346" s="16" t="str">
        <x:v>Belirsiz</x:v>
      </x:c>
      <x:c r="M1346" s="16" t="str">
        <x:v>Kahve ürünü</x:v>
      </x:c>
      <x:c r="N1346" s="16" t="str">
        <x:v>Site haritası ürün sayfası</x:v>
      </x:c>
      <x:c r="O1346" s="16" t="str">
        <x:v>Düşük</x:v>
      </x:c>
      <x:c r="P1346" s="19" t="n">
        <x:v>46245</x:v>
      </x:c>
      <x:c r="Q1346" s="20" t="str">
        <x:v>https://parsacoffeeroasters.com/tr/favoriler</x:v>
      </x:c>
      <x:c r="R1346" s="20" t="str">
        <x:v>Ürün kimliği korundu; eksik alanlar erişilemedi olarak işaretlenecek.</x:v>
      </x:c>
    </x:row>
    <x:row r="1347" ht="40" customHeight="1">
      <x:c r="A1347" s="16" t="str">
        <x:v>Parsa Coffee Roasters</x:v>
      </x:c>
      <x:c r="B1347" s="16" t="str">
        <x:v>İstanbul</x:v>
      </x:c>
      <x:c r="C1347" s="16" t="str">
        <x:v>Doğrulandı</x:v>
      </x:c>
      <x:c r="D1347" s="16" t="str">
        <x:v>Ürün kaydı</x:v>
      </x:c>
      <x:c r="E1347" s="16" t="str">
        <x:v>From the notebook .</x:v>
      </x:c>
      <x:c r="F1347" s="16" t="str">
        <x:v>Etiyopya | Kolombiya | Brezilya</x:v>
      </x:c>
      <x:c r="G1347" s="17" t="str">
        <x:v>Erişilemedi</x:v>
      </x:c>
      <x:c r="H1347" s="16" t="str">
        <x:v>Erişilemedi</x:v>
      </x:c>
      <x:c r="I1347" s="18" t="n">
        <x:v>1000</x:v>
      </x:c>
      <x:c r="J1347" s="18" t="str">
        <x:v>Erişildi</x:v>
      </x:c>
      <x:c r="K1347" s="18" t="str">
        <x:f>IF(AND(ISNUMBER(G1347),ISNUMBER(I1347)),I1347/G1347*1000,"Erişilemedi")</x:f>
        <x:v>Erişilemedi</x:v>
      </x:c>
      <x:c r="L1347" s="16" t="str">
        <x:v>Belirsiz</x:v>
      </x:c>
      <x:c r="M1347" s="16" t="str">
        <x:v>Kahve ürünü</x:v>
      </x:c>
      <x:c r="N1347" s="16" t="str">
        <x:v>Site haritası ürün sayfası</x:v>
      </x:c>
      <x:c r="O1347" s="16" t="str">
        <x:v>Düşük</x:v>
      </x:c>
      <x:c r="P1347" s="19" t="n">
        <x:v>46245</x:v>
      </x:c>
      <x:c r="Q1347" s="20" t="str">
        <x:v>https://parsacoffeeroasters.com/en/gunluk</x:v>
      </x:c>
      <x:c r="R1347" s="20" t="str">
        <x:v>Ürün kimliği korundu; eksik alanlar erişilemedi olarak işaretlenecek.</x:v>
      </x:c>
    </x:row>
    <x:row r="1348" ht="40" customHeight="1">
      <x:c r="A1348" s="16" t="str">
        <x:v>Parsa Coffee Roasters</x:v>
      </x:c>
      <x:c r="B1348" s="16" t="str">
        <x:v>İstanbul</x:v>
      </x:c>
      <x:c r="C1348" s="16" t="str">
        <x:v>Doğrulandı</x:v>
      </x:c>
      <x:c r="D1348" s="16" t="str">
        <x:v>Ürün kaydı</x:v>
      </x:c>
      <x:c r="E1348" s="16" t="str">
        <x:v>Geisha Floral Symphony</x:v>
      </x:c>
      <x:c r="F1348" s="16" t="str">
        <x:v>Menşe belirtilmemiş</x:v>
      </x:c>
      <x:c r="G1348" s="17" t="str">
        <x:v>Erişilemedi</x:v>
      </x:c>
      <x:c r="H1348" s="16" t="str">
        <x:v>Erişilemedi</x:v>
      </x:c>
      <x:c r="I1348" s="18" t="n">
        <x:v>1000</x:v>
      </x:c>
      <x:c r="J1348" s="18" t="str">
        <x:v>Erişildi</x:v>
      </x:c>
      <x:c r="K1348" s="18" t="str">
        <x:f>IF(AND(ISNUMBER(G1348),ISNUMBER(I1348)),I1348/G1348*1000,"Erişilemedi")</x:f>
        <x:v>Erişilemedi</x:v>
      </x:c>
      <x:c r="L1348" s="16" t="str">
        <x:v>Belirsiz</x:v>
      </x:c>
      <x:c r="M1348" s="16" t="str">
        <x:v>Kahve ürünü</x:v>
      </x:c>
      <x:c r="N1348" s="16" t="str">
        <x:v>Site haritası ürün sayfası</x:v>
      </x:c>
      <x:c r="O1348" s="16" t="str">
        <x:v>Düşük</x:v>
      </x:c>
      <x:c r="P1348" s="19" t="n">
        <x:v>46245</x:v>
      </x:c>
      <x:c r="Q1348" s="20" t="str">
        <x:v>https://parsacoffeeroasters.com/en/kahve/121</x:v>
      </x:c>
      <x:c r="R1348" s="20" t="str">
        <x:v>Ürün kimliği korundu; eksik alanlar erişilemedi olarak işaretlenecek.</x:v>
      </x:c>
    </x:row>
    <x:row r="1349" ht="40" customHeight="1">
      <x:c r="A1349" s="16" t="str">
        <x:v>Parsa Coffee Roasters</x:v>
      </x:c>
      <x:c r="B1349" s="16" t="str">
        <x:v>İstanbul</x:v>
      </x:c>
      <x:c r="C1349" s="16" t="str">
        <x:v>Doğrulandı</x:v>
      </x:c>
      <x:c r="D1349" s="16" t="str">
        <x:v>Ürün kaydı</x:v>
      </x:c>
      <x:c r="E1349" s="16" t="str">
        <x:v>Guatemala Oriente</x:v>
      </x:c>
      <x:c r="F1349" s="16" t="str">
        <x:v>Guatemala</x:v>
      </x:c>
      <x:c r="G1349" s="17" t="str">
        <x:v>Erişilemedi</x:v>
      </x:c>
      <x:c r="H1349" s="16" t="str">
        <x:v>Erişilemedi</x:v>
      </x:c>
      <x:c r="I1349" s="18" t="n">
        <x:v>1000</x:v>
      </x:c>
      <x:c r="J1349" s="18" t="str">
        <x:v>Erişildi</x:v>
      </x:c>
      <x:c r="K1349" s="18" t="str">
        <x:f>IF(AND(ISNUMBER(G1349),ISNUMBER(I1349)),I1349/G1349*1000,"Erişilemedi")</x:f>
        <x:v>Erişilemedi</x:v>
      </x:c>
      <x:c r="L1349" s="16" t="str">
        <x:v>Belirsiz</x:v>
      </x:c>
      <x:c r="M1349" s="16" t="str">
        <x:v>Kahve ürünü</x:v>
      </x:c>
      <x:c r="N1349" s="16" t="str">
        <x:v>Site haritası ürün sayfası</x:v>
      </x:c>
      <x:c r="O1349" s="16" t="str">
        <x:v>Düşük</x:v>
      </x:c>
      <x:c r="P1349" s="19" t="n">
        <x:v>46245</x:v>
      </x:c>
      <x:c r="Q1349" s="20" t="str">
        <x:v>https://parsacoffeeroasters.com/en/kahve/103</x:v>
      </x:c>
      <x:c r="R1349" s="20" t="str">
        <x:v>Ürün kimliği korundu; eksik alanlar erişilemedi olarak işaretlenecek.</x:v>
      </x:c>
    </x:row>
    <x:row r="1350" ht="40" customHeight="1">
      <x:c r="A1350" s="16" t="str">
        <x:v>Parsa Coffee Roasters</x:v>
      </x:c>
      <x:c r="B1350" s="16" t="str">
        <x:v>İstanbul</x:v>
      </x:c>
      <x:c r="C1350" s="16" t="str">
        <x:v>Doğrulandı</x:v>
      </x:c>
      <x:c r="D1350" s="16" t="str">
        <x:v>Ürün kaydı</x:v>
      </x:c>
      <x:c r="E1350" s="16" t="str">
        <x:v>Indonesia Solara</x:v>
      </x:c>
      <x:c r="F1350" s="16" t="str">
        <x:v>Endonezya</x:v>
      </x:c>
      <x:c r="G1350" s="17" t="str">
        <x:v>Erişilemedi</x:v>
      </x:c>
      <x:c r="H1350" s="16" t="str">
        <x:v>Erişilemedi</x:v>
      </x:c>
      <x:c r="I1350" s="18" t="n">
        <x:v>1000</x:v>
      </x:c>
      <x:c r="J1350" s="18" t="str">
        <x:v>Erişildi</x:v>
      </x:c>
      <x:c r="K1350" s="18" t="str">
        <x:f>IF(AND(ISNUMBER(G1350),ISNUMBER(I1350)),I1350/G1350*1000,"Erişilemedi")</x:f>
        <x:v>Erişilemedi</x:v>
      </x:c>
      <x:c r="L1350" s="16" t="str">
        <x:v>Belirsiz</x:v>
      </x:c>
      <x:c r="M1350" s="16" t="str">
        <x:v>Kahve ürünü</x:v>
      </x:c>
      <x:c r="N1350" s="16" t="str">
        <x:v>Site haritası ürün sayfası</x:v>
      </x:c>
      <x:c r="O1350" s="16" t="str">
        <x:v>Düşük</x:v>
      </x:c>
      <x:c r="P1350" s="19" t="n">
        <x:v>46245</x:v>
      </x:c>
      <x:c r="Q1350" s="20" t="str">
        <x:v>https://parsacoffeeroasters.com/en/kahve/116</x:v>
      </x:c>
      <x:c r="R1350" s="20" t="str">
        <x:v>Ürün kimliği korundu; eksik alanlar erişilemedi olarak işaretlenecek.</x:v>
      </x:c>
    </x:row>
    <x:row r="1351" ht="40" customHeight="1">
      <x:c r="A1351" s="16" t="str">
        <x:v>Parsa Coffee Roasters</x:v>
      </x:c>
      <x:c r="B1351" s="16" t="str">
        <x:v>İstanbul</x:v>
      </x:c>
      <x:c r="C1351" s="16" t="str">
        <x:v>Doğrulandı</x:v>
      </x:c>
      <x:c r="D1351" s="16" t="str">
        <x:v>Ürün kaydı</x:v>
      </x:c>
      <x:c r="E1351" s="16" t="str">
        <x:v>İletişim</x:v>
      </x:c>
      <x:c r="F1351" s="16" t="str">
        <x:v>Etiyopya | Kolombiya | Brezilya</x:v>
      </x:c>
      <x:c r="G1351" s="17" t="str">
        <x:v>Erişilemedi</x:v>
      </x:c>
      <x:c r="H1351" s="16" t="str">
        <x:v>Erişilemedi</x:v>
      </x:c>
      <x:c r="I1351" s="18" t="n">
        <x:v>1000</x:v>
      </x:c>
      <x:c r="J1351" s="18" t="str">
        <x:v>Erişildi</x:v>
      </x:c>
      <x:c r="K1351" s="18" t="str">
        <x:f>IF(AND(ISNUMBER(G1351),ISNUMBER(I1351)),I1351/G1351*1000,"Erişilemedi")</x:f>
        <x:v>Erişilemedi</x:v>
      </x:c>
      <x:c r="L1351" s="16" t="str">
        <x:v>Belirsiz</x:v>
      </x:c>
      <x:c r="M1351" s="16" t="str">
        <x:v>Kahve ürünü</x:v>
      </x:c>
      <x:c r="N1351" s="16" t="str">
        <x:v>Site haritası ürün sayfası</x:v>
      </x:c>
      <x:c r="O1351" s="16" t="str">
        <x:v>Düşük</x:v>
      </x:c>
      <x:c r="P1351" s="19" t="n">
        <x:v>46245</x:v>
      </x:c>
      <x:c r="Q1351" s="20" t="str">
        <x:v>https://parsacoffeeroasters.com/tr/iletisim</x:v>
      </x:c>
      <x:c r="R1351" s="20" t="str">
        <x:v>Ürün kimliği korundu; eksik alanlar erişilemedi olarak işaretlenecek.</x:v>
      </x:c>
    </x:row>
    <x:row r="1352" ht="40" customHeight="1">
      <x:c r="A1352" s="16" t="str">
        <x:v>Parsa Coffee Roasters</x:v>
      </x:c>
      <x:c r="B1352" s="16" t="str">
        <x:v>İstanbul</x:v>
      </x:c>
      <x:c r="C1352" s="16" t="str">
        <x:v>Doğrulandı</x:v>
      </x:c>
      <x:c r="D1352" s="16" t="str">
        <x:v>Ürün kaydı</x:v>
      </x:c>
      <x:c r="E1352" s="16" t="str">
        <x:v>Mağaza · Parsa Coffee Roasters</x:v>
      </x:c>
      <x:c r="F1352" s="16" t="str">
        <x:v>Etiyopya | Kolombiya | Brezilya</x:v>
      </x:c>
      <x:c r="G1352" s="17" t="n">
        <x:v>1000</x:v>
      </x:c>
      <x:c r="H1352" s="16" t="str">
        <x:v>Erişildi</x:v>
      </x:c>
      <x:c r="I1352" s="18" t="n">
        <x:v>1000</x:v>
      </x:c>
      <x:c r="J1352" s="18" t="str">
        <x:v>Erişildi</x:v>
      </x:c>
      <x:c r="K1352" s="18" t="n">
        <x:f>IF(AND(ISNUMBER(G1352),ISNUMBER(I1352)),I1352/G1352*1000,"Erişilemedi")</x:f>
        <x:v>1000</x:v>
      </x:c>
      <x:c r="L1352" s="16" t="str">
        <x:v>Belirsiz</x:v>
      </x:c>
      <x:c r="M1352" s="16" t="str">
        <x:v>Tek köken/ürün</x:v>
      </x:c>
      <x:c r="N1352" s="16" t="str">
        <x:v>Site haritası + HTML ürün kartı</x:v>
      </x:c>
      <x:c r="O1352" s="16" t="str">
        <x:v>Düşük</x:v>
      </x:c>
      <x:c r="P1352" s="19" t="n">
        <x:v>46245</x:v>
      </x:c>
      <x:c r="Q1352" s="20" t="str">
        <x:v>https://parsacoffeeroasters.com/tr/magaza</x:v>
      </x:c>
      <x:c r="R1352" s="20" t="str">
        <x:v>Başlık/açıklama ve görünür fiyat deseninden çıkarıldı; manuel örnek kontrolü önerilir.</x:v>
      </x:c>
    </x:row>
    <x:row r="1353" ht="40" customHeight="1">
      <x:c r="A1353" s="16" t="str">
        <x:v>Parsa Coffee Roasters</x:v>
      </x:c>
      <x:c r="B1353" s="16" t="str">
        <x:v>İstanbul</x:v>
      </x:c>
      <x:c r="C1353" s="16" t="str">
        <x:v>Doğrulandı</x:v>
      </x:c>
      <x:c r="D1353" s="16" t="str">
        <x:v>Ürün kaydı</x:v>
      </x:c>
      <x:c r="E1353" s="16" t="str">
        <x:v>My Wishlist</x:v>
      </x:c>
      <x:c r="F1353" s="16" t="str">
        <x:v>Etiyopya | Kolombiya | Brezilya</x:v>
      </x:c>
      <x:c r="G1353" s="17" t="str">
        <x:v>Erişilemedi</x:v>
      </x:c>
      <x:c r="H1353" s="16" t="str">
        <x:v>Erişilemedi</x:v>
      </x:c>
      <x:c r="I1353" s="18" t="n">
        <x:v>1000</x:v>
      </x:c>
      <x:c r="J1353" s="18" t="str">
        <x:v>Erişildi</x:v>
      </x:c>
      <x:c r="K1353" s="18" t="str">
        <x:f>IF(AND(ISNUMBER(G1353),ISNUMBER(I1353)),I1353/G1353*1000,"Erişilemedi")</x:f>
        <x:v>Erişilemedi</x:v>
      </x:c>
      <x:c r="L1353" s="16" t="str">
        <x:v>Belirsiz</x:v>
      </x:c>
      <x:c r="M1353" s="16" t="str">
        <x:v>Kahve ürünü</x:v>
      </x:c>
      <x:c r="N1353" s="16" t="str">
        <x:v>Site haritası ürün sayfası</x:v>
      </x:c>
      <x:c r="O1353" s="16" t="str">
        <x:v>Düşük</x:v>
      </x:c>
      <x:c r="P1353" s="19" t="n">
        <x:v>46245</x:v>
      </x:c>
      <x:c r="Q1353" s="20" t="str">
        <x:v>https://parsacoffeeroasters.com/en/favoriler</x:v>
      </x:c>
      <x:c r="R1353" s="20" t="str">
        <x:v>Ürün kimliği korundu; eksik alanlar erişilemedi olarak işaretlenecek.</x:v>
      </x:c>
    </x:row>
    <x:row r="1354" ht="40" customHeight="1">
      <x:c r="A1354" s="16" t="str">
        <x:v>Parsa Coffee Roasters</x:v>
      </x:c>
      <x:c r="B1354" s="16" t="str">
        <x:v>İstanbul</x:v>
      </x:c>
      <x:c r="C1354" s="16" t="str">
        <x:v>Doğrulandı</x:v>
      </x:c>
      <x:c r="D1354" s="16" t="str">
        <x:v>Ürün kaydı</x:v>
      </x:c>
      <x:c r="E1354" s="16" t="str">
        <x:v>Nitekli Kahvenin Geleceği</x:v>
      </x:c>
      <x:c r="F1354" s="16" t="str">
        <x:v>Menşe belirtilmemiş</x:v>
      </x:c>
      <x:c r="G1354" s="17" t="str">
        <x:v>Erişilemedi</x:v>
      </x:c>
      <x:c r="H1354" s="16" t="str">
        <x:v>Erişilemedi</x:v>
      </x:c>
      <x:c r="I1354" s="18" t="n">
        <x:v>1000</x:v>
      </x:c>
      <x:c r="J1354" s="18" t="str">
        <x:v>Erişildi</x:v>
      </x:c>
      <x:c r="K1354" s="18" t="str">
        <x:f>IF(AND(ISNUMBER(G1354),ISNUMBER(I1354)),I1354/G1354*1000,"Erişilemedi")</x:f>
        <x:v>Erişilemedi</x:v>
      </x:c>
      <x:c r="L1354" s="16" t="str">
        <x:v>Belirsiz</x:v>
      </x:c>
      <x:c r="M1354" s="16" t="str">
        <x:v>Kahve ürünü</x:v>
      </x:c>
      <x:c r="N1354" s="16" t="str">
        <x:v>Site haritası ürün sayfası</x:v>
      </x:c>
      <x:c r="O1354" s="16" t="str">
        <x:v>Düşük</x:v>
      </x:c>
      <x:c r="P1354" s="19" t="n">
        <x:v>46245</x:v>
      </x:c>
      <x:c r="Q1354" s="20" t="str">
        <x:v>https://parsacoffeeroasters.com/tr/gunluk/N%C2%B002</x:v>
      </x:c>
      <x:c r="R1354" s="20" t="str">
        <x:v>Ürün kimliği korundu; eksik alanlar erişilemedi olarak işaretlenecek.</x:v>
      </x:c>
    </x:row>
    <x:row r="1355" ht="40" customHeight="1">
      <x:c r="A1355" s="16" t="str">
        <x:v>Parsa Coffee Roasters</x:v>
      </x:c>
      <x:c r="B1355" s="16" t="str">
        <x:v>İstanbul</x:v>
      </x:c>
      <x:c r="C1355" s="16" t="str">
        <x:v>Doğrulandı</x:v>
      </x:c>
      <x:c r="D1355" s="16" t="str">
        <x:v>Ürün kaydı</x:v>
      </x:c>
      <x:c r="E1355" s="16" t="str">
        <x:v>Opal Geisha</x:v>
      </x:c>
      <x:c r="F1355" s="16" t="str">
        <x:v>Menşe belirtilmemiş</x:v>
      </x:c>
      <x:c r="G1355" s="17" t="str">
        <x:v>Erişilemedi</x:v>
      </x:c>
      <x:c r="H1355" s="16" t="str">
        <x:v>Erişilemedi</x:v>
      </x:c>
      <x:c r="I1355" s="18" t="n">
        <x:v>1000</x:v>
      </x:c>
      <x:c r="J1355" s="18" t="str">
        <x:v>Erişildi</x:v>
      </x:c>
      <x:c r="K1355" s="18" t="str">
        <x:f>IF(AND(ISNUMBER(G1355),ISNUMBER(I1355)),I1355/G1355*1000,"Erişilemedi")</x:f>
        <x:v>Erişilemedi</x:v>
      </x:c>
      <x:c r="L1355" s="16" t="str">
        <x:v>Belirsiz</x:v>
      </x:c>
      <x:c r="M1355" s="16" t="str">
        <x:v>Kahve ürünü</x:v>
      </x:c>
      <x:c r="N1355" s="16" t="str">
        <x:v>Site haritası ürün sayfası</x:v>
      </x:c>
      <x:c r="O1355" s="16" t="str">
        <x:v>Düşük</x:v>
      </x:c>
      <x:c r="P1355" s="19" t="n">
        <x:v>46245</x:v>
      </x:c>
      <x:c r="Q1355" s="20" t="str">
        <x:v>https://parsacoffeeroasters.com/en/kahve/122</x:v>
      </x:c>
      <x:c r="R1355" s="20" t="str">
        <x:v>Ürün kimliği korundu; eksik alanlar erişilemedi olarak işaretlenecek.</x:v>
      </x:c>
    </x:row>
    <x:row r="1356" ht="40" customHeight="1">
      <x:c r="A1356" s="16" t="str">
        <x:v>Parsa Coffee Roasters</x:v>
      </x:c>
      <x:c r="B1356" s="16" t="str">
        <x:v>İstanbul</x:v>
      </x:c>
      <x:c r="C1356" s="16" t="str">
        <x:v>Doğrulandı</x:v>
      </x:c>
      <x:c r="D1356" s="16" t="str">
        <x:v>Ürün kaydı</x:v>
      </x:c>
      <x:c r="E1356" s="16" t="str">
        <x:v>Parsa Coffee Roasters · Specialty Coffee, İstanbul · Parsa Coffee Roasters</x:v>
      </x:c>
      <x:c r="F1356" s="16" t="str">
        <x:v>Etiyopya | Kolombiya | Brezilya</x:v>
      </x:c>
      <x:c r="G1356" s="17" t="str">
        <x:v>Erişilemedi</x:v>
      </x:c>
      <x:c r="H1356" s="16" t="str">
        <x:v>Erişilemedi</x:v>
      </x:c>
      <x:c r="I1356" s="18" t="n">
        <x:v>1000</x:v>
      </x:c>
      <x:c r="J1356" s="18" t="str">
        <x:v>Erişildi</x:v>
      </x:c>
      <x:c r="K1356" s="18" t="str">
        <x:f>IF(AND(ISNUMBER(G1356),ISNUMBER(I1356)),I1356/G1356*1000,"Erişilemedi")</x:f>
        <x:v>Erişilemedi</x:v>
      </x:c>
      <x:c r="L1356" s="16" t="str">
        <x:v>Belirsiz</x:v>
      </x:c>
      <x:c r="M1356" s="16" t="str">
        <x:v>Kahve ürünü</x:v>
      </x:c>
      <x:c r="N1356" s="16" t="str">
        <x:v>Site haritası ürün sayfası</x:v>
      </x:c>
      <x:c r="O1356" s="16" t="str">
        <x:v>Düşük</x:v>
      </x:c>
      <x:c r="P1356" s="19" t="n">
        <x:v>46245</x:v>
      </x:c>
      <x:c r="Q1356" s="20" t="str">
        <x:v>https://parsacoffeeroasters.com/en</x:v>
      </x:c>
      <x:c r="R1356" s="20" t="str">
        <x:v>Ürün kimliği korundu; eksik alanlar erişilemedi olarak işaretlenecek.</x:v>
      </x:c>
    </x:row>
    <x:row r="1357" ht="40" customHeight="1">
      <x:c r="A1357" s="16" t="str">
        <x:v>Parsa Coffee Roasters</x:v>
      </x:c>
      <x:c r="B1357" s="16" t="str">
        <x:v>İstanbul</x:v>
      </x:c>
      <x:c r="C1357" s="16" t="str">
        <x:v>Doğrulandı</x:v>
      </x:c>
      <x:c r="D1357" s="16" t="str">
        <x:v>Ürün kaydı</x:v>
      </x:c>
      <x:c r="E1357" s="16" t="str">
        <x:v>Parsa Coffee Roasters · Taze Kavrum, İstanbul Beyoğlu · Parsa Coffee Roasters</x:v>
      </x:c>
      <x:c r="F1357" s="16" t="str">
        <x:v>Etiyopya | Kolombiya | Brezilya</x:v>
      </x:c>
      <x:c r="G1357" s="17" t="str">
        <x:v>Erişilemedi</x:v>
      </x:c>
      <x:c r="H1357" s="16" t="str">
        <x:v>Erişilemedi</x:v>
      </x:c>
      <x:c r="I1357" s="18" t="n">
        <x:v>1000</x:v>
      </x:c>
      <x:c r="J1357" s="18" t="str">
        <x:v>Erişildi</x:v>
      </x:c>
      <x:c r="K1357" s="18" t="str">
        <x:f>IF(AND(ISNUMBER(G1357),ISNUMBER(I1357)),I1357/G1357*1000,"Erişilemedi")</x:f>
        <x:v>Erişilemedi</x:v>
      </x:c>
      <x:c r="L1357" s="16" t="str">
        <x:v>Belirsiz</x:v>
      </x:c>
      <x:c r="M1357" s="16" t="str">
        <x:v>Kahve ürünü</x:v>
      </x:c>
      <x:c r="N1357" s="16" t="str">
        <x:v>Site haritası ürün sayfası</x:v>
      </x:c>
      <x:c r="O1357" s="16" t="str">
        <x:v>Düşük</x:v>
      </x:c>
      <x:c r="P1357" s="19" t="n">
        <x:v>46245</x:v>
      </x:c>
      <x:c r="Q1357" s="20" t="str">
        <x:v>https://parsacoffeeroasters.com/tr</x:v>
      </x:c>
      <x:c r="R1357" s="20" t="str">
        <x:v>Ürün kimliği korundu; eksik alanlar erişilemedi olarak işaretlenecek.</x:v>
      </x:c>
    </x:row>
    <x:row r="1358" ht="40" customHeight="1">
      <x:c r="A1358" s="16" t="str">
        <x:v>Parsa Coffee Roasters</x:v>
      </x:c>
      <x:c r="B1358" s="16" t="str">
        <x:v>İstanbul</x:v>
      </x:c>
      <x:c r="C1358" s="16" t="str">
        <x:v>Doğrulandı</x:v>
      </x:c>
      <x:c r="D1358" s="16" t="str">
        <x:v>Ürün kaydı</x:v>
      </x:c>
      <x:c r="E1358" s="16" t="str">
        <x:v>Peru Pichanaki</x:v>
      </x:c>
      <x:c r="F1358" s="16" t="str">
        <x:v>Peru</x:v>
      </x:c>
      <x:c r="G1358" s="17" t="str">
        <x:v>Erişilemedi</x:v>
      </x:c>
      <x:c r="H1358" s="16" t="str">
        <x:v>Erişilemedi</x:v>
      </x:c>
      <x:c r="I1358" s="18" t="n">
        <x:v>1000</x:v>
      </x:c>
      <x:c r="J1358" s="18" t="str">
        <x:v>Erişildi</x:v>
      </x:c>
      <x:c r="K1358" s="18" t="str">
        <x:f>IF(AND(ISNUMBER(G1358),ISNUMBER(I1358)),I1358/G1358*1000,"Erişilemedi")</x:f>
        <x:v>Erişilemedi</x:v>
      </x:c>
      <x:c r="L1358" s="16" t="str">
        <x:v>Belirsiz</x:v>
      </x:c>
      <x:c r="M1358" s="16" t="str">
        <x:v>Kahve ürünü</x:v>
      </x:c>
      <x:c r="N1358" s="16" t="str">
        <x:v>Site haritası ürün sayfası</x:v>
      </x:c>
      <x:c r="O1358" s="16" t="str">
        <x:v>Düşük</x:v>
      </x:c>
      <x:c r="P1358" s="19" t="n">
        <x:v>46245</x:v>
      </x:c>
      <x:c r="Q1358" s="20" t="str">
        <x:v>https://parsacoffeeroasters.com/en/kahve/102</x:v>
      </x:c>
      <x:c r="R1358" s="20" t="str">
        <x:v>Ürün kimliği korundu; eksik alanlar erişilemedi olarak işaretlenecek.</x:v>
      </x:c>
    </x:row>
    <x:row r="1359" ht="40" customHeight="1">
      <x:c r="A1359" s="16" t="str">
        <x:v>Parsa Coffee Roasters</x:v>
      </x:c>
      <x:c r="B1359" s="16" t="str">
        <x:v>İstanbul</x:v>
      </x:c>
      <x:c r="C1359" s="16" t="str">
        <x:v>Doğrulandı</x:v>
      </x:c>
      <x:c r="D1359" s="16" t="str">
        <x:v>Ürün kaydı</x:v>
      </x:c>
      <x:c r="E1359" s="16" t="str">
        <x:v>Rwanda Akagera</x:v>
      </x:c>
      <x:c r="F1359" s="16" t="str">
        <x:v>Ruanda</x:v>
      </x:c>
      <x:c r="G1359" s="17" t="str">
        <x:v>Erişilemedi</x:v>
      </x:c>
      <x:c r="H1359" s="16" t="str">
        <x:v>Erişilemedi</x:v>
      </x:c>
      <x:c r="I1359" s="18" t="n">
        <x:v>1000</x:v>
      </x:c>
      <x:c r="J1359" s="18" t="str">
        <x:v>Erişildi</x:v>
      </x:c>
      <x:c r="K1359" s="18" t="str">
        <x:f>IF(AND(ISNUMBER(G1359),ISNUMBER(I1359)),I1359/G1359*1000,"Erişilemedi")</x:f>
        <x:v>Erişilemedi</x:v>
      </x:c>
      <x:c r="L1359" s="16" t="str">
        <x:v>Belirsiz</x:v>
      </x:c>
      <x:c r="M1359" s="16" t="str">
        <x:v>Kahve ürünü</x:v>
      </x:c>
      <x:c r="N1359" s="16" t="str">
        <x:v>Site haritası ürün sayfası</x:v>
      </x:c>
      <x:c r="O1359" s="16" t="str">
        <x:v>Düşük</x:v>
      </x:c>
      <x:c r="P1359" s="19" t="n">
        <x:v>46245</x:v>
      </x:c>
      <x:c r="Q1359" s="20" t="str">
        <x:v>https://parsacoffeeroasters.com/en/kahve/117</x:v>
      </x:c>
      <x:c r="R1359" s="20" t="str">
        <x:v>Ürün kimliği korundu; eksik alanlar erişilemedi olarak işaretlenecek.</x:v>
      </x:c>
    </x:row>
    <x:row r="1360" ht="40" customHeight="1">
      <x:c r="A1360" s="16" t="str">
        <x:v>Parsa Coffee Roasters</x:v>
      </x:c>
      <x:c r="B1360" s="16" t="str">
        <x:v>İstanbul</x:v>
      </x:c>
      <x:c r="C1360" s="16" t="str">
        <x:v>Doğrulandı</x:v>
      </x:c>
      <x:c r="D1360" s="16" t="str">
        <x:v>Ürün kaydı</x:v>
      </x:c>
      <x:c r="E1360" s="16" t="str">
        <x:v>Sohbet Paylaşım</x:v>
      </x:c>
      <x:c r="F1360" s="16" t="str">
        <x:v>Etiyopya | Kolombiya | Brezilya</x:v>
      </x:c>
      <x:c r="G1360" s="17" t="str">
        <x:v>Erişilemedi</x:v>
      </x:c>
      <x:c r="H1360" s="16" t="str">
        <x:v>Erişilemedi</x:v>
      </x:c>
      <x:c r="I1360" s="18" t="n">
        <x:v>1000</x:v>
      </x:c>
      <x:c r="J1360" s="18" t="str">
        <x:v>Erişildi</x:v>
      </x:c>
      <x:c r="K1360" s="18" t="str">
        <x:f>IF(AND(ISNUMBER(G1360),ISNUMBER(I1360)),I1360/G1360*1000,"Erişilemedi")</x:f>
        <x:v>Erişilemedi</x:v>
      </x:c>
      <x:c r="L1360" s="16" t="str">
        <x:v>Belirsiz</x:v>
      </x:c>
      <x:c r="M1360" s="16" t="str">
        <x:v>Kahve ürünü</x:v>
      </x:c>
      <x:c r="N1360" s="16" t="str">
        <x:v>Site haritası ürün sayfası</x:v>
      </x:c>
      <x:c r="O1360" s="16" t="str">
        <x:v>Düşük</x:v>
      </x:c>
      <x:c r="P1360" s="19" t="n">
        <x:v>46245</x:v>
      </x:c>
      <x:c r="Q1360" s="20" t="str">
        <x:v>https://parsacoffeeroasters.com/tr/connect</x:v>
      </x:c>
      <x:c r="R1360" s="20" t="str">
        <x:v>Ürün kimliği korundu; eksik alanlar erişilemedi olarak işaretlenecek.</x:v>
      </x:c>
    </x:row>
    <x:row r="1361" ht="40" customHeight="1">
      <x:c r="A1361" s="16" t="str">
        <x:v>Parsa Coffee Roasters</x:v>
      </x:c>
      <x:c r="B1361" s="16" t="str">
        <x:v>İstanbul</x:v>
      </x:c>
      <x:c r="C1361" s="16" t="str">
        <x:v>Doğrulandı</x:v>
      </x:c>
      <x:c r="D1361" s="16" t="str">
        <x:v>Ürün kaydı</x:v>
      </x:c>
      <x:c r="E1361" s="16" t="str">
        <x:v>The Future of Specialty Coffee</x:v>
      </x:c>
      <x:c r="F1361" s="16" t="str">
        <x:v>Menşe belirtilmemiş</x:v>
      </x:c>
      <x:c r="G1361" s="17" t="str">
        <x:v>Erişilemedi</x:v>
      </x:c>
      <x:c r="H1361" s="16" t="str">
        <x:v>Erişilemedi</x:v>
      </x:c>
      <x:c r="I1361" s="18" t="n">
        <x:v>1000</x:v>
      </x:c>
      <x:c r="J1361" s="18" t="str">
        <x:v>Erişildi</x:v>
      </x:c>
      <x:c r="K1361" s="18" t="str">
        <x:f>IF(AND(ISNUMBER(G1361),ISNUMBER(I1361)),I1361/G1361*1000,"Erişilemedi")</x:f>
        <x:v>Erişilemedi</x:v>
      </x:c>
      <x:c r="L1361" s="16" t="str">
        <x:v>Belirsiz</x:v>
      </x:c>
      <x:c r="M1361" s="16" t="str">
        <x:v>Kahve ürünü</x:v>
      </x:c>
      <x:c r="N1361" s="16" t="str">
        <x:v>Site haritası ürün sayfası</x:v>
      </x:c>
      <x:c r="O1361" s="16" t="str">
        <x:v>Düşük</x:v>
      </x:c>
      <x:c r="P1361" s="19" t="n">
        <x:v>46245</x:v>
      </x:c>
      <x:c r="Q1361" s="20" t="str">
        <x:v>https://parsacoffeeroasters.com/en/gunluk/N%C2%B002</x:v>
      </x:c>
      <x:c r="R1361" s="20" t="str">
        <x:v>Ürün kimliği korundu; eksik alanlar erişilemedi olarak işaretlenecek.</x:v>
      </x:c>
    </x:row>
    <x:row r="1362" ht="40" customHeight="1">
      <x:c r="A1362" s="16" t="str">
        <x:v>Parsa Coffee Roasters</x:v>
      </x:c>
      <x:c r="B1362" s="16" t="str">
        <x:v>İstanbul</x:v>
      </x:c>
      <x:c r="C1362" s="16" t="str">
        <x:v>Doğrulandı</x:v>
      </x:c>
      <x:c r="D1362" s="16" t="str">
        <x:v>Ürün kaydı</x:v>
      </x:c>
      <x:c r="E1362" s="16" t="str">
        <x:v>Through the years, with patience.</x:v>
      </x:c>
      <x:c r="F1362" s="16" t="str">
        <x:v>Etiyopya | Kolombiya | Brezilya</x:v>
      </x:c>
      <x:c r="G1362" s="17" t="str">
        <x:v>Erişilemedi</x:v>
      </x:c>
      <x:c r="H1362" s="16" t="str">
        <x:v>Erişilemedi</x:v>
      </x:c>
      <x:c r="I1362" s="18" t="n">
        <x:v>1000</x:v>
      </x:c>
      <x:c r="J1362" s="18" t="str">
        <x:v>Erişildi</x:v>
      </x:c>
      <x:c r="K1362" s="18" t="str">
        <x:f>IF(AND(ISNUMBER(G1362),ISNUMBER(I1362)),I1362/G1362*1000,"Erişilemedi")</x:f>
        <x:v>Erişilemedi</x:v>
      </x:c>
      <x:c r="L1362" s="16" t="str">
        <x:v>Belirsiz</x:v>
      </x:c>
      <x:c r="M1362" s="16" t="str">
        <x:v>Kahve ürünü</x:v>
      </x:c>
      <x:c r="N1362" s="16" t="str">
        <x:v>Site haritası ürün sayfası</x:v>
      </x:c>
      <x:c r="O1362" s="16" t="str">
        <x:v>Düşük</x:v>
      </x:c>
      <x:c r="P1362" s="19" t="n">
        <x:v>46245</x:v>
      </x:c>
      <x:c r="Q1362" s="20" t="str">
        <x:v>https://parsacoffeeroasters.com/en/basarilar</x:v>
      </x:c>
      <x:c r="R1362" s="20" t="str">
        <x:v>Ürün kimliği korundu; eksik alanlar erişilemedi olarak işaretlenecek.</x:v>
      </x:c>
    </x:row>
    <x:row r="1363" ht="40" customHeight="1">
      <x:c r="A1363" s="16" t="str">
        <x:v>Parsa Coffee Roasters</x:v>
      </x:c>
      <x:c r="B1363" s="16" t="str">
        <x:v>İstanbul</x:v>
      </x:c>
      <x:c r="C1363" s="16" t="str">
        <x:v>Doğrulandı</x:v>
      </x:c>
      <x:c r="D1363" s="16" t="str">
        <x:v>Ürün kaydı</x:v>
      </x:c>
      <x:c r="E1363" s="16" t="str">
        <x:v>Toptan</x:v>
      </x:c>
      <x:c r="F1363" s="16" t="str">
        <x:v>Etiyopya | Kolombiya | Brezilya</x:v>
      </x:c>
      <x:c r="G1363" s="17" t="str">
        <x:v>Erişilemedi</x:v>
      </x:c>
      <x:c r="H1363" s="16" t="str">
        <x:v>Erişilemedi</x:v>
      </x:c>
      <x:c r="I1363" s="18" t="n">
        <x:v>1000</x:v>
      </x:c>
      <x:c r="J1363" s="18" t="str">
        <x:v>Erişildi</x:v>
      </x:c>
      <x:c r="K1363" s="18" t="str">
        <x:f>IF(AND(ISNUMBER(G1363),ISNUMBER(I1363)),I1363/G1363*1000,"Erişilemedi")</x:f>
        <x:v>Erişilemedi</x:v>
      </x:c>
      <x:c r="L1363" s="16" t="str">
        <x:v>Belirsiz</x:v>
      </x:c>
      <x:c r="M1363" s="16" t="str">
        <x:v>Kahve ürünü</x:v>
      </x:c>
      <x:c r="N1363" s="16" t="str">
        <x:v>Site haritası ürün sayfası</x:v>
      </x:c>
      <x:c r="O1363" s="16" t="str">
        <x:v>Düşük</x:v>
      </x:c>
      <x:c r="P1363" s="19" t="n">
        <x:v>46245</x:v>
      </x:c>
      <x:c r="Q1363" s="20" t="str">
        <x:v>https://parsacoffeeroasters.com/tr/toptan</x:v>
      </x:c>
      <x:c r="R1363" s="20" t="str">
        <x:v>Ürün kimliği korundu; eksik alanlar erişilemedi olarak işaretlenecek.</x:v>
      </x:c>
    </x:row>
    <x:row r="1364" ht="40" customHeight="1">
      <x:c r="A1364" s="16" t="str">
        <x:v>Parsa Coffee Roasters</x:v>
      </x:c>
      <x:c r="B1364" s="16" t="str">
        <x:v>İstanbul</x:v>
      </x:c>
      <x:c r="C1364" s="16" t="str">
        <x:v>Doğrulandı</x:v>
      </x:c>
      <x:c r="D1364" s="16" t="str">
        <x:v>Ürün kaydı</x:v>
      </x:c>
      <x:c r="E1364" s="16" t="str">
        <x:v>Wholesale</x:v>
      </x:c>
      <x:c r="F1364" s="16" t="str">
        <x:v>Etiyopya | Kolombiya | Brezilya</x:v>
      </x:c>
      <x:c r="G1364" s="17" t="str">
        <x:v>Erişilemedi</x:v>
      </x:c>
      <x:c r="H1364" s="16" t="str">
        <x:v>Erişilemedi</x:v>
      </x:c>
      <x:c r="I1364" s="18" t="n">
        <x:v>1000</x:v>
      </x:c>
      <x:c r="J1364" s="18" t="str">
        <x:v>Erişildi</x:v>
      </x:c>
      <x:c r="K1364" s="18" t="str">
        <x:f>IF(AND(ISNUMBER(G1364),ISNUMBER(I1364)),I1364/G1364*1000,"Erişilemedi")</x:f>
        <x:v>Erişilemedi</x:v>
      </x:c>
      <x:c r="L1364" s="16" t="str">
        <x:v>Belirsiz</x:v>
      </x:c>
      <x:c r="M1364" s="16" t="str">
        <x:v>Kahve ürünü</x:v>
      </x:c>
      <x:c r="N1364" s="16" t="str">
        <x:v>Site haritası ürün sayfası</x:v>
      </x:c>
      <x:c r="O1364" s="16" t="str">
        <x:v>Düşük</x:v>
      </x:c>
      <x:c r="P1364" s="19" t="n">
        <x:v>46245</x:v>
      </x:c>
      <x:c r="Q1364" s="20" t="str">
        <x:v>https://parsacoffeeroasters.com/en/toptan</x:v>
      </x:c>
      <x:c r="R1364" s="20" t="str">
        <x:v>Ürün kimliği korundu; eksik alanlar erişilemedi olarak işaretlenecek.</x:v>
      </x:c>
    </x:row>
    <x:row r="1365" ht="40" customHeight="1">
      <x:c r="A1365" s="16" t="str">
        <x:v>Parsa Coffee Roasters</x:v>
      </x:c>
      <x:c r="B1365" s="16" t="str">
        <x:v>İstanbul</x:v>
      </x:c>
      <x:c r="C1365" s="16" t="str">
        <x:v>Doğrulandı</x:v>
      </x:c>
      <x:c r="D1365" s="16" t="str">
        <x:v>Ürün kaydı</x:v>
      </x:c>
      <x:c r="E1365" s="16" t="str">
        <x:v>Yıllar boyunca, sabırla.</x:v>
      </x:c>
      <x:c r="F1365" s="16" t="str">
        <x:v>Etiyopya | Kolombiya | Brezilya</x:v>
      </x:c>
      <x:c r="G1365" s="17" t="str">
        <x:v>Erişilemedi</x:v>
      </x:c>
      <x:c r="H1365" s="16" t="str">
        <x:v>Erişilemedi</x:v>
      </x:c>
      <x:c r="I1365" s="18" t="n">
        <x:v>1000</x:v>
      </x:c>
      <x:c r="J1365" s="18" t="str">
        <x:v>Erişildi</x:v>
      </x:c>
      <x:c r="K1365" s="18" t="str">
        <x:f>IF(AND(ISNUMBER(G1365),ISNUMBER(I1365)),I1365/G1365*1000,"Erişilemedi")</x:f>
        <x:v>Erişilemedi</x:v>
      </x:c>
      <x:c r="L1365" s="16" t="str">
        <x:v>Belirsiz</x:v>
      </x:c>
      <x:c r="M1365" s="16" t="str">
        <x:v>Kahve ürünü</x:v>
      </x:c>
      <x:c r="N1365" s="16" t="str">
        <x:v>Site haritası ürün sayfası</x:v>
      </x:c>
      <x:c r="O1365" s="16" t="str">
        <x:v>Düşük</x:v>
      </x:c>
      <x:c r="P1365" s="19" t="n">
        <x:v>46245</x:v>
      </x:c>
      <x:c r="Q1365" s="20" t="str">
        <x:v>https://parsacoffeeroasters.com/tr/basarilar</x:v>
      </x:c>
      <x:c r="R1365" s="20" t="str">
        <x:v>Ürün kimliği korundu; eksik alanlar erişilemedi olarak işaretlenecek.</x:v>
      </x:c>
    </x:row>
    <x:row r="1366" ht="40" customHeight="1">
      <x:c r="A1366" s="16" t="str">
        <x:v>Parsa Coffee Roasters</x:v>
      </x:c>
      <x:c r="B1366" s="16" t="str">
        <x:v>İstanbul</x:v>
      </x:c>
      <x:c r="C1366" s="16" t="str">
        <x:v>Doğrulandı</x:v>
      </x:c>
      <x:c r="D1366" s="16" t="str">
        <x:v>Ürün kaydı</x:v>
      </x:c>
      <x:c r="E1366" s="16" t="str">
        <x:v>Yirgacheffe — Çiftliğin Hikayesi</x:v>
      </x:c>
      <x:c r="F1366" s="16" t="str">
        <x:v>Etiyopya</x:v>
      </x:c>
      <x:c r="G1366" s="17" t="str">
        <x:v>Erişilemedi</x:v>
      </x:c>
      <x:c r="H1366" s="16" t="str">
        <x:v>Erişilemedi</x:v>
      </x:c>
      <x:c r="I1366" s="18" t="n">
        <x:v>1000</x:v>
      </x:c>
      <x:c r="J1366" s="18" t="str">
        <x:v>Erişildi</x:v>
      </x:c>
      <x:c r="K1366" s="18" t="str">
        <x:f>IF(AND(ISNUMBER(G1366),ISNUMBER(I1366)),I1366/G1366*1000,"Erişilemedi")</x:f>
        <x:v>Erişilemedi</x:v>
      </x:c>
      <x:c r="L1366" s="16" t="str">
        <x:v>Belirsiz</x:v>
      </x:c>
      <x:c r="M1366" s="16" t="str">
        <x:v>Kahve ürünü</x:v>
      </x:c>
      <x:c r="N1366" s="16" t="str">
        <x:v>Site haritası ürün sayfası</x:v>
      </x:c>
      <x:c r="O1366" s="16" t="str">
        <x:v>Düşük</x:v>
      </x:c>
      <x:c r="P1366" s="19" t="n">
        <x:v>46245</x:v>
      </x:c>
      <x:c r="Q1366" s="20" t="str">
        <x:v>https://parsacoffeeroasters.com/tr/gunluk/N%C2%B003</x:v>
      </x:c>
      <x:c r="R1366" s="20" t="str">
        <x:v>Ürün kimliği korundu; eksik alanlar erişilemedi olarak işaretlenecek.</x:v>
      </x:c>
    </x:row>
    <x:row r="1367" ht="40" customHeight="1">
      <x:c r="A1367" s="16" t="str">
        <x:v>People of Coffee</x:v>
      </x:c>
      <x:c r="B1367" s="16" t="str"/>
      <x:c r="C1367" s="16" t="str">
        <x:v>Doğrulandı</x:v>
      </x:c>
      <x:c r="D1367" s="16" t="str">
        <x:v>Katalog takip kaydı</x:v>
      </x:c>
      <x:c r="E1367" s="16" t="str">
        <x:v>Ürün kataloğu — ayrıntılı ürün verisine erişilemedi</x:v>
      </x:c>
      <x:c r="F1367" s="16" t="str">
        <x:v>Erişilemedi</x:v>
      </x:c>
      <x:c r="G1367" s="17" t="str">
        <x:v>Erişilemedi</x:v>
      </x:c>
      <x:c r="H1367" s="16" t="str">
        <x:v>Erişilemedi</x:v>
      </x:c>
      <x:c r="I1367" s="18" t="str">
        <x:v>Erişilemedi</x:v>
      </x:c>
      <x:c r="J1367" s="18" t="str">
        <x:v>Erişilemedi</x:v>
      </x:c>
      <x:c r="K1367" s="18" t="str">
        <x:f>IF(AND(ISNUMBER(G1367),ISNUMBER(I1367)),I1367/G1367*1000,"Erişilemedi")</x:f>
        <x:v>Erişilemedi</x:v>
      </x:c>
      <x:c r="L1367" s="16" t="str">
        <x:v>Erişilemedi</x:v>
      </x:c>
      <x:c r="M1367" s="16" t="str">
        <x:v>Katalog/takip kaydı</x:v>
      </x:c>
      <x:c r="N1367" s="16" t="str">
        <x:v>Mağaza/katalog bağlantısı</x:v>
      </x:c>
      <x:c r="O1367" s="16" t="str">
        <x:v>Takip gerekli</x:v>
      </x:c>
      <x:c r="P1367" s="19" t="n">
        <x:v>46245</x:v>
      </x:c>
      <x:c r="Q1367" s="20" t="str">
        <x:v>https://www.peopleofcoffee.com.tr/</x:v>
      </x:c>
      <x:c r="R1367" s="20" t="str">
        <x:v>Ürün adı, gramaj ve fiyat birlikte çıkarılamadı. Bağlantı manuel inceleme için korundu.</x:v>
      </x:c>
    </x:row>
    <x:row r="1368" ht="40" customHeight="1">
      <x:c r="A1368" s="16" t="str">
        <x:v>Perkup Coffee</x:v>
      </x:c>
      <x:c r="B1368" s="16" t="str">
        <x:v>Ankara</x:v>
      </x:c>
      <x:c r="C1368" s="16" t="str">
        <x:v>Kısmi doğrulama</x:v>
      </x:c>
      <x:c r="D1368" s="16" t="str">
        <x:v>Ürün kaydı</x:v>
      </x:c>
      <x:c r="E1368" s="16" t="str">
        <x:v>Don't Give Up The Fight Blend Çikolata - 100gr</x:v>
      </x:c>
      <x:c r="F1368" s="16" t="str">
        <x:v>Harman – menşe belirtilmemiş</x:v>
      </x:c>
      <x:c r="G1368" s="17" t="n">
        <x:v>100</x:v>
      </x:c>
      <x:c r="H1368" s="16" t="str">
        <x:v>Erişildi</x:v>
      </x:c>
      <x:c r="I1368" s="18" t="str">
        <x:v>Erişilemedi</x:v>
      </x:c>
      <x:c r="J1368" s="18" t="str">
        <x:v>Erişilemedi</x:v>
      </x:c>
      <x:c r="K1368" s="18" t="str">
        <x:f>IF(AND(ISNUMBER(G1368),ISNUMBER(I1368)),I1368/G1368*1000,"Erişilemedi")</x:f>
        <x:v>Erişilemedi</x:v>
      </x:c>
      <x:c r="L1368" s="16" t="str">
        <x:v>Belirsiz</x:v>
      </x:c>
      <x:c r="M1368" s="16" t="str">
        <x:v>Harman</x:v>
      </x:c>
      <x:c r="N1368" s="16" t="str">
        <x:v>Shopify ürün akışı</x:v>
      </x:c>
      <x:c r="O1368" s="16" t="str">
        <x:v>Orta</x:v>
      </x:c>
      <x:c r="P1368" s="19" t="n">
        <x:v>46245</x:v>
      </x:c>
      <x:c r="Q1368" s="20" t="str">
        <x:v>https://perkupcoffee.co/products/dont-give-up-the-fight-blend-cikolata-100gr</x:v>
      </x:c>
      <x:c r="R1368" s="20" t="str">
        <x:v>Satış varyantı erişilemedi.</x:v>
      </x:c>
    </x:row>
    <x:row r="1369" ht="40" customHeight="1">
      <x:c r="A1369" s="16" t="str">
        <x:v>Perkup Coffee</x:v>
      </x:c>
      <x:c r="B1369" s="16" t="str">
        <x:v>Ankara</x:v>
      </x:c>
      <x:c r="C1369" s="16" t="str">
        <x:v>Kısmi doğrulama</x:v>
      </x:c>
      <x:c r="D1369" s="16" t="str">
        <x:v>Ürün kaydı</x:v>
      </x:c>
      <x:c r="E1369" s="16" t="str">
        <x:v>Endonezya Sumatra Blue Mandheling (Orang Utan) - 250gr</x:v>
      </x:c>
      <x:c r="F1369" s="16" t="str">
        <x:v>Endonezya</x:v>
      </x:c>
      <x:c r="G1369" s="17" t="n">
        <x:v>250</x:v>
      </x:c>
      <x:c r="H1369" s="16" t="str">
        <x:v>Erişildi</x:v>
      </x:c>
      <x:c r="I1369" s="18" t="str">
        <x:v>Erişilemedi</x:v>
      </x:c>
      <x:c r="J1369" s="18" t="str">
        <x:v>Erişilemedi</x:v>
      </x:c>
      <x:c r="K1369" s="18" t="str">
        <x:f>IF(AND(ISNUMBER(G1369),ISNUMBER(I1369)),I1369/G1369*1000,"Erişilemedi")</x:f>
        <x:v>Erişilemedi</x:v>
      </x:c>
      <x:c r="L1369" s="16" t="str">
        <x:v>Belirsiz</x:v>
      </x:c>
      <x:c r="M1369" s="16" t="str">
        <x:v>Kahve ürünü</x:v>
      </x:c>
      <x:c r="N1369" s="16" t="str">
        <x:v>Shopify ürün akışı</x:v>
      </x:c>
      <x:c r="O1369" s="16" t="str">
        <x:v>Orta</x:v>
      </x:c>
      <x:c r="P1369" s="19" t="n">
        <x:v>46245</x:v>
      </x:c>
      <x:c r="Q1369" s="20" t="str">
        <x:v>https://perkupcoffee.co/products/endonezya-sumatra-blue-mandheling-orang-utan-250gr</x:v>
      </x:c>
      <x:c r="R1369" s="20" t="str">
        <x:v>Satış varyantı erişilemedi.</x:v>
      </x:c>
    </x:row>
    <x:row r="1370" ht="40" customHeight="1">
      <x:c r="A1370" s="16" t="str">
        <x:v>Perkup Coffee</x:v>
      </x:c>
      <x:c r="B1370" s="16" t="str">
        <x:v>Ankara</x:v>
      </x:c>
      <x:c r="C1370" s="16" t="str">
        <x:v>Kısmi doğrulama</x:v>
      </x:c>
      <x:c r="D1370" s="16" t="str">
        <x:v>Ürün kaydı</x:v>
      </x:c>
      <x:c r="E1370" s="16" t="str">
        <x:v>Etiyopya Guji Hambela Bontiana</x:v>
      </x:c>
      <x:c r="F1370" s="16" t="str">
        <x:v>Etiyopya</x:v>
      </x:c>
      <x:c r="G1370" s="17" t="str">
        <x:v>Erişilemedi</x:v>
      </x:c>
      <x:c r="H1370" s="16" t="str">
        <x:v>Erişilemedi</x:v>
      </x:c>
      <x:c r="I1370" s="18" t="str">
        <x:v>Erişilemedi</x:v>
      </x:c>
      <x:c r="J1370" s="18" t="str">
        <x:v>Erişilemedi</x:v>
      </x:c>
      <x:c r="K1370" s="18" t="str">
        <x:f>IF(AND(ISNUMBER(G1370),ISNUMBER(I1370)),I1370/G1370*1000,"Erişilemedi")</x:f>
        <x:v>Erişilemedi</x:v>
      </x:c>
      <x:c r="L1370" s="16" t="str">
        <x:v>Belirsiz</x:v>
      </x:c>
      <x:c r="M1370" s="16" t="str">
        <x:v>Kahve ürünü</x:v>
      </x:c>
      <x:c r="N1370" s="16" t="str">
        <x:v>Shopify ürün akışı</x:v>
      </x:c>
      <x:c r="O1370" s="16" t="str">
        <x:v>Orta</x:v>
      </x:c>
      <x:c r="P1370" s="19" t="n">
        <x:v>46245</x:v>
      </x:c>
      <x:c r="Q1370" s="20" t="str">
        <x:v>https://perkupcoffee.co/products/etiyopya-guji-hambela-bontiana</x:v>
      </x:c>
      <x:c r="R1370" s="20" t="str">
        <x:v>Satış varyantı erişilemedi.</x:v>
      </x:c>
    </x:row>
    <x:row r="1371" ht="40" customHeight="1">
      <x:c r="A1371" s="16" t="str">
        <x:v>Perkup Coffee</x:v>
      </x:c>
      <x:c r="B1371" s="16" t="str">
        <x:v>Ankara</x:v>
      </x:c>
      <x:c r="C1371" s="16" t="str">
        <x:v>Kısmi doğrulama</x:v>
      </x:c>
      <x:c r="D1371" s="16" t="str">
        <x:v>Ürün kaydı</x:v>
      </x:c>
      <x:c r="E1371" s="16" t="str">
        <x:v>Etiyopya Kochere Burtukaana – 100gr</x:v>
      </x:c>
      <x:c r="F1371" s="16" t="str">
        <x:v>Etiyopya</x:v>
      </x:c>
      <x:c r="G1371" s="17" t="n">
        <x:v>100</x:v>
      </x:c>
      <x:c r="H1371" s="16" t="str">
        <x:v>Erişildi</x:v>
      </x:c>
      <x:c r="I1371" s="18" t="str">
        <x:v>Erişilemedi</x:v>
      </x:c>
      <x:c r="J1371" s="18" t="str">
        <x:v>Erişilemedi</x:v>
      </x:c>
      <x:c r="K1371" s="18" t="str">
        <x:f>IF(AND(ISNUMBER(G1371),ISNUMBER(I1371)),I1371/G1371*1000,"Erişilemedi")</x:f>
        <x:v>Erişilemedi</x:v>
      </x:c>
      <x:c r="L1371" s="16" t="str">
        <x:v>Belirsiz</x:v>
      </x:c>
      <x:c r="M1371" s="16" t="str">
        <x:v>Kahve ürünü</x:v>
      </x:c>
      <x:c r="N1371" s="16" t="str">
        <x:v>Shopify ürün akışı</x:v>
      </x:c>
      <x:c r="O1371" s="16" t="str">
        <x:v>Orta</x:v>
      </x:c>
      <x:c r="P1371" s="19" t="n">
        <x:v>46245</x:v>
      </x:c>
      <x:c r="Q1371" s="20" t="str">
        <x:v>https://perkupcoffee.co/products/etiyopya-kochere-burtukaana-100gr-kahve</x:v>
      </x:c>
      <x:c r="R1371" s="20" t="str">
        <x:v>Satış varyantı erişilemedi.</x:v>
      </x:c>
    </x:row>
    <x:row r="1372" ht="40" customHeight="1">
      <x:c r="A1372" s="16" t="str">
        <x:v>Perkup Coffee</x:v>
      </x:c>
      <x:c r="B1372" s="16" t="str">
        <x:v>Ankara</x:v>
      </x:c>
      <x:c r="C1372" s="16" t="str">
        <x:v>Kısmi doğrulama</x:v>
      </x:c>
      <x:c r="D1372" s="16" t="str">
        <x:v>Ürün kaydı</x:v>
      </x:c>
      <x:c r="E1372" s="16" t="str">
        <x:v>Etiyopya Yirgacheffe Banko Gotiti - 250gr</x:v>
      </x:c>
      <x:c r="F1372" s="16" t="str">
        <x:v>Etiyopya</x:v>
      </x:c>
      <x:c r="G1372" s="17" t="n">
        <x:v>250</x:v>
      </x:c>
      <x:c r="H1372" s="16" t="str">
        <x:v>Erişildi</x:v>
      </x:c>
      <x:c r="I1372" s="18" t="n">
        <x:v>550</x:v>
      </x:c>
      <x:c r="J1372" s="18" t="str">
        <x:v>Erişildi</x:v>
      </x:c>
      <x:c r="K1372" s="18" t="n">
        <x:f>IF(AND(ISNUMBER(G1372),ISNUMBER(I1372)),I1372/G1372*1000,"Erişilemedi")</x:f>
        <x:v>2200</x:v>
      </x:c>
      <x:c r="L1372" s="16" t="str">
        <x:v>Stokta</x:v>
      </x:c>
      <x:c r="M1372" s="16" t="str">
        <x:v>Tek köken/ürün</x:v>
      </x:c>
      <x:c r="N1372" s="16" t="str">
        <x:v>Shopify ürün akışı</x:v>
      </x:c>
      <x:c r="O1372" s="16" t="str">
        <x:v>Yüksek</x:v>
      </x:c>
      <x:c r="P1372" s="19" t="n">
        <x:v>46245</x:v>
      </x:c>
      <x:c r="Q1372" s="20" t="str">
        <x:v>https://perkupcoffee.co/products/etiyopya-yirgacheffe-banko-gotiti-250gr</x:v>
      </x:c>
      <x:c r="R1372" s="20" t="str">
        <x:v>Öğütüm seçenekleri aynı gramaj ve fiyatta tekilleştirildi.</x:v>
      </x:c>
    </x:row>
    <x:row r="1373" ht="40" customHeight="1">
      <x:c r="A1373" s="16" t="str">
        <x:v>Perkup Coffee</x:v>
      </x:c>
      <x:c r="B1373" s="16" t="str">
        <x:v>Ankara</x:v>
      </x:c>
      <x:c r="C1373" s="16" t="str">
        <x:v>Kısmi doğrulama</x:v>
      </x:c>
      <x:c r="D1373" s="16" t="str">
        <x:v>Ürün kaydı</x:v>
      </x:c>
      <x:c r="E1373" s="16" t="str">
        <x:v>Guatemala Huehuetenango – 250 gr</x:v>
      </x:c>
      <x:c r="F1373" s="16" t="str">
        <x:v>Guatemala | Meksika</x:v>
      </x:c>
      <x:c r="G1373" s="17" t="n">
        <x:v>250</x:v>
      </x:c>
      <x:c r="H1373" s="16" t="str">
        <x:v>Erişildi</x:v>
      </x:c>
      <x:c r="I1373" s="18" t="n">
        <x:v>580</x:v>
      </x:c>
      <x:c r="J1373" s="18" t="str">
        <x:v>Erişildi</x:v>
      </x:c>
      <x:c r="K1373" s="18" t="n">
        <x:f>IF(AND(ISNUMBER(G1373),ISNUMBER(I1373)),I1373/G1373*1000,"Erişilemedi")</x:f>
        <x:v>2320</x:v>
      </x:c>
      <x:c r="L1373" s="16" t="str">
        <x:v>Stokta</x:v>
      </x:c>
      <x:c r="M1373" s="16" t="str">
        <x:v>Tek köken/ürün</x:v>
      </x:c>
      <x:c r="N1373" s="16" t="str">
        <x:v>Shopify ürün akışı</x:v>
      </x:c>
      <x:c r="O1373" s="16" t="str">
        <x:v>Yüksek</x:v>
      </x:c>
      <x:c r="P1373" s="19" t="n">
        <x:v>46245</x:v>
      </x:c>
      <x:c r="Q1373" s="20" t="str">
        <x:v>https://perkupcoffee.co/products/guatemala-huehuetenango-250-gr</x:v>
      </x:c>
      <x:c r="R1373" s="20" t="str">
        <x:v>Öğütüm seçenekleri aynı gramaj ve fiyatta tekilleştirildi.</x:v>
      </x:c>
    </x:row>
    <x:row r="1374" ht="40" customHeight="1">
      <x:c r="A1374" s="16" t="str">
        <x:v>Perkup Coffee</x:v>
      </x:c>
      <x:c r="B1374" s="16" t="str">
        <x:v>Ankara</x:v>
      </x:c>
      <x:c r="C1374" s="16" t="str">
        <x:v>Kısmi doğrulama</x:v>
      </x:c>
      <x:c r="D1374" s="16" t="str">
        <x:v>Ürün kaydı</x:v>
      </x:c>
      <x:c r="E1374" s="16" t="str">
        <x:v>Kenya Nyeri Kiandu AA</x:v>
      </x:c>
      <x:c r="F1374" s="16" t="str">
        <x:v>Kenya</x:v>
      </x:c>
      <x:c r="G1374" s="17" t="n">
        <x:v>100</x:v>
      </x:c>
      <x:c r="H1374" s="16" t="str">
        <x:v>Erişildi</x:v>
      </x:c>
      <x:c r="I1374" s="18" t="n">
        <x:v>240</x:v>
      </x:c>
      <x:c r="J1374" s="18" t="str">
        <x:v>Erişildi</x:v>
      </x:c>
      <x:c r="K1374" s="18" t="n">
        <x:f>IF(AND(ISNUMBER(G1374),ISNUMBER(I1374)),I1374/G1374*1000,"Erişilemedi")</x:f>
        <x:v>2400</x:v>
      </x:c>
      <x:c r="L1374" s="16" t="str">
        <x:v>Stokta</x:v>
      </x:c>
      <x:c r="M1374" s="16" t="str">
        <x:v>Tek köken/ürün</x:v>
      </x:c>
      <x:c r="N1374" s="16" t="str">
        <x:v>Shopify ürün akışı</x:v>
      </x:c>
      <x:c r="O1374" s="16" t="str">
        <x:v>Yüksek</x:v>
      </x:c>
      <x:c r="P1374" s="19" t="n">
        <x:v>46245</x:v>
      </x:c>
      <x:c r="Q1374" s="20" t="str">
        <x:v>https://perkupcoffee.co/products/kenya-nyeri-kiandu-aa-100-gr</x:v>
      </x:c>
      <x:c r="R1374" s="20" t="str">
        <x:v>Öğütüm seçenekleri aynı gramaj ve fiyatta tekilleştirildi.</x:v>
      </x:c>
    </x:row>
    <x:row r="1375" ht="40" customHeight="1">
      <x:c r="A1375" s="16" t="str">
        <x:v>Perkup Coffee</x:v>
      </x:c>
      <x:c r="B1375" s="16" t="str">
        <x:v>Ankara</x:v>
      </x:c>
      <x:c r="C1375" s="16" t="str">
        <x:v>Kısmi doğrulama</x:v>
      </x:c>
      <x:c r="D1375" s="16" t="str">
        <x:v>Ürün kaydı</x:v>
      </x:c>
      <x:c r="E1375" s="16" t="str">
        <x:v>Kenya Nyeri Kiandu AA</x:v>
      </x:c>
      <x:c r="F1375" s="16" t="str">
        <x:v>Kenya</x:v>
      </x:c>
      <x:c r="G1375" s="17" t="n">
        <x:v>250</x:v>
      </x:c>
      <x:c r="H1375" s="16" t="str">
        <x:v>Erişildi</x:v>
      </x:c>
      <x:c r="I1375" s="18" t="n">
        <x:v>580</x:v>
      </x:c>
      <x:c r="J1375" s="18" t="str">
        <x:v>Erişildi</x:v>
      </x:c>
      <x:c r="K1375" s="18" t="n">
        <x:f>IF(AND(ISNUMBER(G1375),ISNUMBER(I1375)),I1375/G1375*1000,"Erişilemedi")</x:f>
        <x:v>2320</x:v>
      </x:c>
      <x:c r="L1375" s="16" t="str">
        <x:v>Stokta</x:v>
      </x:c>
      <x:c r="M1375" s="16" t="str">
        <x:v>Tek köken/ürün</x:v>
      </x:c>
      <x:c r="N1375" s="16" t="str">
        <x:v>Shopify ürün akışı</x:v>
      </x:c>
      <x:c r="O1375" s="16" t="str">
        <x:v>Yüksek</x:v>
      </x:c>
      <x:c r="P1375" s="19" t="n">
        <x:v>46245</x:v>
      </x:c>
      <x:c r="Q1375" s="20" t="str">
        <x:v>https://perkupcoffee.co/products/kenya-nyeri-kiandu-aa-100-gr</x:v>
      </x:c>
      <x:c r="R1375" s="20" t="str">
        <x:v>Öğütüm seçenekleri aynı gramaj ve fiyatta tekilleştirildi.</x:v>
      </x:c>
    </x:row>
    <x:row r="1376" ht="40" customHeight="1">
      <x:c r="A1376" s="16" t="str">
        <x:v>Perkup Coffee</x:v>
      </x:c>
      <x:c r="B1376" s="16" t="str">
        <x:v>Ankara</x:v>
      </x:c>
      <x:c r="C1376" s="16" t="str">
        <x:v>Kısmi doğrulama</x:v>
      </x:c>
      <x:c r="D1376" s="16" t="str">
        <x:v>Ürün kaydı</x:v>
      </x:c>
      <x:c r="E1376" s="16" t="str">
        <x:v>Kenya Nyeri Kiandu AA</x:v>
      </x:c>
      <x:c r="F1376" s="16" t="str">
        <x:v>Kenya</x:v>
      </x:c>
      <x:c r="G1376" s="17" t="n">
        <x:v>250</x:v>
      </x:c>
      <x:c r="H1376" s="16" t="str">
        <x:v>Erişildi</x:v>
      </x:c>
      <x:c r="I1376" s="18" t="n">
        <x:v>550</x:v>
      </x:c>
      <x:c r="J1376" s="18" t="str">
        <x:v>Erişildi</x:v>
      </x:c>
      <x:c r="K1376" s="18" t="n">
        <x:f>IF(AND(ISNUMBER(G1376),ISNUMBER(I1376)),I1376/G1376*1000,"Erişilemedi")</x:f>
        <x:v>2200</x:v>
      </x:c>
      <x:c r="L1376" s="16" t="str">
        <x:v>Stokta</x:v>
      </x:c>
      <x:c r="M1376" s="16" t="str">
        <x:v>Tek köken/ürün</x:v>
      </x:c>
      <x:c r="N1376" s="16" t="str">
        <x:v>Shopify ürün akışı</x:v>
      </x:c>
      <x:c r="O1376" s="16" t="str">
        <x:v>Yüksek</x:v>
      </x:c>
      <x:c r="P1376" s="19" t="n">
        <x:v>46245</x:v>
      </x:c>
      <x:c r="Q1376" s="20" t="str">
        <x:v>https://perkupcoffee.co/products/kenya-nyeri-kiandu-aa-100-gr</x:v>
      </x:c>
      <x:c r="R1376" s="20" t="str">
        <x:v>Öğütüm seçenekleri aynı gramaj ve fiyatta tekilleştirildi.</x:v>
      </x:c>
    </x:row>
    <x:row r="1377" ht="40" customHeight="1">
      <x:c r="A1377" s="16" t="str">
        <x:v>Perkup Coffee</x:v>
      </x:c>
      <x:c r="B1377" s="16" t="str">
        <x:v>Ankara</x:v>
      </x:c>
      <x:c r="C1377" s="16" t="str">
        <x:v>Kısmi doğrulama</x:v>
      </x:c>
      <x:c r="D1377" s="16" t="str">
        <x:v>Ürün kaydı</x:v>
      </x:c>
      <x:c r="E1377" s="16" t="str">
        <x:v>Kolombiya Felice Medellin – 250 gr</x:v>
      </x:c>
      <x:c r="F1377" s="16" t="str">
        <x:v>Kolombiya</x:v>
      </x:c>
      <x:c r="G1377" s="17" t="n">
        <x:v>250</x:v>
      </x:c>
      <x:c r="H1377" s="16" t="str">
        <x:v>Erişildi</x:v>
      </x:c>
      <x:c r="I1377" s="18" t="n">
        <x:v>550</x:v>
      </x:c>
      <x:c r="J1377" s="18" t="str">
        <x:v>Erişildi</x:v>
      </x:c>
      <x:c r="K1377" s="18" t="n">
        <x:f>IF(AND(ISNUMBER(G1377),ISNUMBER(I1377)),I1377/G1377*1000,"Erişilemedi")</x:f>
        <x:v>2200</x:v>
      </x:c>
      <x:c r="L1377" s="16" t="str">
        <x:v>Stokta</x:v>
      </x:c>
      <x:c r="M1377" s="16" t="str">
        <x:v>Tek köken/ürün</x:v>
      </x:c>
      <x:c r="N1377" s="16" t="str">
        <x:v>Shopify ürün akışı</x:v>
      </x:c>
      <x:c r="O1377" s="16" t="str">
        <x:v>Yüksek</x:v>
      </x:c>
      <x:c r="P1377" s="19" t="n">
        <x:v>46245</x:v>
      </x:c>
      <x:c r="Q1377" s="20" t="str">
        <x:v>https://perkupcoffee.co/products/kolombiya-felice-medellin-250-gr</x:v>
      </x:c>
      <x:c r="R1377" s="20" t="str">
        <x:v>Öğütüm seçenekleri aynı gramaj ve fiyatta tekilleştirildi.</x:v>
      </x:c>
    </x:row>
    <x:row r="1378" ht="40" customHeight="1">
      <x:c r="A1378" s="16" t="str">
        <x:v>Perkup Coffee</x:v>
      </x:c>
      <x:c r="B1378" s="16" t="str">
        <x:v>Ankara</x:v>
      </x:c>
      <x:c r="C1378" s="16" t="str">
        <x:v>Kısmi doğrulama</x:v>
      </x:c>
      <x:c r="D1378" s="16" t="str">
        <x:v>Ürün kaydı</x:v>
      </x:c>
      <x:c r="E1378" s="16" t="str">
        <x:v>Kolombiya Huila Çikolata- 100gr</x:v>
      </x:c>
      <x:c r="F1378" s="16" t="str">
        <x:v>Kolombiya</x:v>
      </x:c>
      <x:c r="G1378" s="17" t="n">
        <x:v>100</x:v>
      </x:c>
      <x:c r="H1378" s="16" t="str">
        <x:v>Erişildi</x:v>
      </x:c>
      <x:c r="I1378" s="18" t="str">
        <x:v>Erişilemedi</x:v>
      </x:c>
      <x:c r="J1378" s="18" t="str">
        <x:v>Erişilemedi</x:v>
      </x:c>
      <x:c r="K1378" s="18" t="str">
        <x:f>IF(AND(ISNUMBER(G1378),ISNUMBER(I1378)),I1378/G1378*1000,"Erişilemedi")</x:f>
        <x:v>Erişilemedi</x:v>
      </x:c>
      <x:c r="L1378" s="16" t="str">
        <x:v>Belirsiz</x:v>
      </x:c>
      <x:c r="M1378" s="16" t="str">
        <x:v>Kahve ürünü</x:v>
      </x:c>
      <x:c r="N1378" s="16" t="str">
        <x:v>Shopify ürün akışı</x:v>
      </x:c>
      <x:c r="O1378" s="16" t="str">
        <x:v>Orta</x:v>
      </x:c>
      <x:c r="P1378" s="19" t="n">
        <x:v>46245</x:v>
      </x:c>
      <x:c r="Q1378" s="20" t="str">
        <x:v>https://perkupcoffee.co/products/kolombiya-huila-cikolata-100gr</x:v>
      </x:c>
      <x:c r="R1378" s="20" t="str">
        <x:v>Satış varyantı erişilemedi.</x:v>
      </x:c>
    </x:row>
    <x:row r="1379" ht="40" customHeight="1">
      <x:c r="A1379" s="16" t="str">
        <x:v>Perkup Coffee</x:v>
      </x:c>
      <x:c r="B1379" s="16" t="str">
        <x:v>Ankara</x:v>
      </x:c>
      <x:c r="C1379" s="16" t="str">
        <x:v>Kısmi doğrulama</x:v>
      </x:c>
      <x:c r="D1379" s="16" t="str">
        <x:v>Ürün kaydı</x:v>
      </x:c>
      <x:c r="E1379" s="16" t="str">
        <x:v>Kolombiya Huila Finca El Puente</x:v>
      </x:c>
      <x:c r="F1379" s="16" t="str">
        <x:v>Kolombiya</x:v>
      </x:c>
      <x:c r="G1379" s="17" t="str">
        <x:v>Erişilemedi</x:v>
      </x:c>
      <x:c r="H1379" s="16" t="str">
        <x:v>Erişilemedi</x:v>
      </x:c>
      <x:c r="I1379" s="18" t="str">
        <x:v>Erişilemedi</x:v>
      </x:c>
      <x:c r="J1379" s="18" t="str">
        <x:v>Erişilemedi</x:v>
      </x:c>
      <x:c r="K1379" s="18" t="str">
        <x:f>IF(AND(ISNUMBER(G1379),ISNUMBER(I1379)),I1379/G1379*1000,"Erişilemedi")</x:f>
        <x:v>Erişilemedi</x:v>
      </x:c>
      <x:c r="L1379" s="16" t="str">
        <x:v>Belirsiz</x:v>
      </x:c>
      <x:c r="M1379" s="16" t="str">
        <x:v>Kahve ürünü</x:v>
      </x:c>
      <x:c r="N1379" s="16" t="str">
        <x:v>Shopify ürün akışı</x:v>
      </x:c>
      <x:c r="O1379" s="16" t="str">
        <x:v>Orta</x:v>
      </x:c>
      <x:c r="P1379" s="19" t="n">
        <x:v>46245</x:v>
      </x:c>
      <x:c r="Q1379" s="20" t="str">
        <x:v>https://perkupcoffee.co/products/kolombiya-huila-finca-el-puente</x:v>
      </x:c>
      <x:c r="R1379" s="20" t="str">
        <x:v>Satış varyantı erişilemedi.</x:v>
      </x:c>
    </x:row>
    <x:row r="1380" ht="40" customHeight="1">
      <x:c r="A1380" s="16" t="str">
        <x:v>Perkup Coffee</x:v>
      </x:c>
      <x:c r="B1380" s="16" t="str">
        <x:v>Ankara</x:v>
      </x:c>
      <x:c r="C1380" s="16" t="str">
        <x:v>Kısmi doğrulama</x:v>
      </x:c>
      <x:c r="D1380" s="16" t="str">
        <x:v>Ürün kaydı</x:v>
      </x:c>
      <x:c r="E1380" s="16" t="str">
        <x:v>Madagaskar Sambirano No.1 Çikolata - 100gr</x:v>
      </x:c>
      <x:c r="F1380" s="16" t="str">
        <x:v>Menşe belirtilmemiş</x:v>
      </x:c>
      <x:c r="G1380" s="17" t="n">
        <x:v>100</x:v>
      </x:c>
      <x:c r="H1380" s="16" t="str">
        <x:v>Erişildi</x:v>
      </x:c>
      <x:c r="I1380" s="18" t="str">
        <x:v>Erişilemedi</x:v>
      </x:c>
      <x:c r="J1380" s="18" t="str">
        <x:v>Erişilemedi</x:v>
      </x:c>
      <x:c r="K1380" s="18" t="str">
        <x:f>IF(AND(ISNUMBER(G1380),ISNUMBER(I1380)),I1380/G1380*1000,"Erişilemedi")</x:f>
        <x:v>Erişilemedi</x:v>
      </x:c>
      <x:c r="L1380" s="16" t="str">
        <x:v>Belirsiz</x:v>
      </x:c>
      <x:c r="M1380" s="16" t="str">
        <x:v>Kahve ürünü</x:v>
      </x:c>
      <x:c r="N1380" s="16" t="str">
        <x:v>Shopify ürün akışı</x:v>
      </x:c>
      <x:c r="O1380" s="16" t="str">
        <x:v>Orta</x:v>
      </x:c>
      <x:c r="P1380" s="19" t="n">
        <x:v>46245</x:v>
      </x:c>
      <x:c r="Q1380" s="20" t="str">
        <x:v>https://perkupcoffee.co/products/madagaskar-sambirano-no-1-cikolata-100gr</x:v>
      </x:c>
      <x:c r="R1380" s="20" t="str">
        <x:v>Satış varyantı erişilemedi.</x:v>
      </x:c>
    </x:row>
    <x:row r="1381" ht="40" customHeight="1">
      <x:c r="A1381" s="16" t="str">
        <x:v>Perkup Coffee</x:v>
      </x:c>
      <x:c r="B1381" s="16" t="str">
        <x:v>Ankara</x:v>
      </x:c>
      <x:c r="C1381" s="16" t="str">
        <x:v>Kısmi doğrulama</x:v>
      </x:c>
      <x:c r="D1381" s="16" t="str">
        <x:v>Ürün kaydı</x:v>
      </x:c>
      <x:c r="E1381" s="16" t="str">
        <x:v>Nikaragua Finca Los Congos – 250gr</x:v>
      </x:c>
      <x:c r="F1381" s="16" t="str">
        <x:v>Nikaragua</x:v>
      </x:c>
      <x:c r="G1381" s="17" t="n">
        <x:v>250</x:v>
      </x:c>
      <x:c r="H1381" s="16" t="str">
        <x:v>Erişildi</x:v>
      </x:c>
      <x:c r="I1381" s="18" t="n">
        <x:v>560</x:v>
      </x:c>
      <x:c r="J1381" s="18" t="str">
        <x:v>Erişildi</x:v>
      </x:c>
      <x:c r="K1381" s="18" t="n">
        <x:f>IF(AND(ISNUMBER(G1381),ISNUMBER(I1381)),I1381/G1381*1000,"Erişilemedi")</x:f>
        <x:v>2240</x:v>
      </x:c>
      <x:c r="L1381" s="16" t="str">
        <x:v>Stokta</x:v>
      </x:c>
      <x:c r="M1381" s="16" t="str">
        <x:v>Kahve ürünü</x:v>
      </x:c>
      <x:c r="N1381" s="16" t="str">
        <x:v>Shopify ürün akışı</x:v>
      </x:c>
      <x:c r="O1381" s="16" t="str">
        <x:v>Yüksek</x:v>
      </x:c>
      <x:c r="P1381" s="19" t="n">
        <x:v>46245</x:v>
      </x:c>
      <x:c r="Q1381" s="20" t="str">
        <x:v>https://perkupcoffee.co/products/nikaragua-finca-los-congos-250gr</x:v>
      </x:c>
      <x:c r="R1381" s="20" t="str">
        <x:v>Öğütüm seçenekleri tekilleştirildi.</x:v>
      </x:c>
    </x:row>
    <x:row r="1382" ht="40" customHeight="1">
      <x:c r="A1382" s="16" t="str">
        <x:v>Perkup Coffee</x:v>
      </x:c>
      <x:c r="B1382" s="16" t="str">
        <x:v>Ankara</x:v>
      </x:c>
      <x:c r="C1382" s="16" t="str">
        <x:v>Kısmi doğrulama</x:v>
      </x:c>
      <x:c r="D1382" s="16" t="str">
        <x:v>Ürün kaydı</x:v>
      </x:c>
      <x:c r="E1382" s="16" t="str">
        <x:v>Papua Yeni Gine Markham Çikolata - 100gr</x:v>
      </x:c>
      <x:c r="F1382" s="16" t="str">
        <x:v>Menşe belirtilmemiş</x:v>
      </x:c>
      <x:c r="G1382" s="17" t="n">
        <x:v>100</x:v>
      </x:c>
      <x:c r="H1382" s="16" t="str">
        <x:v>Erişildi</x:v>
      </x:c>
      <x:c r="I1382" s="18" t="str">
        <x:v>Erişilemedi</x:v>
      </x:c>
      <x:c r="J1382" s="18" t="str">
        <x:v>Erişilemedi</x:v>
      </x:c>
      <x:c r="K1382" s="18" t="str">
        <x:f>IF(AND(ISNUMBER(G1382),ISNUMBER(I1382)),I1382/G1382*1000,"Erişilemedi")</x:f>
        <x:v>Erişilemedi</x:v>
      </x:c>
      <x:c r="L1382" s="16" t="str">
        <x:v>Belirsiz</x:v>
      </x:c>
      <x:c r="M1382" s="16" t="str">
        <x:v>Kahve ürünü</x:v>
      </x:c>
      <x:c r="N1382" s="16" t="str">
        <x:v>Shopify ürün akışı</x:v>
      </x:c>
      <x:c r="O1382" s="16" t="str">
        <x:v>Orta</x:v>
      </x:c>
      <x:c r="P1382" s="19" t="n">
        <x:v>46245</x:v>
      </x:c>
      <x:c r="Q1382" s="20" t="str">
        <x:v>https://perkupcoffee.co/products/papua-yeni-gine-markham-cikolata-100gr</x:v>
      </x:c>
      <x:c r="R1382" s="20" t="str">
        <x:v>Satış varyantı erişilemedi.</x:v>
      </x:c>
    </x:row>
    <x:row r="1383" ht="40" customHeight="1">
      <x:c r="A1383" s="16" t="str">
        <x:v>Perkup Coffee</x:v>
      </x:c>
      <x:c r="B1383" s="16" t="str">
        <x:v>Ankara</x:v>
      </x:c>
      <x:c r="C1383" s="16" t="str">
        <x:v>Kısmi doğrulama</x:v>
      </x:c>
      <x:c r="D1383" s="16" t="str">
        <x:v>Ürün kaydı</x:v>
      </x:c>
      <x:c r="E1383" s="16" t="str">
        <x:v>Peru San Martin Çikolata - 100gr</x:v>
      </x:c>
      <x:c r="F1383" s="16" t="str">
        <x:v>Peru</x:v>
      </x:c>
      <x:c r="G1383" s="17" t="n">
        <x:v>100</x:v>
      </x:c>
      <x:c r="H1383" s="16" t="str">
        <x:v>Erişildi</x:v>
      </x:c>
      <x:c r="I1383" s="18" t="str">
        <x:v>Erişilemedi</x:v>
      </x:c>
      <x:c r="J1383" s="18" t="str">
        <x:v>Erişilemedi</x:v>
      </x:c>
      <x:c r="K1383" s="18" t="str">
        <x:f>IF(AND(ISNUMBER(G1383),ISNUMBER(I1383)),I1383/G1383*1000,"Erişilemedi")</x:f>
        <x:v>Erişilemedi</x:v>
      </x:c>
      <x:c r="L1383" s="16" t="str">
        <x:v>Belirsiz</x:v>
      </x:c>
      <x:c r="M1383" s="16" t="str">
        <x:v>Kahve ürünü</x:v>
      </x:c>
      <x:c r="N1383" s="16" t="str">
        <x:v>Shopify ürün akışı</x:v>
      </x:c>
      <x:c r="O1383" s="16" t="str">
        <x:v>Orta</x:v>
      </x:c>
      <x:c r="P1383" s="19" t="n">
        <x:v>46245</x:v>
      </x:c>
      <x:c r="Q1383" s="20" t="str">
        <x:v>https://perkupcoffee.co/products/peru-san-martin-cikolata-100gr</x:v>
      </x:c>
      <x:c r="R1383" s="20" t="str">
        <x:v>Satış varyantı erişilemedi.</x:v>
      </x:c>
    </x:row>
    <x:row r="1384" ht="40" customHeight="1">
      <x:c r="A1384" s="16" t="str">
        <x:v>Perkup Coffee</x:v>
      </x:c>
      <x:c r="B1384" s="16" t="str">
        <x:v>Ankara</x:v>
      </x:c>
      <x:c r="C1384" s="16" t="str">
        <x:v>Kısmi doğrulama</x:v>
      </x:c>
      <x:c r="D1384" s="16" t="str">
        <x:v>Ürün kaydı</x:v>
      </x:c>
      <x:c r="E1384" s="16" t="str">
        <x:v>Shot Up - Espresso Blend – 250 gr</x:v>
      </x:c>
      <x:c r="F1384" s="16" t="str">
        <x:v>Kolombiya | Brezilya</x:v>
      </x:c>
      <x:c r="G1384" s="17" t="n">
        <x:v>250</x:v>
      </x:c>
      <x:c r="H1384" s="16" t="str">
        <x:v>Erişildi</x:v>
      </x:c>
      <x:c r="I1384" s="18" t="n">
        <x:v>540</x:v>
      </x:c>
      <x:c r="J1384" s="18" t="str">
        <x:v>Erişildi</x:v>
      </x:c>
      <x:c r="K1384" s="18" t="n">
        <x:f>IF(AND(ISNUMBER(G1384),ISNUMBER(I1384)),I1384/G1384*1000,"Erişilemedi")</x:f>
        <x:v>2160</x:v>
      </x:c>
      <x:c r="L1384" s="16" t="str">
        <x:v>Stokta</x:v>
      </x:c>
      <x:c r="M1384" s="16" t="str">
        <x:v>Harman</x:v>
      </x:c>
      <x:c r="N1384" s="16" t="str">
        <x:v>Shopify ürün akışı</x:v>
      </x:c>
      <x:c r="O1384" s="16" t="str">
        <x:v>Yüksek</x:v>
      </x:c>
      <x:c r="P1384" s="19" t="n">
        <x:v>46245</x:v>
      </x:c>
      <x:c r="Q1384" s="20" t="str">
        <x:v>https://perkupcoffee.co/products/shot-up-espresso-blend-250-gr</x:v>
      </x:c>
      <x:c r="R1384" s="20" t="str">
        <x:v>Öğütüm seçenekleri aynı gramaj ve fiyatta tekilleştirildi.</x:v>
      </x:c>
    </x:row>
    <x:row r="1385" ht="40" customHeight="1">
      <x:c r="A1385" s="16" t="str">
        <x:v>Perkup Coffee</x:v>
      </x:c>
      <x:c r="B1385" s="16" t="str">
        <x:v>Ankara</x:v>
      </x:c>
      <x:c r="C1385" s="16" t="str">
        <x:v>Kısmi doğrulama</x:v>
      </x:c>
      <x:c r="D1385" s="16" t="str">
        <x:v>Ürün kaydı</x:v>
      </x:c>
      <x:c r="E1385" s="16" t="str">
        <x:v>Tanzanya Karatu Estate – 250gr</x:v>
      </x:c>
      <x:c r="F1385" s="16" t="str">
        <x:v>Tanzanya</x:v>
      </x:c>
      <x:c r="G1385" s="17" t="n">
        <x:v>250</x:v>
      </x:c>
      <x:c r="H1385" s="16" t="str">
        <x:v>Erişildi</x:v>
      </x:c>
      <x:c r="I1385" s="18" t="n">
        <x:v>510</x:v>
      </x:c>
      <x:c r="J1385" s="18" t="str">
        <x:v>Erişildi</x:v>
      </x:c>
      <x:c r="K1385" s="18" t="n">
        <x:f>IF(AND(ISNUMBER(G1385),ISNUMBER(I1385)),I1385/G1385*1000,"Erişilemedi")</x:f>
        <x:v>2040</x:v>
      </x:c>
      <x:c r="L1385" s="16" t="str">
        <x:v>Stokta</x:v>
      </x:c>
      <x:c r="M1385" s="16" t="str">
        <x:v>Tek köken/ürün</x:v>
      </x:c>
      <x:c r="N1385" s="16" t="str">
        <x:v>Shopify ürün akışı</x:v>
      </x:c>
      <x:c r="O1385" s="16" t="str">
        <x:v>Yüksek</x:v>
      </x:c>
      <x:c r="P1385" s="19" t="n">
        <x:v>46245</x:v>
      </x:c>
      <x:c r="Q1385" s="20" t="str">
        <x:v>https://perkupcoffee.co/products/tanzanya-karatu-estate-250gr</x:v>
      </x:c>
      <x:c r="R1385" s="20" t="str">
        <x:v>Öğütüm seçenekleri aynı gramaj ve fiyatta tekilleştirildi.</x:v>
      </x:c>
    </x:row>
    <x:row r="1386" ht="40" customHeight="1">
      <x:c r="A1386" s="16" t="str">
        <x:v>Perkup Coffee</x:v>
      </x:c>
      <x:c r="B1386" s="16" t="str">
        <x:v>Ankara</x:v>
      </x:c>
      <x:c r="C1386" s="16" t="str">
        <x:v>Kısmi doğrulama</x:v>
      </x:c>
      <x:c r="D1386" s="16" t="str">
        <x:v>Ürün kaydı</x:v>
      </x:c>
      <x:c r="E1386" s="16" t="str">
        <x:v>Türk Kahvesi Harmanı – 250 gr.</x:v>
      </x:c>
      <x:c r="F1386" s="16" t="str">
        <x:v>Etiyopya | Brezilya</x:v>
      </x:c>
      <x:c r="G1386" s="17" t="n">
        <x:v>250</x:v>
      </x:c>
      <x:c r="H1386" s="16" t="str">
        <x:v>Erişildi</x:v>
      </x:c>
      <x:c r="I1386" s="18" t="n">
        <x:v>390</x:v>
      </x:c>
      <x:c r="J1386" s="18" t="str">
        <x:v>Erişildi</x:v>
      </x:c>
      <x:c r="K1386" s="18" t="n">
        <x:f>IF(AND(ISNUMBER(G1386),ISNUMBER(I1386)),I1386/G1386*1000,"Erişilemedi")</x:f>
        <x:v>1560</x:v>
      </x:c>
      <x:c r="L1386" s="16" t="str">
        <x:v>Stokta</x:v>
      </x:c>
      <x:c r="M1386" s="16" t="str">
        <x:v>Harman</x:v>
      </x:c>
      <x:c r="N1386" s="16" t="str">
        <x:v>Shopify ürün akışı</x:v>
      </x:c>
      <x:c r="O1386" s="16" t="str">
        <x:v>Yüksek</x:v>
      </x:c>
      <x:c r="P1386" s="19" t="n">
        <x:v>46245</x:v>
      </x:c>
      <x:c r="Q1386" s="20" t="str">
        <x:v>https://perkupcoffee.co/products/turk-kahvesi-harmani-250-gr</x:v>
      </x:c>
      <x:c r="R1386" s="20" t="str">
        <x:v>Öğütüm seçenekleri aynı gramaj ve fiyatta tekilleştirildi.</x:v>
      </x:c>
    </x:row>
    <x:row r="1387" ht="40" customHeight="1">
      <x:c r="A1387" s="16" t="str">
        <x:v>Perkup Coffee</x:v>
      </x:c>
      <x:c r="B1387" s="16" t="str">
        <x:v>Ankara</x:v>
      </x:c>
      <x:c r="C1387" s="16" t="str">
        <x:v>Kısmi doğrulama</x:v>
      </x:c>
      <x:c r="D1387" s="16" t="str">
        <x:v>Ürün kaydı</x:v>
      </x:c>
      <x:c r="E1387" s="16" t="str">
        <x:v>Wake Up - Filter Blend – 250 gr</x:v>
      </x:c>
      <x:c r="F1387" s="16" t="str">
        <x:v>Kenya | Guatemala | Tanzanya</x:v>
      </x:c>
      <x:c r="G1387" s="17" t="n">
        <x:v>250</x:v>
      </x:c>
      <x:c r="H1387" s="16" t="str">
        <x:v>Erişildi</x:v>
      </x:c>
      <x:c r="I1387" s="18" t="n">
        <x:v>560</x:v>
      </x:c>
      <x:c r="J1387" s="18" t="str">
        <x:v>Erişildi</x:v>
      </x:c>
      <x:c r="K1387" s="18" t="n">
        <x:f>IF(AND(ISNUMBER(G1387),ISNUMBER(I1387)),I1387/G1387*1000,"Erişilemedi")</x:f>
        <x:v>2240</x:v>
      </x:c>
      <x:c r="L1387" s="16" t="str">
        <x:v>Stokta</x:v>
      </x:c>
      <x:c r="M1387" s="16" t="str">
        <x:v>Harman</x:v>
      </x:c>
      <x:c r="N1387" s="16" t="str">
        <x:v>Shopify ürün akışı</x:v>
      </x:c>
      <x:c r="O1387" s="16" t="str">
        <x:v>Yüksek</x:v>
      </x:c>
      <x:c r="P1387" s="19" t="n">
        <x:v>46245</x:v>
      </x:c>
      <x:c r="Q1387" s="20" t="str">
        <x:v>https://perkupcoffee.co/products/wake-up-filter-blend-250-gr</x:v>
      </x:c>
      <x:c r="R1387" s="20" t="str">
        <x:v>Öğütüm seçenekleri aynı gramaj ve fiyatta tekilleştirildi.</x:v>
      </x:c>
    </x:row>
    <x:row r="1388" ht="40" customHeight="1">
      <x:c r="A1388" s="16" t="str">
        <x:v>Petra Coffee</x:v>
      </x:c>
      <x:c r="B1388" s="16" t="str">
        <x:v>İstanbul</x:v>
      </x:c>
      <x:c r="C1388" s="16" t="str">
        <x:v>Doğrulandı</x:v>
      </x:c>
      <x:c r="D1388" s="16" t="str">
        <x:v>Ürün kaydı</x:v>
      </x:c>
      <x:c r="E1388" s="16" t="str">
        <x:v>3'lü Etiyopya Tadım Paketi</x:v>
      </x:c>
      <x:c r="F1388" s="16" t="str">
        <x:v>Etiyopya</x:v>
      </x:c>
      <x:c r="G1388" s="17" t="str">
        <x:v>Erişilemedi</x:v>
      </x:c>
      <x:c r="H1388" s="16" t="str">
        <x:v>Erişilemedi</x:v>
      </x:c>
      <x:c r="I1388" s="18" t="n">
        <x:v>780</x:v>
      </x:c>
      <x:c r="J1388" s="18" t="str">
        <x:v>Erişildi</x:v>
      </x:c>
      <x:c r="K1388" s="18" t="str">
        <x:f>IF(AND(ISNUMBER(G1388),ISNUMBER(I1388)),I1388/G1388*1000,"Erişilemedi")</x:f>
        <x:v>Erişilemedi</x:v>
      </x:c>
      <x:c r="L1388" s="16" t="str">
        <x:v>Stokta</x:v>
      </x:c>
      <x:c r="M1388" s="16" t="str">
        <x:v>Kahve ürünü</x:v>
      </x:c>
      <x:c r="N1388" s="16" t="str">
        <x:v>Shopify ürün akışı</x:v>
      </x:c>
      <x:c r="O1388" s="16" t="str">
        <x:v>Orta</x:v>
      </x:c>
      <x:c r="P1388" s="19" t="n">
        <x:v>46245</x:v>
      </x:c>
      <x:c r="Q1388" s="20" t="str">
        <x:v>https://www.petracoffee.com/products/3lu-etiyopya-tadim-paketi</x:v>
      </x:c>
      <x:c r="R1388" s="20" t="str">
        <x:v>Öğütüm seçenekleri tekilleştirildi.</x:v>
      </x:c>
    </x:row>
    <x:row r="1389" ht="40" customHeight="1">
      <x:c r="A1389" s="16" t="str">
        <x:v>Petra Coffee</x:v>
      </x:c>
      <x:c r="B1389" s="16" t="str">
        <x:v>İstanbul</x:v>
      </x:c>
      <x:c r="C1389" s="16" t="str">
        <x:v>Doğrulandı</x:v>
      </x:c>
      <x:c r="D1389" s="16" t="str">
        <x:v>Ürün kaydı</x:v>
      </x:c>
      <x:c r="E1389" s="16" t="str">
        <x:v>ACME</x:v>
      </x:c>
      <x:c r="F1389" s="16" t="str">
        <x:v>Menşe belirtilmemiş</x:v>
      </x:c>
      <x:c r="G1389" s="17" t="n">
        <x:v>250</x:v>
      </x:c>
      <x:c r="H1389" s="16" t="str">
        <x:v>Erişildi</x:v>
      </x:c>
      <x:c r="I1389" s="18" t="n">
        <x:v>675</x:v>
      </x:c>
      <x:c r="J1389" s="18" t="str">
        <x:v>Erişildi</x:v>
      </x:c>
      <x:c r="K1389" s="18" t="n">
        <x:f>IF(AND(ISNUMBER(G1389),ISNUMBER(I1389)),I1389/G1389*1000,"Erişilemedi")</x:f>
        <x:v>2700</x:v>
      </x:c>
      <x:c r="L1389" s="16" t="str">
        <x:v>Stokta</x:v>
      </x:c>
      <x:c r="M1389" s="16" t="str">
        <x:v>Harman</x:v>
      </x:c>
      <x:c r="N1389" s="16" t="str">
        <x:v>Shopify ürün akışı</x:v>
      </x:c>
      <x:c r="O1389" s="16" t="str">
        <x:v>Yüksek</x:v>
      </x:c>
      <x:c r="P1389" s="19" t="n">
        <x:v>46245</x:v>
      </x:c>
      <x:c r="Q1389" s="20" t="str">
        <x:v>https://www.petracoffee.com/products/acme</x:v>
      </x:c>
      <x:c r="R1389" s="20" t="str">
        <x:v>Öğütüm seçenekleri aynı gramaj ve fiyatta tekilleştirildi.</x:v>
      </x:c>
    </x:row>
    <x:row r="1390" ht="40" customHeight="1">
      <x:c r="A1390" s="16" t="str">
        <x:v>Petra Coffee</x:v>
      </x:c>
      <x:c r="B1390" s="16" t="str">
        <x:v>İstanbul</x:v>
      </x:c>
      <x:c r="C1390" s="16" t="str">
        <x:v>Doğrulandı</x:v>
      </x:c>
      <x:c r="D1390" s="16" t="str">
        <x:v>Ürün kaydı</x:v>
      </x:c>
      <x:c r="E1390" s="16" t="str">
        <x:v>ACME</x:v>
      </x:c>
      <x:c r="F1390" s="16" t="str">
        <x:v>Menşe belirtilmemiş</x:v>
      </x:c>
      <x:c r="G1390" s="17" t="n">
        <x:v>500</x:v>
      </x:c>
      <x:c r="H1390" s="16" t="str">
        <x:v>Erişildi</x:v>
      </x:c>
      <x:c r="I1390" s="18" t="n">
        <x:v>1350</x:v>
      </x:c>
      <x:c r="J1390" s="18" t="str">
        <x:v>Erişildi</x:v>
      </x:c>
      <x:c r="K1390" s="18" t="n">
        <x:f>IF(AND(ISNUMBER(G1390),ISNUMBER(I1390)),I1390/G1390*1000,"Erişilemedi")</x:f>
        <x:v>2700</x:v>
      </x:c>
      <x:c r="L1390" s="16" t="str">
        <x:v>Stokta</x:v>
      </x:c>
      <x:c r="M1390" s="16" t="str">
        <x:v>Harman</x:v>
      </x:c>
      <x:c r="N1390" s="16" t="str">
        <x:v>Shopify ürün akışı</x:v>
      </x:c>
      <x:c r="O1390" s="16" t="str">
        <x:v>Yüksek</x:v>
      </x:c>
      <x:c r="P1390" s="19" t="n">
        <x:v>46245</x:v>
      </x:c>
      <x:c r="Q1390" s="20" t="str">
        <x:v>https://www.petracoffee.com/products/acme</x:v>
      </x:c>
      <x:c r="R1390" s="20" t="str">
        <x:v>Öğütüm seçenekleri aynı gramaj ve fiyatta tekilleştirildi.</x:v>
      </x:c>
    </x:row>
    <x:row r="1391" ht="40" customHeight="1">
      <x:c r="A1391" s="16" t="str">
        <x:v>Petra Coffee</x:v>
      </x:c>
      <x:c r="B1391" s="16" t="str">
        <x:v>İstanbul</x:v>
      </x:c>
      <x:c r="C1391" s="16" t="str">
        <x:v>Doğrulandı</x:v>
      </x:c>
      <x:c r="D1391" s="16" t="str">
        <x:v>Ürün kaydı</x:v>
      </x:c>
      <x:c r="E1391" s="16" t="str">
        <x:v>ACME 2.5KG</x:v>
      </x:c>
      <x:c r="F1391" s="16" t="str">
        <x:v>Menşe belirtilmemiş</x:v>
      </x:c>
      <x:c r="G1391" s="17" t="n">
        <x:v>2500</x:v>
      </x:c>
      <x:c r="H1391" s="16" t="str">
        <x:v>Erişildi</x:v>
      </x:c>
      <x:c r="I1391" s="18" t="n">
        <x:v>6075</x:v>
      </x:c>
      <x:c r="J1391" s="18" t="str">
        <x:v>Erişildi</x:v>
      </x:c>
      <x:c r="K1391" s="18" t="n">
        <x:f>IF(AND(ISNUMBER(G1391),ISNUMBER(I1391)),I1391/G1391*1000,"Erişilemedi")</x:f>
        <x:v>2430</x:v>
      </x:c>
      <x:c r="L1391" s="16" t="str">
        <x:v>Stokta</x:v>
      </x:c>
      <x:c r="M1391" s="16" t="str">
        <x:v>Harman</x:v>
      </x:c>
      <x:c r="N1391" s="16" t="str">
        <x:v>Shopify ürün akışı</x:v>
      </x:c>
      <x:c r="O1391" s="16" t="str">
        <x:v>Yüksek</x:v>
      </x:c>
      <x:c r="P1391" s="19" t="n">
        <x:v>46245</x:v>
      </x:c>
      <x:c r="Q1391" s="20" t="str">
        <x:v>https://www.petracoffee.com/products/acme-2-5kg</x:v>
      </x:c>
      <x:c r="R1391" s="20" t="str">
        <x:v>Öğütüm seçenekleri aynı gramaj ve fiyatta tekilleştirildi.</x:v>
      </x:c>
    </x:row>
    <x:row r="1392" ht="40" customHeight="1">
      <x:c r="A1392" s="16" t="str">
        <x:v>Petra Coffee</x:v>
      </x:c>
      <x:c r="B1392" s="16" t="str">
        <x:v>İstanbul</x:v>
      </x:c>
      <x:c r="C1392" s="16" t="str">
        <x:v>Doğrulandı</x:v>
      </x:c>
      <x:c r="D1392" s="16" t="str">
        <x:v>Ürün kaydı</x:v>
      </x:c>
      <x:c r="E1392" s="16" t="str">
        <x:v>ACME Kapsül</x:v>
      </x:c>
      <x:c r="F1392" s="16" t="str">
        <x:v>Harman – menşe belirtilmemiş</x:v>
      </x:c>
      <x:c r="G1392" s="17" t="str">
        <x:v>Erişilemedi</x:v>
      </x:c>
      <x:c r="H1392" s="16" t="str">
        <x:v>Erişilemedi</x:v>
      </x:c>
      <x:c r="I1392" s="18" t="n">
        <x:v>339</x:v>
      </x:c>
      <x:c r="J1392" s="18" t="str">
        <x:v>Erişildi</x:v>
      </x:c>
      <x:c r="K1392" s="18" t="str">
        <x:f>IF(AND(ISNUMBER(G1392),ISNUMBER(I1392)),I1392/G1392*1000,"Erişilemedi")</x:f>
        <x:v>Erişilemedi</x:v>
      </x:c>
      <x:c r="L1392" s="16" t="str">
        <x:v>Stokta</x:v>
      </x:c>
      <x:c r="M1392" s="16" t="str">
        <x:v>Harman</x:v>
      </x:c>
      <x:c r="N1392" s="16" t="str">
        <x:v>Shopify ürün akışı</x:v>
      </x:c>
      <x:c r="O1392" s="16" t="str">
        <x:v>Orta</x:v>
      </x:c>
      <x:c r="P1392" s="19" t="n">
        <x:v>46245</x:v>
      </x:c>
      <x:c r="Q1392" s="20" t="str">
        <x:v>https://www.petracoffee.com/products/acme-kapsul-10lu</x:v>
      </x:c>
      <x:c r="R1392" s="20" t="str">
        <x:v>Öğütüm seçenekleri tekilleştirildi.</x:v>
      </x:c>
    </x:row>
    <x:row r="1393" ht="40" customHeight="1">
      <x:c r="A1393" s="16" t="str">
        <x:v>Petra Coffee</x:v>
      </x:c>
      <x:c r="B1393" s="16" t="str">
        <x:v>İstanbul</x:v>
      </x:c>
      <x:c r="C1393" s="16" t="str">
        <x:v>Doğrulandı</x:v>
      </x:c>
      <x:c r="D1393" s="16" t="str">
        <x:v>Ürün kaydı</x:v>
      </x:c>
      <x:c r="E1393" s="16" t="str">
        <x:v>ACME Kapsül</x:v>
      </x:c>
      <x:c r="F1393" s="16" t="str">
        <x:v>Harman – menşe belirtilmemiş</x:v>
      </x:c>
      <x:c r="G1393" s="17" t="str">
        <x:v>Erişilemedi</x:v>
      </x:c>
      <x:c r="H1393" s="16" t="str">
        <x:v>Erişilemedi</x:v>
      </x:c>
      <x:c r="I1393" s="18" t="n">
        <x:v>915</x:v>
      </x:c>
      <x:c r="J1393" s="18" t="str">
        <x:v>Erişildi</x:v>
      </x:c>
      <x:c r="K1393" s="18" t="str">
        <x:f>IF(AND(ISNUMBER(G1393),ISNUMBER(I1393)),I1393/G1393*1000,"Erişilemedi")</x:f>
        <x:v>Erişilemedi</x:v>
      </x:c>
      <x:c r="L1393" s="16" t="str">
        <x:v>Stokta</x:v>
      </x:c>
      <x:c r="M1393" s="16" t="str">
        <x:v>Harman</x:v>
      </x:c>
      <x:c r="N1393" s="16" t="str">
        <x:v>Shopify ürün akışı</x:v>
      </x:c>
      <x:c r="O1393" s="16" t="str">
        <x:v>Orta</x:v>
      </x:c>
      <x:c r="P1393" s="19" t="n">
        <x:v>46245</x:v>
      </x:c>
      <x:c r="Q1393" s="20" t="str">
        <x:v>https://www.petracoffee.com/products/acme-kapsul-10lu</x:v>
      </x:c>
      <x:c r="R1393" s="20" t="str">
        <x:v>Öğütüm seçenekleri tekilleştirildi.</x:v>
      </x:c>
    </x:row>
    <x:row r="1394" ht="40" customHeight="1">
      <x:c r="A1394" s="16" t="str">
        <x:v>Petra Coffee</x:v>
      </x:c>
      <x:c r="B1394" s="16" t="str">
        <x:v>İstanbul</x:v>
      </x:c>
      <x:c r="C1394" s="16" t="str">
        <x:v>Doğrulandı</x:v>
      </x:c>
      <x:c r="D1394" s="16" t="str">
        <x:v>Ürün kaydı</x:v>
      </x:c>
      <x:c r="E1394" s="16" t="str">
        <x:v>Aşırı Kolay Cold Brew</x:v>
      </x:c>
      <x:c r="F1394" s="16" t="str">
        <x:v>Menşe belirtilmemiş</x:v>
      </x:c>
      <x:c r="G1394" s="17" t="str">
        <x:v>Erişilemedi</x:v>
      </x:c>
      <x:c r="H1394" s="16" t="str">
        <x:v>Erişilemedi</x:v>
      </x:c>
      <x:c r="I1394" s="18" t="n">
        <x:v>150</x:v>
      </x:c>
      <x:c r="J1394" s="18" t="str">
        <x:v>Erişildi</x:v>
      </x:c>
      <x:c r="K1394" s="18" t="str">
        <x:f>IF(AND(ISNUMBER(G1394),ISNUMBER(I1394)),I1394/G1394*1000,"Erişilemedi")</x:f>
        <x:v>Erişilemedi</x:v>
      </x:c>
      <x:c r="L1394" s="16" t="str">
        <x:v>Stokta</x:v>
      </x:c>
      <x:c r="M1394" s="16" t="str">
        <x:v>Kahve ürünü</x:v>
      </x:c>
      <x:c r="N1394" s="16" t="str">
        <x:v>Shopify ürün akışı</x:v>
      </x:c>
      <x:c r="O1394" s="16" t="str">
        <x:v>Orta</x:v>
      </x:c>
      <x:c r="P1394" s="19" t="n">
        <x:v>46245</x:v>
      </x:c>
      <x:c r="Q1394" s="20" t="str">
        <x:v>https://www.petracoffee.com/products/ready-to-brew-cold-brew-coffee</x:v>
      </x:c>
      <x:c r="R1394" s="20" t="str">
        <x:v>Öğütüm seçenekleri tekilleştirildi.</x:v>
      </x:c>
    </x:row>
    <x:row r="1395" ht="40" customHeight="1">
      <x:c r="A1395" s="16" t="str">
        <x:v>Petra Coffee</x:v>
      </x:c>
      <x:c r="B1395" s="16" t="str">
        <x:v>İstanbul</x:v>
      </x:c>
      <x:c r="C1395" s="16" t="str">
        <x:v>Doğrulandı</x:v>
      </x:c>
      <x:c r="D1395" s="16" t="str">
        <x:v>Ürün kaydı</x:v>
      </x:c>
      <x:c r="E1395" s="16" t="str">
        <x:v>Cam Şişede 4’lü Cold Brew</x:v>
      </x:c>
      <x:c r="F1395" s="16" t="str">
        <x:v>Menşe belirtilmemiş</x:v>
      </x:c>
      <x:c r="G1395" s="17" t="str">
        <x:v>Erişilemedi</x:v>
      </x:c>
      <x:c r="H1395" s="16" t="str">
        <x:v>Erişilemedi</x:v>
      </x:c>
      <x:c r="I1395" s="18" t="n">
        <x:v>1500</x:v>
      </x:c>
      <x:c r="J1395" s="18" t="str">
        <x:v>Erişildi</x:v>
      </x:c>
      <x:c r="K1395" s="18" t="str">
        <x:f>IF(AND(ISNUMBER(G1395),ISNUMBER(I1395)),I1395/G1395*1000,"Erişilemedi")</x:f>
        <x:v>Erişilemedi</x:v>
      </x:c>
      <x:c r="L1395" s="16" t="str">
        <x:v>Stokta</x:v>
      </x:c>
      <x:c r="M1395" s="16" t="str">
        <x:v>Kahve ürünü</x:v>
      </x:c>
      <x:c r="N1395" s="16" t="str">
        <x:v>Shopify ürün akışı</x:v>
      </x:c>
      <x:c r="O1395" s="16" t="str">
        <x:v>Orta</x:v>
      </x:c>
      <x:c r="P1395" s="19" t="n">
        <x:v>46245</x:v>
      </x:c>
      <x:c r="Q1395" s="20" t="str">
        <x:v>https://www.petracoffee.com/products/cam-sisede-cold-brew</x:v>
      </x:c>
      <x:c r="R1395" s="20" t="str">
        <x:v>Öğütüm seçenekleri tekilleştirildi.</x:v>
      </x:c>
    </x:row>
    <x:row r="1396" ht="40" customHeight="1">
      <x:c r="A1396" s="16" t="str">
        <x:v>Petra Coffee</x:v>
      </x:c>
      <x:c r="B1396" s="16" t="str">
        <x:v>İstanbul</x:v>
      </x:c>
      <x:c r="C1396" s="16" t="str">
        <x:v>Doğrulandı</x:v>
      </x:c>
      <x:c r="D1396" s="16" t="str">
        <x:v>Ürün kaydı</x:v>
      </x:c>
      <x:c r="E1396" s="16" t="str">
        <x:v>Etiyopya Bildimoo Bensa Bombe #4</x:v>
      </x:c>
      <x:c r="F1396" s="16" t="str">
        <x:v>Etiyopya</x:v>
      </x:c>
      <x:c r="G1396" s="17" t="n">
        <x:v>250</x:v>
      </x:c>
      <x:c r="H1396" s="16" t="str">
        <x:v>Erişildi</x:v>
      </x:c>
      <x:c r="I1396" s="18" t="n">
        <x:v>1150</x:v>
      </x:c>
      <x:c r="J1396" s="18" t="str">
        <x:v>Erişildi</x:v>
      </x:c>
      <x:c r="K1396" s="18" t="n">
        <x:f>IF(AND(ISNUMBER(G1396),ISNUMBER(I1396)),I1396/G1396*1000,"Erişilemedi")</x:f>
        <x:v>4600</x:v>
      </x:c>
      <x:c r="L1396" s="16" t="str">
        <x:v>Stokta</x:v>
      </x:c>
      <x:c r="M1396" s="16" t="str">
        <x:v>Tek köken/ürün</x:v>
      </x:c>
      <x:c r="N1396" s="16" t="str">
        <x:v>Shopify ürün akışı</x:v>
      </x:c>
      <x:c r="O1396" s="16" t="str">
        <x:v>Yüksek</x:v>
      </x:c>
      <x:c r="P1396" s="19" t="n">
        <x:v>46245</x:v>
      </x:c>
      <x:c r="Q1396" s="20" t="str">
        <x:v>https://www.petracoffee.com/products/etiyopya-bildimoo-bensa-bombe-4</x:v>
      </x:c>
      <x:c r="R1396" s="20" t="str">
        <x:v>Öğütüm seçenekleri aynı gramaj ve fiyatta tekilleştirildi.</x:v>
      </x:c>
    </x:row>
    <x:row r="1397" ht="40" customHeight="1">
      <x:c r="A1397" s="16" t="str">
        <x:v>Petra Coffee</x:v>
      </x:c>
      <x:c r="B1397" s="16" t="str">
        <x:v>İstanbul</x:v>
      </x:c>
      <x:c r="C1397" s="16" t="str">
        <x:v>Doğrulandı</x:v>
      </x:c>
      <x:c r="D1397" s="16" t="str">
        <x:v>Ürün kaydı</x:v>
      </x:c>
      <x:c r="E1397" s="16" t="str">
        <x:v>Etiyopya Bildimoo Bensa Bombe #4</x:v>
      </x:c>
      <x:c r="F1397" s="16" t="str">
        <x:v>Etiyopya</x:v>
      </x:c>
      <x:c r="G1397" s="17" t="n">
        <x:v>500</x:v>
      </x:c>
      <x:c r="H1397" s="16" t="str">
        <x:v>Erişildi</x:v>
      </x:c>
      <x:c r="I1397" s="18" t="n">
        <x:v>2300</x:v>
      </x:c>
      <x:c r="J1397" s="18" t="str">
        <x:v>Erişildi</x:v>
      </x:c>
      <x:c r="K1397" s="18" t="n">
        <x:f>IF(AND(ISNUMBER(G1397),ISNUMBER(I1397)),I1397/G1397*1000,"Erişilemedi")</x:f>
        <x:v>4600</x:v>
      </x:c>
      <x:c r="L1397" s="16" t="str">
        <x:v>Stokta</x:v>
      </x:c>
      <x:c r="M1397" s="16" t="str">
        <x:v>Tek köken/ürün</x:v>
      </x:c>
      <x:c r="N1397" s="16" t="str">
        <x:v>Shopify ürün akışı</x:v>
      </x:c>
      <x:c r="O1397" s="16" t="str">
        <x:v>Yüksek</x:v>
      </x:c>
      <x:c r="P1397" s="19" t="n">
        <x:v>46245</x:v>
      </x:c>
      <x:c r="Q1397" s="20" t="str">
        <x:v>https://www.petracoffee.com/products/etiyopya-bildimoo-bensa-bombe-4</x:v>
      </x:c>
      <x:c r="R1397" s="20" t="str">
        <x:v>Öğütüm seçenekleri aynı gramaj ve fiyatta tekilleştirildi.</x:v>
      </x:c>
    </x:row>
    <x:row r="1398" ht="40" customHeight="1">
      <x:c r="A1398" s="16" t="str">
        <x:v>Petra Coffee</x:v>
      </x:c>
      <x:c r="B1398" s="16" t="str">
        <x:v>İstanbul</x:v>
      </x:c>
      <x:c r="C1398" s="16" t="str">
        <x:v>Doğrulandı</x:v>
      </x:c>
      <x:c r="D1398" s="16" t="str">
        <x:v>Ürün kaydı</x:v>
      </x:c>
      <x:c r="E1398" s="16" t="str">
        <x:v>Etiyopya Bildimoo Bensa Bombe #4</x:v>
      </x:c>
      <x:c r="F1398" s="16" t="str">
        <x:v>Etiyopya</x:v>
      </x:c>
      <x:c r="G1398" s="17" t="n">
        <x:v>2500</x:v>
      </x:c>
      <x:c r="H1398" s="16" t="str">
        <x:v>Erişildi</x:v>
      </x:c>
      <x:c r="I1398" s="18" t="n">
        <x:v>10350</x:v>
      </x:c>
      <x:c r="J1398" s="18" t="str">
        <x:v>Erişildi</x:v>
      </x:c>
      <x:c r="K1398" s="18" t="n">
        <x:f>IF(AND(ISNUMBER(G1398),ISNUMBER(I1398)),I1398/G1398*1000,"Erişilemedi")</x:f>
        <x:v>4140</x:v>
      </x:c>
      <x:c r="L1398" s="16" t="str">
        <x:v>Stokta</x:v>
      </x:c>
      <x:c r="M1398" s="16" t="str">
        <x:v>Tek köken/ürün</x:v>
      </x:c>
      <x:c r="N1398" s="16" t="str">
        <x:v>Shopify ürün akışı</x:v>
      </x:c>
      <x:c r="O1398" s="16" t="str">
        <x:v>Yüksek</x:v>
      </x:c>
      <x:c r="P1398" s="19" t="n">
        <x:v>46245</x:v>
      </x:c>
      <x:c r="Q1398" s="20" t="str">
        <x:v>https://www.petracoffee.com/products/etiyopya-bildimoo-bensa-bombe-4</x:v>
      </x:c>
      <x:c r="R1398" s="20" t="str">
        <x:v>Öğütüm seçenekleri aynı gramaj ve fiyatta tekilleştirildi.</x:v>
      </x:c>
    </x:row>
    <x:row r="1399" ht="40" customHeight="1">
      <x:c r="A1399" s="16" t="str">
        <x:v>Petra Coffee</x:v>
      </x:c>
      <x:c r="B1399" s="16" t="str">
        <x:v>İstanbul</x:v>
      </x:c>
      <x:c r="C1399" s="16" t="str">
        <x:v>Doğrulandı</x:v>
      </x:c>
      <x:c r="D1399" s="16" t="str">
        <x:v>Ürün kaydı</x:v>
      </x:c>
      <x:c r="E1399" s="16" t="str">
        <x:v>Guatemala Abraço</x:v>
      </x:c>
      <x:c r="F1399" s="16" t="str">
        <x:v>Guatemala</x:v>
      </x:c>
      <x:c r="G1399" s="17" t="n">
        <x:v>250</x:v>
      </x:c>
      <x:c r="H1399" s="16" t="str">
        <x:v>Erişildi</x:v>
      </x:c>
      <x:c r="I1399" s="18" t="n">
        <x:v>750</x:v>
      </x:c>
      <x:c r="J1399" s="18" t="str">
        <x:v>Erişildi</x:v>
      </x:c>
      <x:c r="K1399" s="18" t="n">
        <x:f>IF(AND(ISNUMBER(G1399),ISNUMBER(I1399)),I1399/G1399*1000,"Erişilemedi")</x:f>
        <x:v>3000</x:v>
      </x:c>
      <x:c r="L1399" s="16" t="str">
        <x:v>Stokta</x:v>
      </x:c>
      <x:c r="M1399" s="16" t="str">
        <x:v>Tek köken/ürün</x:v>
      </x:c>
      <x:c r="N1399" s="16" t="str">
        <x:v>Shopify ürün akışı</x:v>
      </x:c>
      <x:c r="O1399" s="16" t="str">
        <x:v>Yüksek</x:v>
      </x:c>
      <x:c r="P1399" s="19" t="n">
        <x:v>46245</x:v>
      </x:c>
      <x:c r="Q1399" s="20" t="str">
        <x:v>https://www.petracoffee.com/products/guatemala-asodiet-coop</x:v>
      </x:c>
      <x:c r="R1399" s="20" t="str">
        <x:v>Öğütüm seçenekleri aynı gramaj ve fiyatta tekilleştirildi.</x:v>
      </x:c>
    </x:row>
    <x:row r="1400" ht="40" customHeight="1">
      <x:c r="A1400" s="16" t="str">
        <x:v>Petra Coffee</x:v>
      </x:c>
      <x:c r="B1400" s="16" t="str">
        <x:v>İstanbul</x:v>
      </x:c>
      <x:c r="C1400" s="16" t="str">
        <x:v>Doğrulandı</x:v>
      </x:c>
      <x:c r="D1400" s="16" t="str">
        <x:v>Ürün kaydı</x:v>
      </x:c>
      <x:c r="E1400" s="16" t="str">
        <x:v>Guatemala Abraço</x:v>
      </x:c>
      <x:c r="F1400" s="16" t="str">
        <x:v>Guatemala</x:v>
      </x:c>
      <x:c r="G1400" s="17" t="n">
        <x:v>500</x:v>
      </x:c>
      <x:c r="H1400" s="16" t="str">
        <x:v>Erişildi</x:v>
      </x:c>
      <x:c r="I1400" s="18" t="n">
        <x:v>1500</x:v>
      </x:c>
      <x:c r="J1400" s="18" t="str">
        <x:v>Erişildi</x:v>
      </x:c>
      <x:c r="K1400" s="18" t="n">
        <x:f>IF(AND(ISNUMBER(G1400),ISNUMBER(I1400)),I1400/G1400*1000,"Erişilemedi")</x:f>
        <x:v>3000</x:v>
      </x:c>
      <x:c r="L1400" s="16" t="str">
        <x:v>Stokta</x:v>
      </x:c>
      <x:c r="M1400" s="16" t="str">
        <x:v>Tek köken/ürün</x:v>
      </x:c>
      <x:c r="N1400" s="16" t="str">
        <x:v>Shopify ürün akışı</x:v>
      </x:c>
      <x:c r="O1400" s="16" t="str">
        <x:v>Yüksek</x:v>
      </x:c>
      <x:c r="P1400" s="19" t="n">
        <x:v>46245</x:v>
      </x:c>
      <x:c r="Q1400" s="20" t="str">
        <x:v>https://www.petracoffee.com/products/guatemala-asodiet-coop</x:v>
      </x:c>
      <x:c r="R1400" s="20" t="str">
        <x:v>Öğütüm seçenekleri aynı gramaj ve fiyatta tekilleştirildi.</x:v>
      </x:c>
    </x:row>
    <x:row r="1401" ht="40" customHeight="1">
      <x:c r="A1401" s="16" t="str">
        <x:v>Petra Coffee</x:v>
      </x:c>
      <x:c r="B1401" s="16" t="str">
        <x:v>İstanbul</x:v>
      </x:c>
      <x:c r="C1401" s="16" t="str">
        <x:v>Doğrulandı</x:v>
      </x:c>
      <x:c r="D1401" s="16" t="str">
        <x:v>Ürün kaydı</x:v>
      </x:c>
      <x:c r="E1401" s="16" t="str">
        <x:v>Guatemala Abraço</x:v>
      </x:c>
      <x:c r="F1401" s="16" t="str">
        <x:v>Guatemala</x:v>
      </x:c>
      <x:c r="G1401" s="17" t="n">
        <x:v>2500</x:v>
      </x:c>
      <x:c r="H1401" s="16" t="str">
        <x:v>Erişildi</x:v>
      </x:c>
      <x:c r="I1401" s="18" t="n">
        <x:v>6750</x:v>
      </x:c>
      <x:c r="J1401" s="18" t="str">
        <x:v>Erişildi</x:v>
      </x:c>
      <x:c r="K1401" s="18" t="n">
        <x:f>IF(AND(ISNUMBER(G1401),ISNUMBER(I1401)),I1401/G1401*1000,"Erişilemedi")</x:f>
        <x:v>2700</x:v>
      </x:c>
      <x:c r="L1401" s="16" t="str">
        <x:v>Stokta</x:v>
      </x:c>
      <x:c r="M1401" s="16" t="str">
        <x:v>Tek köken/ürün</x:v>
      </x:c>
      <x:c r="N1401" s="16" t="str">
        <x:v>Shopify ürün akışı</x:v>
      </x:c>
      <x:c r="O1401" s="16" t="str">
        <x:v>Yüksek</x:v>
      </x:c>
      <x:c r="P1401" s="19" t="n">
        <x:v>46245</x:v>
      </x:c>
      <x:c r="Q1401" s="20" t="str">
        <x:v>https://www.petracoffee.com/products/guatemala-asodiet-coop</x:v>
      </x:c>
      <x:c r="R1401" s="20" t="str">
        <x:v>Öğütüm seçenekleri aynı gramaj ve fiyatta tekilleştirildi.</x:v>
      </x:c>
    </x:row>
    <x:row r="1402" ht="40" customHeight="1">
      <x:c r="A1402" s="16" t="str">
        <x:v>Petra Coffee</x:v>
      </x:c>
      <x:c r="B1402" s="16" t="str">
        <x:v>İstanbul</x:v>
      </x:c>
      <x:c r="C1402" s="16" t="str">
        <x:v>Doğrulandı</x:v>
      </x:c>
      <x:c r="D1402" s="16" t="str">
        <x:v>Ürün kaydı</x:v>
      </x:c>
      <x:c r="E1402" s="16" t="str">
        <x:v>Guatemala La Colina</x:v>
      </x:c>
      <x:c r="F1402" s="16" t="str">
        <x:v>Guatemala</x:v>
      </x:c>
      <x:c r="G1402" s="17" t="n">
        <x:v>250</x:v>
      </x:c>
      <x:c r="H1402" s="16" t="str">
        <x:v>Erişildi</x:v>
      </x:c>
      <x:c r="I1402" s="18" t="n">
        <x:v>1020</x:v>
      </x:c>
      <x:c r="J1402" s="18" t="str">
        <x:v>Erişildi</x:v>
      </x:c>
      <x:c r="K1402" s="18" t="n">
        <x:f>IF(AND(ISNUMBER(G1402),ISNUMBER(I1402)),I1402/G1402*1000,"Erişilemedi")</x:f>
        <x:v>4080</x:v>
      </x:c>
      <x:c r="L1402" s="16" t="str">
        <x:v>Stokta</x:v>
      </x:c>
      <x:c r="M1402" s="16" t="str">
        <x:v>Tek köken/ürün</x:v>
      </x:c>
      <x:c r="N1402" s="16" t="str">
        <x:v>Shopify ürün akışı</x:v>
      </x:c>
      <x:c r="O1402" s="16" t="str">
        <x:v>Yüksek</x:v>
      </x:c>
      <x:c r="P1402" s="19" t="n">
        <x:v>46245</x:v>
      </x:c>
      <x:c r="Q1402" s="20" t="str">
        <x:v>https://www.petracoffee.com/products/guatemala-la-colina</x:v>
      </x:c>
      <x:c r="R1402" s="20" t="str">
        <x:v>Öğütüm seçenekleri aynı gramaj ve fiyatta tekilleştirildi.</x:v>
      </x:c>
    </x:row>
    <x:row r="1403" ht="40" customHeight="1">
      <x:c r="A1403" s="16" t="str">
        <x:v>Petra Coffee</x:v>
      </x:c>
      <x:c r="B1403" s="16" t="str">
        <x:v>İstanbul</x:v>
      </x:c>
      <x:c r="C1403" s="16" t="str">
        <x:v>Doğrulandı</x:v>
      </x:c>
      <x:c r="D1403" s="16" t="str">
        <x:v>Ürün kaydı</x:v>
      </x:c>
      <x:c r="E1403" s="16" t="str">
        <x:v>Guatemala La Colina</x:v>
      </x:c>
      <x:c r="F1403" s="16" t="str">
        <x:v>Guatemala</x:v>
      </x:c>
      <x:c r="G1403" s="17" t="n">
        <x:v>500</x:v>
      </x:c>
      <x:c r="H1403" s="16" t="str">
        <x:v>Erişildi</x:v>
      </x:c>
      <x:c r="I1403" s="18" t="n">
        <x:v>2040</x:v>
      </x:c>
      <x:c r="J1403" s="18" t="str">
        <x:v>Erişildi</x:v>
      </x:c>
      <x:c r="K1403" s="18" t="n">
        <x:f>IF(AND(ISNUMBER(G1403),ISNUMBER(I1403)),I1403/G1403*1000,"Erişilemedi")</x:f>
        <x:v>4080</x:v>
      </x:c>
      <x:c r="L1403" s="16" t="str">
        <x:v>Stokta</x:v>
      </x:c>
      <x:c r="M1403" s="16" t="str">
        <x:v>Tek köken/ürün</x:v>
      </x:c>
      <x:c r="N1403" s="16" t="str">
        <x:v>Shopify ürün akışı</x:v>
      </x:c>
      <x:c r="O1403" s="16" t="str">
        <x:v>Yüksek</x:v>
      </x:c>
      <x:c r="P1403" s="19" t="n">
        <x:v>46245</x:v>
      </x:c>
      <x:c r="Q1403" s="20" t="str">
        <x:v>https://www.petracoffee.com/products/guatemala-la-colina</x:v>
      </x:c>
      <x:c r="R1403" s="20" t="str">
        <x:v>Öğütüm seçenekleri aynı gramaj ve fiyatta tekilleştirildi.</x:v>
      </x:c>
    </x:row>
    <x:row r="1404" ht="40" customHeight="1">
      <x:c r="A1404" s="16" t="str">
        <x:v>Petra Coffee</x:v>
      </x:c>
      <x:c r="B1404" s="16" t="str">
        <x:v>İstanbul</x:v>
      </x:c>
      <x:c r="C1404" s="16" t="str">
        <x:v>Doğrulandı</x:v>
      </x:c>
      <x:c r="D1404" s="16" t="str">
        <x:v>Ürün kaydı</x:v>
      </x:c>
      <x:c r="E1404" s="16" t="str">
        <x:v>Guatemala La Colina</x:v>
      </x:c>
      <x:c r="F1404" s="16" t="str">
        <x:v>Guatemala</x:v>
      </x:c>
      <x:c r="G1404" s="17" t="n">
        <x:v>2500</x:v>
      </x:c>
      <x:c r="H1404" s="16" t="str">
        <x:v>Erişildi</x:v>
      </x:c>
      <x:c r="I1404" s="18" t="n">
        <x:v>9180</x:v>
      </x:c>
      <x:c r="J1404" s="18" t="str">
        <x:v>Erişildi</x:v>
      </x:c>
      <x:c r="K1404" s="18" t="n">
        <x:f>IF(AND(ISNUMBER(G1404),ISNUMBER(I1404)),I1404/G1404*1000,"Erişilemedi")</x:f>
        <x:v>3672</x:v>
      </x:c>
      <x:c r="L1404" s="16" t="str">
        <x:v>Stokta</x:v>
      </x:c>
      <x:c r="M1404" s="16" t="str">
        <x:v>Tek köken/ürün</x:v>
      </x:c>
      <x:c r="N1404" s="16" t="str">
        <x:v>Shopify ürün akışı</x:v>
      </x:c>
      <x:c r="O1404" s="16" t="str">
        <x:v>Yüksek</x:v>
      </x:c>
      <x:c r="P1404" s="19" t="n">
        <x:v>46245</x:v>
      </x:c>
      <x:c r="Q1404" s="20" t="str">
        <x:v>https://www.petracoffee.com/products/guatemala-la-colina</x:v>
      </x:c>
      <x:c r="R1404" s="20" t="str">
        <x:v>Öğütüm seçenekleri aynı gramaj ve fiyatta tekilleştirildi.</x:v>
      </x:c>
    </x:row>
    <x:row r="1405" ht="40" customHeight="1">
      <x:c r="A1405" s="16" t="str">
        <x:v>Petra Coffee</x:v>
      </x:c>
      <x:c r="B1405" s="16" t="str">
        <x:v>İstanbul</x:v>
      </x:c>
      <x:c r="C1405" s="16" t="str">
        <x:v>Doğrulandı</x:v>
      </x:c>
      <x:c r="D1405" s="16" t="str">
        <x:v>Ürün kaydı</x:v>
      </x:c>
      <x:c r="E1405" s="16" t="str">
        <x:v>Guatemala Las Penas</x:v>
      </x:c>
      <x:c r="F1405" s="16" t="str">
        <x:v>Guatemala</x:v>
      </x:c>
      <x:c r="G1405" s="17" t="n">
        <x:v>250</x:v>
      </x:c>
      <x:c r="H1405" s="16" t="str">
        <x:v>Erişildi</x:v>
      </x:c>
      <x:c r="I1405" s="18" t="n">
        <x:v>870</x:v>
      </x:c>
      <x:c r="J1405" s="18" t="str">
        <x:v>Erişildi</x:v>
      </x:c>
      <x:c r="K1405" s="18" t="n">
        <x:f>IF(AND(ISNUMBER(G1405),ISNUMBER(I1405)),I1405/G1405*1000,"Erişilemedi")</x:f>
        <x:v>3480</x:v>
      </x:c>
      <x:c r="L1405" s="16" t="str">
        <x:v>Stokta</x:v>
      </x:c>
      <x:c r="M1405" s="16" t="str">
        <x:v>Tek köken/ürün</x:v>
      </x:c>
      <x:c r="N1405" s="16" t="str">
        <x:v>Shopify ürün akışı</x:v>
      </x:c>
      <x:c r="O1405" s="16" t="str">
        <x:v>Yüksek</x:v>
      </x:c>
      <x:c r="P1405" s="19" t="n">
        <x:v>46245</x:v>
      </x:c>
      <x:c r="Q1405" s="20" t="str">
        <x:v>https://www.petracoffee.com/products/guatemala-las-penas-2</x:v>
      </x:c>
      <x:c r="R1405" s="20" t="str">
        <x:v>Öğütüm seçenekleri aynı gramaj ve fiyatta tekilleştirildi.</x:v>
      </x:c>
    </x:row>
    <x:row r="1406" ht="40" customHeight="1">
      <x:c r="A1406" s="16" t="str">
        <x:v>Petra Coffee</x:v>
      </x:c>
      <x:c r="B1406" s="16" t="str">
        <x:v>İstanbul</x:v>
      </x:c>
      <x:c r="C1406" s="16" t="str">
        <x:v>Doğrulandı</x:v>
      </x:c>
      <x:c r="D1406" s="16" t="str">
        <x:v>Ürün kaydı</x:v>
      </x:c>
      <x:c r="E1406" s="16" t="str">
        <x:v>Guatemala Las Penas</x:v>
      </x:c>
      <x:c r="F1406" s="16" t="str">
        <x:v>Guatemala</x:v>
      </x:c>
      <x:c r="G1406" s="17" t="n">
        <x:v>500</x:v>
      </x:c>
      <x:c r="H1406" s="16" t="str">
        <x:v>Erişildi</x:v>
      </x:c>
      <x:c r="I1406" s="18" t="n">
        <x:v>1740</x:v>
      </x:c>
      <x:c r="J1406" s="18" t="str">
        <x:v>Erişildi</x:v>
      </x:c>
      <x:c r="K1406" s="18" t="n">
        <x:f>IF(AND(ISNUMBER(G1406),ISNUMBER(I1406)),I1406/G1406*1000,"Erişilemedi")</x:f>
        <x:v>3480</x:v>
      </x:c>
      <x:c r="L1406" s="16" t="str">
        <x:v>Stokta</x:v>
      </x:c>
      <x:c r="M1406" s="16" t="str">
        <x:v>Tek köken/ürün</x:v>
      </x:c>
      <x:c r="N1406" s="16" t="str">
        <x:v>Shopify ürün akışı</x:v>
      </x:c>
      <x:c r="O1406" s="16" t="str">
        <x:v>Yüksek</x:v>
      </x:c>
      <x:c r="P1406" s="19" t="n">
        <x:v>46245</x:v>
      </x:c>
      <x:c r="Q1406" s="20" t="str">
        <x:v>https://www.petracoffee.com/products/guatemala-las-penas-2</x:v>
      </x:c>
      <x:c r="R1406" s="20" t="str">
        <x:v>Öğütüm seçenekleri aynı gramaj ve fiyatta tekilleştirildi.</x:v>
      </x:c>
    </x:row>
    <x:row r="1407" ht="40" customHeight="1">
      <x:c r="A1407" s="16" t="str">
        <x:v>Petra Coffee</x:v>
      </x:c>
      <x:c r="B1407" s="16" t="str">
        <x:v>İstanbul</x:v>
      </x:c>
      <x:c r="C1407" s="16" t="str">
        <x:v>Doğrulandı</x:v>
      </x:c>
      <x:c r="D1407" s="16" t="str">
        <x:v>Ürün kaydı</x:v>
      </x:c>
      <x:c r="E1407" s="16" t="str">
        <x:v>Guatemala Las Penas</x:v>
      </x:c>
      <x:c r="F1407" s="16" t="str">
        <x:v>Guatemala</x:v>
      </x:c>
      <x:c r="G1407" s="17" t="n">
        <x:v>2500</x:v>
      </x:c>
      <x:c r="H1407" s="16" t="str">
        <x:v>Erişildi</x:v>
      </x:c>
      <x:c r="I1407" s="18" t="n">
        <x:v>8730</x:v>
      </x:c>
      <x:c r="J1407" s="18" t="str">
        <x:v>Erişildi</x:v>
      </x:c>
      <x:c r="K1407" s="18" t="n">
        <x:f>IF(AND(ISNUMBER(G1407),ISNUMBER(I1407)),I1407/G1407*1000,"Erişilemedi")</x:f>
        <x:v>3492</x:v>
      </x:c>
      <x:c r="L1407" s="16" t="str">
        <x:v>Stokta</x:v>
      </x:c>
      <x:c r="M1407" s="16" t="str">
        <x:v>Tek köken/ürün</x:v>
      </x:c>
      <x:c r="N1407" s="16" t="str">
        <x:v>Shopify ürün akışı</x:v>
      </x:c>
      <x:c r="O1407" s="16" t="str">
        <x:v>Yüksek</x:v>
      </x:c>
      <x:c r="P1407" s="19" t="n">
        <x:v>46245</x:v>
      </x:c>
      <x:c r="Q1407" s="20" t="str">
        <x:v>https://www.petracoffee.com/products/guatemala-las-penas-2</x:v>
      </x:c>
      <x:c r="R1407" s="20" t="str">
        <x:v>Öğütüm seçenekleri aynı gramaj ve fiyatta tekilleştirildi.</x:v>
      </x:c>
    </x:row>
    <x:row r="1408" ht="40" customHeight="1">
      <x:c r="A1408" s="16" t="str">
        <x:v>Petra Coffee</x:v>
      </x:c>
      <x:c r="B1408" s="16" t="str">
        <x:v>İstanbul</x:v>
      </x:c>
      <x:c r="C1408" s="16" t="str">
        <x:v>Doğrulandı</x:v>
      </x:c>
      <x:c r="D1408" s="16" t="str">
        <x:v>Ürün kaydı</x:v>
      </x:c>
      <x:c r="E1408" s="16" t="str">
        <x:v>Hediye Çeki</x:v>
      </x:c>
      <x:c r="F1408" s="16" t="str">
        <x:v>Menşe belirtilmemiş</x:v>
      </x:c>
      <x:c r="G1408" s="17" t="str">
        <x:v>Erişilemedi</x:v>
      </x:c>
      <x:c r="H1408" s="16" t="str">
        <x:v>Erişilemedi</x:v>
      </x:c>
      <x:c r="I1408" s="18" t="n">
        <x:v>495</x:v>
      </x:c>
      <x:c r="J1408" s="18" t="str">
        <x:v>Erişildi</x:v>
      </x:c>
      <x:c r="K1408" s="18" t="str">
        <x:f>IF(AND(ISNUMBER(G1408),ISNUMBER(I1408)),I1408/G1408*1000,"Erişilemedi")</x:f>
        <x:v>Erişilemedi</x:v>
      </x:c>
      <x:c r="L1408" s="16" t="str">
        <x:v>Stokta</x:v>
      </x:c>
      <x:c r="M1408" s="16" t="str">
        <x:v>Kahve ürünü</x:v>
      </x:c>
      <x:c r="N1408" s="16" t="str">
        <x:v>Shopify ürün akışı</x:v>
      </x:c>
      <x:c r="O1408" s="16" t="str">
        <x:v>Orta</x:v>
      </x:c>
      <x:c r="P1408" s="19" t="n">
        <x:v>46245</x:v>
      </x:c>
      <x:c r="Q1408" s="20" t="str">
        <x:v>https://www.petracoffee.com/products/petra-apocalyptic-gift-card</x:v>
      </x:c>
      <x:c r="R1408" s="20" t="str">
        <x:v>Öğütüm seçenekleri tekilleştirildi.</x:v>
      </x:c>
    </x:row>
    <x:row r="1409" ht="40" customHeight="1">
      <x:c r="A1409" s="16" t="str">
        <x:v>Petra Coffee</x:v>
      </x:c>
      <x:c r="B1409" s="16" t="str">
        <x:v>İstanbul</x:v>
      </x:c>
      <x:c r="C1409" s="16" t="str">
        <x:v>Doğrulandı</x:v>
      </x:c>
      <x:c r="D1409" s="16" t="str">
        <x:v>Ürün kaydı</x:v>
      </x:c>
      <x:c r="E1409" s="16" t="str">
        <x:v>Hediye Çeki</x:v>
      </x:c>
      <x:c r="F1409" s="16" t="str">
        <x:v>Menşe belirtilmemiş</x:v>
      </x:c>
      <x:c r="G1409" s="17" t="str">
        <x:v>Erişilemedi</x:v>
      </x:c>
      <x:c r="H1409" s="16" t="str">
        <x:v>Erişilemedi</x:v>
      </x:c>
      <x:c r="I1409" s="18" t="n">
        <x:v>715</x:v>
      </x:c>
      <x:c r="J1409" s="18" t="str">
        <x:v>Erişildi</x:v>
      </x:c>
      <x:c r="K1409" s="18" t="str">
        <x:f>IF(AND(ISNUMBER(G1409),ISNUMBER(I1409)),I1409/G1409*1000,"Erişilemedi")</x:f>
        <x:v>Erişilemedi</x:v>
      </x:c>
      <x:c r="L1409" s="16" t="str">
        <x:v>Stokta</x:v>
      </x:c>
      <x:c r="M1409" s="16" t="str">
        <x:v>Kahve ürünü</x:v>
      </x:c>
      <x:c r="N1409" s="16" t="str">
        <x:v>Shopify ürün akışı</x:v>
      </x:c>
      <x:c r="O1409" s="16" t="str">
        <x:v>Orta</x:v>
      </x:c>
      <x:c r="P1409" s="19" t="n">
        <x:v>46245</x:v>
      </x:c>
      <x:c r="Q1409" s="20" t="str">
        <x:v>https://www.petracoffee.com/products/petra-apocalyptic-gift-card</x:v>
      </x:c>
      <x:c r="R1409" s="20" t="str">
        <x:v>Öğütüm seçenekleri tekilleştirildi.</x:v>
      </x:c>
    </x:row>
    <x:row r="1410" ht="40" customHeight="1">
      <x:c r="A1410" s="16" t="str">
        <x:v>Petra Coffee</x:v>
      </x:c>
      <x:c r="B1410" s="16" t="str">
        <x:v>İstanbul</x:v>
      </x:c>
      <x:c r="C1410" s="16" t="str">
        <x:v>Doğrulandı</x:v>
      </x:c>
      <x:c r="D1410" s="16" t="str">
        <x:v>Ürün kaydı</x:v>
      </x:c>
      <x:c r="E1410" s="16" t="str">
        <x:v>Hediye Çeki</x:v>
      </x:c>
      <x:c r="F1410" s="16" t="str">
        <x:v>Menşe belirtilmemiş</x:v>
      </x:c>
      <x:c r="G1410" s="17" t="str">
        <x:v>Erişilemedi</x:v>
      </x:c>
      <x:c r="H1410" s="16" t="str">
        <x:v>Erişilemedi</x:v>
      </x:c>
      <x:c r="I1410" s="18" t="n">
        <x:v>1220</x:v>
      </x:c>
      <x:c r="J1410" s="18" t="str">
        <x:v>Erişildi</x:v>
      </x:c>
      <x:c r="K1410" s="18" t="str">
        <x:f>IF(AND(ISNUMBER(G1410),ISNUMBER(I1410)),I1410/G1410*1000,"Erişilemedi")</x:f>
        <x:v>Erişilemedi</x:v>
      </x:c>
      <x:c r="L1410" s="16" t="str">
        <x:v>Stokta</x:v>
      </x:c>
      <x:c r="M1410" s="16" t="str">
        <x:v>Kahve ürünü</x:v>
      </x:c>
      <x:c r="N1410" s="16" t="str">
        <x:v>Shopify ürün akışı</x:v>
      </x:c>
      <x:c r="O1410" s="16" t="str">
        <x:v>Orta</x:v>
      </x:c>
      <x:c r="P1410" s="19" t="n">
        <x:v>46245</x:v>
      </x:c>
      <x:c r="Q1410" s="20" t="str">
        <x:v>https://www.petracoffee.com/products/petra-apocalyptic-gift-card</x:v>
      </x:c>
      <x:c r="R1410" s="20" t="str">
        <x:v>Öğütüm seçenekleri tekilleştirildi.</x:v>
      </x:c>
    </x:row>
    <x:row r="1411" ht="40" customHeight="1">
      <x:c r="A1411" s="16" t="str">
        <x:v>Petra Coffee</x:v>
      </x:c>
      <x:c r="B1411" s="16" t="str">
        <x:v>İstanbul</x:v>
      </x:c>
      <x:c r="C1411" s="16" t="str">
        <x:v>Doğrulandı</x:v>
      </x:c>
      <x:c r="D1411" s="16" t="str">
        <x:v>Ürün kaydı</x:v>
      </x:c>
      <x:c r="E1411" s="16" t="str">
        <x:v>Hediye Çeki</x:v>
      </x:c>
      <x:c r="F1411" s="16" t="str">
        <x:v>Menşe belirtilmemiş</x:v>
      </x:c>
      <x:c r="G1411" s="17" t="str">
        <x:v>Erişilemedi</x:v>
      </x:c>
      <x:c r="H1411" s="16" t="str">
        <x:v>Erişilemedi</x:v>
      </x:c>
      <x:c r="I1411" s="18" t="n">
        <x:v>2285</x:v>
      </x:c>
      <x:c r="J1411" s="18" t="str">
        <x:v>Erişildi</x:v>
      </x:c>
      <x:c r="K1411" s="18" t="str">
        <x:f>IF(AND(ISNUMBER(G1411),ISNUMBER(I1411)),I1411/G1411*1000,"Erişilemedi")</x:f>
        <x:v>Erişilemedi</x:v>
      </x:c>
      <x:c r="L1411" s="16" t="str">
        <x:v>Stokta</x:v>
      </x:c>
      <x:c r="M1411" s="16" t="str">
        <x:v>Kahve ürünü</x:v>
      </x:c>
      <x:c r="N1411" s="16" t="str">
        <x:v>Shopify ürün akışı</x:v>
      </x:c>
      <x:c r="O1411" s="16" t="str">
        <x:v>Orta</x:v>
      </x:c>
      <x:c r="P1411" s="19" t="n">
        <x:v>46245</x:v>
      </x:c>
      <x:c r="Q1411" s="20" t="str">
        <x:v>https://www.petracoffee.com/products/petra-apocalyptic-gift-card</x:v>
      </x:c>
      <x:c r="R1411" s="20" t="str">
        <x:v>Öğütüm seçenekleri tekilleştirildi.</x:v>
      </x:c>
    </x:row>
    <x:row r="1412" ht="40" customHeight="1">
      <x:c r="A1412" s="16" t="str">
        <x:v>Petra Coffee</x:v>
      </x:c>
      <x:c r="B1412" s="16" t="str">
        <x:v>İstanbul</x:v>
      </x:c>
      <x:c r="C1412" s="16" t="str">
        <x:v>Doğrulandı</x:v>
      </x:c>
      <x:c r="D1412" s="16" t="str">
        <x:v>Ürün kaydı</x:v>
      </x:c>
      <x:c r="E1412" s="16" t="str">
        <x:v>Hediye Çeki</x:v>
      </x:c>
      <x:c r="F1412" s="16" t="str">
        <x:v>Menşe belirtilmemiş</x:v>
      </x:c>
      <x:c r="G1412" s="17" t="str">
        <x:v>Erişilemedi</x:v>
      </x:c>
      <x:c r="H1412" s="16" t="str">
        <x:v>Erişilemedi</x:v>
      </x:c>
      <x:c r="I1412" s="18" t="n">
        <x:v>2860</x:v>
      </x:c>
      <x:c r="J1412" s="18" t="str">
        <x:v>Erişildi</x:v>
      </x:c>
      <x:c r="K1412" s="18" t="str">
        <x:f>IF(AND(ISNUMBER(G1412),ISNUMBER(I1412)),I1412/G1412*1000,"Erişilemedi")</x:f>
        <x:v>Erişilemedi</x:v>
      </x:c>
      <x:c r="L1412" s="16" t="str">
        <x:v>Stokta</x:v>
      </x:c>
      <x:c r="M1412" s="16" t="str">
        <x:v>Kahve ürünü</x:v>
      </x:c>
      <x:c r="N1412" s="16" t="str">
        <x:v>Shopify ürün akışı</x:v>
      </x:c>
      <x:c r="O1412" s="16" t="str">
        <x:v>Orta</x:v>
      </x:c>
      <x:c r="P1412" s="19" t="n">
        <x:v>46245</x:v>
      </x:c>
      <x:c r="Q1412" s="20" t="str">
        <x:v>https://www.petracoffee.com/products/petra-apocalyptic-gift-card</x:v>
      </x:c>
      <x:c r="R1412" s="20" t="str">
        <x:v>Öğütüm seçenekleri tekilleştirildi.</x:v>
      </x:c>
    </x:row>
    <x:row r="1413" ht="40" customHeight="1">
      <x:c r="A1413" s="16" t="str">
        <x:v>Petra Coffee</x:v>
      </x:c>
      <x:c r="B1413" s="16" t="str">
        <x:v>İstanbul</x:v>
      </x:c>
      <x:c r="C1413" s="16" t="str">
        <x:v>Doğrulandı</x:v>
      </x:c>
      <x:c r="D1413" s="16" t="str">
        <x:v>Ürün kaydı</x:v>
      </x:c>
      <x:c r="E1413" s="16" t="str">
        <x:v>KOYU</x:v>
      </x:c>
      <x:c r="F1413" s="16" t="str">
        <x:v>Harman – menşe belirtilmemiş</x:v>
      </x:c>
      <x:c r="G1413" s="17" t="n">
        <x:v>250</x:v>
      </x:c>
      <x:c r="H1413" s="16" t="str">
        <x:v>Erişildi</x:v>
      </x:c>
      <x:c r="I1413" s="18" t="n">
        <x:v>750</x:v>
      </x:c>
      <x:c r="J1413" s="18" t="str">
        <x:v>Erişildi</x:v>
      </x:c>
      <x:c r="K1413" s="18" t="n">
        <x:f>IF(AND(ISNUMBER(G1413),ISNUMBER(I1413)),I1413/G1413*1000,"Erişilemedi")</x:f>
        <x:v>3000</x:v>
      </x:c>
      <x:c r="L1413" s="16" t="str">
        <x:v>Stokta</x:v>
      </x:c>
      <x:c r="M1413" s="16" t="str">
        <x:v>Harman</x:v>
      </x:c>
      <x:c r="N1413" s="16" t="str">
        <x:v>Shopify ürün akışı</x:v>
      </x:c>
      <x:c r="O1413" s="16" t="str">
        <x:v>Yüksek</x:v>
      </x:c>
      <x:c r="P1413" s="19" t="n">
        <x:v>46245</x:v>
      </x:c>
      <x:c r="Q1413" s="20" t="str">
        <x:v>https://www.petracoffee.com/products/koyu</x:v>
      </x:c>
      <x:c r="R1413" s="20" t="str">
        <x:v>Öğütüm seçenekleri aynı gramaj ve fiyatta tekilleştirildi.</x:v>
      </x:c>
    </x:row>
    <x:row r="1414" ht="40" customHeight="1">
      <x:c r="A1414" s="16" t="str">
        <x:v>Petra Coffee</x:v>
      </x:c>
      <x:c r="B1414" s="16" t="str">
        <x:v>İstanbul</x:v>
      </x:c>
      <x:c r="C1414" s="16" t="str">
        <x:v>Doğrulandı</x:v>
      </x:c>
      <x:c r="D1414" s="16" t="str">
        <x:v>Ürün kaydı</x:v>
      </x:c>
      <x:c r="E1414" s="16" t="str">
        <x:v>KOYU</x:v>
      </x:c>
      <x:c r="F1414" s="16" t="str">
        <x:v>Harman – menşe belirtilmemiş</x:v>
      </x:c>
      <x:c r="G1414" s="17" t="n">
        <x:v>500</x:v>
      </x:c>
      <x:c r="H1414" s="16" t="str">
        <x:v>Erişildi</x:v>
      </x:c>
      <x:c r="I1414" s="18" t="n">
        <x:v>1500</x:v>
      </x:c>
      <x:c r="J1414" s="18" t="str">
        <x:v>Erişildi</x:v>
      </x:c>
      <x:c r="K1414" s="18" t="n">
        <x:f>IF(AND(ISNUMBER(G1414),ISNUMBER(I1414)),I1414/G1414*1000,"Erişilemedi")</x:f>
        <x:v>3000</x:v>
      </x:c>
      <x:c r="L1414" s="16" t="str">
        <x:v>Stokta</x:v>
      </x:c>
      <x:c r="M1414" s="16" t="str">
        <x:v>Harman</x:v>
      </x:c>
      <x:c r="N1414" s="16" t="str">
        <x:v>Shopify ürün akışı</x:v>
      </x:c>
      <x:c r="O1414" s="16" t="str">
        <x:v>Yüksek</x:v>
      </x:c>
      <x:c r="P1414" s="19" t="n">
        <x:v>46245</x:v>
      </x:c>
      <x:c r="Q1414" s="20" t="str">
        <x:v>https://www.petracoffee.com/products/koyu</x:v>
      </x:c>
      <x:c r="R1414" s="20" t="str">
        <x:v>Öğütüm seçenekleri aynı gramaj ve fiyatta tekilleştirildi.</x:v>
      </x:c>
    </x:row>
    <x:row r="1415" ht="40" customHeight="1">
      <x:c r="A1415" s="16" t="str">
        <x:v>Petra Coffee</x:v>
      </x:c>
      <x:c r="B1415" s="16" t="str">
        <x:v>İstanbul</x:v>
      </x:c>
      <x:c r="C1415" s="16" t="str">
        <x:v>Doğrulandı</x:v>
      </x:c>
      <x:c r="D1415" s="16" t="str">
        <x:v>Ürün kaydı</x:v>
      </x:c>
      <x:c r="E1415" s="16" t="str">
        <x:v>KOYU 2.5KG</x:v>
      </x:c>
      <x:c r="F1415" s="16" t="str">
        <x:v>Harman – menşe belirtilmemiş</x:v>
      </x:c>
      <x:c r="G1415" s="17" t="n">
        <x:v>2500</x:v>
      </x:c>
      <x:c r="H1415" s="16" t="str">
        <x:v>Erişildi</x:v>
      </x:c>
      <x:c r="I1415" s="18" t="n">
        <x:v>6750</x:v>
      </x:c>
      <x:c r="J1415" s="18" t="str">
        <x:v>Erişildi</x:v>
      </x:c>
      <x:c r="K1415" s="18" t="n">
        <x:f>IF(AND(ISNUMBER(G1415),ISNUMBER(I1415)),I1415/G1415*1000,"Erişilemedi")</x:f>
        <x:v>2700</x:v>
      </x:c>
      <x:c r="L1415" s="16" t="str">
        <x:v>Stokta</x:v>
      </x:c>
      <x:c r="M1415" s="16" t="str">
        <x:v>Harman</x:v>
      </x:c>
      <x:c r="N1415" s="16" t="str">
        <x:v>Shopify ürün akışı</x:v>
      </x:c>
      <x:c r="O1415" s="16" t="str">
        <x:v>Yüksek</x:v>
      </x:c>
      <x:c r="P1415" s="19" t="n">
        <x:v>46245</x:v>
      </x:c>
      <x:c r="Q1415" s="20" t="str">
        <x:v>https://www.petracoffee.com/products/koyu-2-5kg</x:v>
      </x:c>
      <x:c r="R1415" s="20" t="str">
        <x:v>Öğütüm seçenekleri aynı gramaj ve fiyatta tekilleştirildi.</x:v>
      </x:c>
    </x:row>
    <x:row r="1416" ht="40" customHeight="1">
      <x:c r="A1416" s="16" t="str">
        <x:v>Petra Coffee</x:v>
      </x:c>
      <x:c r="B1416" s="16" t="str">
        <x:v>İstanbul</x:v>
      </x:c>
      <x:c r="C1416" s="16" t="str">
        <x:v>Doğrulandı</x:v>
      </x:c>
      <x:c r="D1416" s="16" t="str">
        <x:v>Ürün kaydı</x:v>
      </x:c>
      <x:c r="E1416" s="16" t="str">
        <x:v>Long Shot Kapsül</x:v>
      </x:c>
      <x:c r="F1416" s="16" t="str">
        <x:v>Menşe belirtilmemiş</x:v>
      </x:c>
      <x:c r="G1416" s="17" t="str">
        <x:v>Erişilemedi</x:v>
      </x:c>
      <x:c r="H1416" s="16" t="str">
        <x:v>Erişilemedi</x:v>
      </x:c>
      <x:c r="I1416" s="18" t="n">
        <x:v>339</x:v>
      </x:c>
      <x:c r="J1416" s="18" t="str">
        <x:v>Erişildi</x:v>
      </x:c>
      <x:c r="K1416" s="18" t="str">
        <x:f>IF(AND(ISNUMBER(G1416),ISNUMBER(I1416)),I1416/G1416*1000,"Erişilemedi")</x:f>
        <x:v>Erişilemedi</x:v>
      </x:c>
      <x:c r="L1416" s="16" t="str">
        <x:v>Stokta</x:v>
      </x:c>
      <x:c r="M1416" s="16" t="str">
        <x:v>Kahve ürünü</x:v>
      </x:c>
      <x:c r="N1416" s="16" t="str">
        <x:v>Shopify ürün akışı</x:v>
      </x:c>
      <x:c r="O1416" s="16" t="str">
        <x:v>Orta</x:v>
      </x:c>
      <x:c r="P1416" s="19" t="n">
        <x:v>46245</x:v>
      </x:c>
      <x:c r="Q1416" s="20" t="str">
        <x:v>https://www.petracoffee.com/products/long-shot-kapsul-10lu</x:v>
      </x:c>
      <x:c r="R1416" s="20" t="str">
        <x:v>Öğütüm seçenekleri tekilleştirildi.</x:v>
      </x:c>
    </x:row>
    <x:row r="1417" ht="40" customHeight="1">
      <x:c r="A1417" s="16" t="str">
        <x:v>Petra Coffee</x:v>
      </x:c>
      <x:c r="B1417" s="16" t="str">
        <x:v>İstanbul</x:v>
      </x:c>
      <x:c r="C1417" s="16" t="str">
        <x:v>Doğrulandı</x:v>
      </x:c>
      <x:c r="D1417" s="16" t="str">
        <x:v>Ürün kaydı</x:v>
      </x:c>
      <x:c r="E1417" s="16" t="str">
        <x:v>Long Shot Kapsül</x:v>
      </x:c>
      <x:c r="F1417" s="16" t="str">
        <x:v>Menşe belirtilmemiş</x:v>
      </x:c>
      <x:c r="G1417" s="17" t="str">
        <x:v>Erişilemedi</x:v>
      </x:c>
      <x:c r="H1417" s="16" t="str">
        <x:v>Erişilemedi</x:v>
      </x:c>
      <x:c r="I1417" s="18" t="n">
        <x:v>915</x:v>
      </x:c>
      <x:c r="J1417" s="18" t="str">
        <x:v>Erişildi</x:v>
      </x:c>
      <x:c r="K1417" s="18" t="str">
        <x:f>IF(AND(ISNUMBER(G1417),ISNUMBER(I1417)),I1417/G1417*1000,"Erişilemedi")</x:f>
        <x:v>Erişilemedi</x:v>
      </x:c>
      <x:c r="L1417" s="16" t="str">
        <x:v>Stokta</x:v>
      </x:c>
      <x:c r="M1417" s="16" t="str">
        <x:v>Kahve ürünü</x:v>
      </x:c>
      <x:c r="N1417" s="16" t="str">
        <x:v>Shopify ürün akışı</x:v>
      </x:c>
      <x:c r="O1417" s="16" t="str">
        <x:v>Orta</x:v>
      </x:c>
      <x:c r="P1417" s="19" t="n">
        <x:v>46245</x:v>
      </x:c>
      <x:c r="Q1417" s="20" t="str">
        <x:v>https://www.petracoffee.com/products/long-shot-kapsul-10lu</x:v>
      </x:c>
      <x:c r="R1417" s="20" t="str">
        <x:v>Öğütüm seçenekleri tekilleştirildi.</x:v>
      </x:c>
    </x:row>
    <x:row r="1418" ht="40" customHeight="1">
      <x:c r="A1418" s="16" t="str">
        <x:v>Petra Coffee</x:v>
      </x:c>
      <x:c r="B1418" s="16" t="str">
        <x:v>İstanbul</x:v>
      </x:c>
      <x:c r="C1418" s="16" t="str">
        <x:v>Doğrulandı</x:v>
      </x:c>
      <x:c r="D1418" s="16" t="str">
        <x:v>Ürün kaydı</x:v>
      </x:c>
      <x:c r="E1418" s="16" t="str">
        <x:v>Petra Breakfast Tea</x:v>
      </x:c>
      <x:c r="F1418" s="16" t="str">
        <x:v>Menşe belirtilmemiş</x:v>
      </x:c>
      <x:c r="G1418" s="17" t="str">
        <x:v>Erişilemedi</x:v>
      </x:c>
      <x:c r="H1418" s="16" t="str">
        <x:v>Erişilemedi</x:v>
      </x:c>
      <x:c r="I1418" s="18" t="n">
        <x:v>380</x:v>
      </x:c>
      <x:c r="J1418" s="18" t="str">
        <x:v>Erişildi</x:v>
      </x:c>
      <x:c r="K1418" s="18" t="str">
        <x:f>IF(AND(ISNUMBER(G1418),ISNUMBER(I1418)),I1418/G1418*1000,"Erişilemedi")</x:f>
        <x:v>Erişilemedi</x:v>
      </x:c>
      <x:c r="L1418" s="16" t="str">
        <x:v>Stokta</x:v>
      </x:c>
      <x:c r="M1418" s="16" t="str">
        <x:v>Kahve ürünü</x:v>
      </x:c>
      <x:c r="N1418" s="16" t="str">
        <x:v>Shopify ürün akışı</x:v>
      </x:c>
      <x:c r="O1418" s="16" t="str">
        <x:v>Orta</x:v>
      </x:c>
      <x:c r="P1418" s="19" t="n">
        <x:v>46245</x:v>
      </x:c>
      <x:c r="Q1418" s="20" t="str">
        <x:v>https://www.petracoffee.com/products/petra-breakfast-tea</x:v>
      </x:c>
      <x:c r="R1418" s="20" t="str">
        <x:v>Öğütüm seçenekleri tekilleştirildi.</x:v>
      </x:c>
    </x:row>
    <x:row r="1419" ht="40" customHeight="1">
      <x:c r="A1419" s="16" t="str">
        <x:v>Petra Coffee</x:v>
      </x:c>
      <x:c r="B1419" s="16" t="str">
        <x:v>İstanbul</x:v>
      </x:c>
      <x:c r="C1419" s="16" t="str">
        <x:v>Doğrulandı</x:v>
      </x:c>
      <x:c r="D1419" s="16" t="str">
        <x:v>Ürün kaydı</x:v>
      </x:c>
      <x:c r="E1419" s="16" t="str">
        <x:v>Petra Kapsül Tanışma Paketi (3'lü)</x:v>
      </x:c>
      <x:c r="F1419" s="16" t="str">
        <x:v>Harman – menşe belirtilmemiş</x:v>
      </x:c>
      <x:c r="G1419" s="17" t="str">
        <x:v>Erişilemedi</x:v>
      </x:c>
      <x:c r="H1419" s="16" t="str">
        <x:v>Erişilemedi</x:v>
      </x:c>
      <x:c r="I1419" s="18" t="n">
        <x:v>1057</x:v>
      </x:c>
      <x:c r="J1419" s="18" t="str">
        <x:v>Erişildi</x:v>
      </x:c>
      <x:c r="K1419" s="18" t="str">
        <x:f>IF(AND(ISNUMBER(G1419),ISNUMBER(I1419)),I1419/G1419*1000,"Erişilemedi")</x:f>
        <x:v>Erişilemedi</x:v>
      </x:c>
      <x:c r="L1419" s="16" t="str">
        <x:v>Stokta</x:v>
      </x:c>
      <x:c r="M1419" s="16" t="str">
        <x:v>Harman</x:v>
      </x:c>
      <x:c r="N1419" s="16" t="str">
        <x:v>Shopify ürün akışı</x:v>
      </x:c>
      <x:c r="O1419" s="16" t="str">
        <x:v>Orta</x:v>
      </x:c>
      <x:c r="P1419" s="19" t="n">
        <x:v>46245</x:v>
      </x:c>
      <x:c r="Q1419" s="20" t="str">
        <x:v>https://www.petracoffee.com/products/petra-nitelikli-kapsuller-3lu-paket</x:v>
      </x:c>
      <x:c r="R1419" s="20" t="str">
        <x:v>Öğütüm seçenekleri tekilleştirildi.</x:v>
      </x:c>
    </x:row>
    <x:row r="1420" ht="40" customHeight="1">
      <x:c r="A1420" s="16" t="str">
        <x:v>Petra Coffee</x:v>
      </x:c>
      <x:c r="B1420" s="16" t="str">
        <x:v>İstanbul</x:v>
      </x:c>
      <x:c r="C1420" s="16" t="str">
        <x:v>Doğrulandı</x:v>
      </x:c>
      <x:c r="D1420" s="16" t="str">
        <x:v>Ürün kaydı</x:v>
      </x:c>
      <x:c r="E1420" s="16" t="str">
        <x:v>Sweet Blend Kapsül</x:v>
      </x:c>
      <x:c r="F1420" s="16" t="str">
        <x:v>Harman – menşe belirtilmemiş</x:v>
      </x:c>
      <x:c r="G1420" s="17" t="str">
        <x:v>Erişilemedi</x:v>
      </x:c>
      <x:c r="H1420" s="16" t="str">
        <x:v>Erişilemedi</x:v>
      </x:c>
      <x:c r="I1420" s="18" t="n">
        <x:v>379</x:v>
      </x:c>
      <x:c r="J1420" s="18" t="str">
        <x:v>Erişildi</x:v>
      </x:c>
      <x:c r="K1420" s="18" t="str">
        <x:f>IF(AND(ISNUMBER(G1420),ISNUMBER(I1420)),I1420/G1420*1000,"Erişilemedi")</x:f>
        <x:v>Erişilemedi</x:v>
      </x:c>
      <x:c r="L1420" s="16" t="str">
        <x:v>Stokta</x:v>
      </x:c>
      <x:c r="M1420" s="16" t="str">
        <x:v>Harman</x:v>
      </x:c>
      <x:c r="N1420" s="16" t="str">
        <x:v>Shopify ürün akışı</x:v>
      </x:c>
      <x:c r="O1420" s="16" t="str">
        <x:v>Orta</x:v>
      </x:c>
      <x:c r="P1420" s="19" t="n">
        <x:v>46245</x:v>
      </x:c>
      <x:c r="Q1420" s="20" t="str">
        <x:v>https://www.petracoffee.com/products/sweet-blend-kapsul-10lu</x:v>
      </x:c>
      <x:c r="R1420" s="20" t="str">
        <x:v>Öğütüm seçenekleri tekilleştirildi.</x:v>
      </x:c>
    </x:row>
    <x:row r="1421" ht="40" customHeight="1">
      <x:c r="A1421" s="16" t="str">
        <x:v>Petra Coffee</x:v>
      </x:c>
      <x:c r="B1421" s="16" t="str">
        <x:v>İstanbul</x:v>
      </x:c>
      <x:c r="C1421" s="16" t="str">
        <x:v>Doğrulandı</x:v>
      </x:c>
      <x:c r="D1421" s="16" t="str">
        <x:v>Ürün kaydı</x:v>
      </x:c>
      <x:c r="E1421" s="16" t="str">
        <x:v>Sweet Blend Kapsül</x:v>
      </x:c>
      <x:c r="F1421" s="16" t="str">
        <x:v>Harman – menşe belirtilmemiş</x:v>
      </x:c>
      <x:c r="G1421" s="17" t="str">
        <x:v>Erişilemedi</x:v>
      </x:c>
      <x:c r="H1421" s="16" t="str">
        <x:v>Erişilemedi</x:v>
      </x:c>
      <x:c r="I1421" s="18" t="n">
        <x:v>1024</x:v>
      </x:c>
      <x:c r="J1421" s="18" t="str">
        <x:v>Erişildi</x:v>
      </x:c>
      <x:c r="K1421" s="18" t="str">
        <x:f>IF(AND(ISNUMBER(G1421),ISNUMBER(I1421)),I1421/G1421*1000,"Erişilemedi")</x:f>
        <x:v>Erişilemedi</x:v>
      </x:c>
      <x:c r="L1421" s="16" t="str">
        <x:v>Stokta</x:v>
      </x:c>
      <x:c r="M1421" s="16" t="str">
        <x:v>Harman</x:v>
      </x:c>
      <x:c r="N1421" s="16" t="str">
        <x:v>Shopify ürün akışı</x:v>
      </x:c>
      <x:c r="O1421" s="16" t="str">
        <x:v>Orta</x:v>
      </x:c>
      <x:c r="P1421" s="19" t="n">
        <x:v>46245</x:v>
      </x:c>
      <x:c r="Q1421" s="20" t="str">
        <x:v>https://www.petracoffee.com/products/sweet-blend-kapsul-10lu</x:v>
      </x:c>
      <x:c r="R1421" s="20" t="str">
        <x:v>Öğütüm seçenekleri tekilleştirildi.</x:v>
      </x:c>
    </x:row>
    <x:row r="1422" ht="40" customHeight="1">
      <x:c r="A1422" s="16" t="str">
        <x:v>Petrikor Coffee</x:v>
      </x:c>
      <x:c r="B1422" s="16" t="str">
        <x:v>İzmir</x:v>
      </x:c>
      <x:c r="C1422" s="16" t="str">
        <x:v>Kısmi doğrulama</x:v>
      </x:c>
      <x:c r="D1422" s="16" t="str">
        <x:v>Katalog takip kaydı</x:v>
      </x:c>
      <x:c r="E1422" s="16" t="str">
        <x:v>Ürün kataloğu — ayrıntılı ürün verisine erişilemedi</x:v>
      </x:c>
      <x:c r="F1422" s="16" t="str">
        <x:v>Erişilemedi</x:v>
      </x:c>
      <x:c r="G1422" s="17" t="str">
        <x:v>Erişilemedi</x:v>
      </x:c>
      <x:c r="H1422" s="16" t="str">
        <x:v>Erişilemedi</x:v>
      </x:c>
      <x:c r="I1422" s="18" t="str">
        <x:v>Erişilemedi</x:v>
      </x:c>
      <x:c r="J1422" s="18" t="str">
        <x:v>Erişilemedi</x:v>
      </x:c>
      <x:c r="K1422" s="18" t="str">
        <x:f>IF(AND(ISNUMBER(G1422),ISNUMBER(I1422)),I1422/G1422*1000,"Erişilemedi")</x:f>
        <x:v>Erişilemedi</x:v>
      </x:c>
      <x:c r="L1422" s="16" t="str">
        <x:v>Erişilemedi</x:v>
      </x:c>
      <x:c r="M1422" s="16" t="str">
        <x:v>Katalog/takip kaydı</x:v>
      </x:c>
      <x:c r="N1422" s="16" t="str">
        <x:v>Instagram veya mevcut kaynak</x:v>
      </x:c>
      <x:c r="O1422" s="16" t="str">
        <x:v>Takip gerekli</x:v>
      </x:c>
      <x:c r="P1422" s="19" t="n">
        <x:v>46245</x:v>
      </x:c>
      <x:c r="Q1422" s="20" t="str">
        <x:v>Erişilemedi</x:v>
      </x:c>
      <x:c r="R1422" s="20" t="str">
        <x:v>Ürün adı, gramaj ve fiyat birlikte çıkarılamadı. Bağlantı manuel inceleme için korundu.</x:v>
      </x:c>
    </x:row>
    <x:row r="1423" ht="40" customHeight="1">
      <x:c r="A1423" s="16" t="str">
        <x:v>Poka Coffee Roasters</x:v>
      </x:c>
      <x:c r="B1423" s="16" t="str">
        <x:v>İzmir</x:v>
      </x:c>
      <x:c r="C1423" s="16" t="str">
        <x:v>Doğrulandı</x:v>
      </x:c>
      <x:c r="D1423" s="16" t="str">
        <x:v>Ürün kaydı</x:v>
      </x:c>
      <x:c r="E1423" s="16" t="str">
        <x:v>BREZILYA CERRADO JAGUAR</x:v>
      </x:c>
      <x:c r="F1423" s="16" t="str">
        <x:v>Brezilya</x:v>
      </x:c>
      <x:c r="G1423" s="17" t="str">
        <x:v>Erişilemedi</x:v>
      </x:c>
      <x:c r="H1423" s="16" t="str">
        <x:v>Erişilemedi</x:v>
      </x:c>
      <x:c r="I1423" s="18" t="n">
        <x:v>480</x:v>
      </x:c>
      <x:c r="J1423" s="18" t="str">
        <x:v>Erişildi</x:v>
      </x:c>
      <x:c r="K1423" s="18" t="str">
        <x:f>IF(AND(ISNUMBER(G1423),ISNUMBER(I1423)),I1423/G1423*1000,"Erişilemedi")</x:f>
        <x:v>Erişilemedi</x:v>
      </x:c>
      <x:c r="L1423" s="16" t="str">
        <x:v>Stokta</x:v>
      </x:c>
      <x:c r="M1423" s="16" t="str">
        <x:v>Kahve ürünü</x:v>
      </x:c>
      <x:c r="N1423" s="16" t="str">
        <x:v>WooCommerce Store API</x:v>
      </x:c>
      <x:c r="O1423" s="16" t="str">
        <x:v>Orta</x:v>
      </x:c>
      <x:c r="P1423" s="19" t="n">
        <x:v>46245</x:v>
      </x:c>
      <x:c r="Q1423" s="20" t="str">
        <x:v>https://poka.coffee/urun/yeni-brezilya-cerrado-jaguar/</x:v>
      </x:c>
      <x:c r="R1423" s="20" t="str">
        <x:v>Fiyat veya gramaj eksik olsa da ürün korundu.</x:v>
      </x:c>
    </x:row>
    <x:row r="1424" ht="40" customHeight="1">
      <x:c r="A1424" s="16" t="str">
        <x:v>Poka Coffee Roasters</x:v>
      </x:c>
      <x:c r="B1424" s="16" t="str">
        <x:v>İzmir</x:v>
      </x:c>
      <x:c r="C1424" s="16" t="str">
        <x:v>Doğrulandı</x:v>
      </x:c>
      <x:c r="D1424" s="16" t="str">
        <x:v>Ürün kaydı</x:v>
      </x:c>
      <x:c r="E1424" s="16" t="str">
        <x:v>COLOMBIA SUPREMO MEDELLIN</x:v>
      </x:c>
      <x:c r="F1424" s="16" t="str">
        <x:v>Kolombiya</x:v>
      </x:c>
      <x:c r="G1424" s="17" t="str">
        <x:v>Erişilemedi</x:v>
      </x:c>
      <x:c r="H1424" s="16" t="str">
        <x:v>Erişilemedi</x:v>
      </x:c>
      <x:c r="I1424" s="18" t="n">
        <x:v>480</x:v>
      </x:c>
      <x:c r="J1424" s="18" t="str">
        <x:v>Erişildi</x:v>
      </x:c>
      <x:c r="K1424" s="18" t="str">
        <x:f>IF(AND(ISNUMBER(G1424),ISNUMBER(I1424)),I1424/G1424*1000,"Erişilemedi")</x:f>
        <x:v>Erişilemedi</x:v>
      </x:c>
      <x:c r="L1424" s="16" t="str">
        <x:v>Stokta</x:v>
      </x:c>
      <x:c r="M1424" s="16" t="str">
        <x:v>Kahve ürünü</x:v>
      </x:c>
      <x:c r="N1424" s="16" t="str">
        <x:v>WooCommerce Store API</x:v>
      </x:c>
      <x:c r="O1424" s="16" t="str">
        <x:v>Orta</x:v>
      </x:c>
      <x:c r="P1424" s="19" t="n">
        <x:v>46245</x:v>
      </x:c>
      <x:c r="Q1424" s="20" t="str">
        <x:v>https://poka.coffee/urun/colombia-supremo-medellin/</x:v>
      </x:c>
      <x:c r="R1424" s="20" t="str">
        <x:v>Fiyat veya gramaj eksik olsa da ürün korundu.</x:v>
      </x:c>
    </x:row>
    <x:row r="1425" ht="40" customHeight="1">
      <x:c r="A1425" s="16" t="str">
        <x:v>Poka Coffee Roasters</x:v>
      </x:c>
      <x:c r="B1425" s="16" t="str">
        <x:v>İzmir</x:v>
      </x:c>
      <x:c r="C1425" s="16" t="str">
        <x:v>Doğrulandı</x:v>
      </x:c>
      <x:c r="D1425" s="16" t="str">
        <x:v>Ürün kaydı</x:v>
      </x:c>
      <x:c r="E1425" s="16" t="str">
        <x:v>DECAF (KAFEİNSİZ) MEKSİKA</x:v>
      </x:c>
      <x:c r="F1425" s="16" t="str">
        <x:v>Menşe belirtilmemiş</x:v>
      </x:c>
      <x:c r="G1425" s="17" t="str">
        <x:v>Erişilemedi</x:v>
      </x:c>
      <x:c r="H1425" s="16" t="str">
        <x:v>Erişilemedi</x:v>
      </x:c>
      <x:c r="I1425" s="18" t="n">
        <x:v>520</x:v>
      </x:c>
      <x:c r="J1425" s="18" t="str">
        <x:v>Erişildi</x:v>
      </x:c>
      <x:c r="K1425" s="18" t="str">
        <x:f>IF(AND(ISNUMBER(G1425),ISNUMBER(I1425)),I1425/G1425*1000,"Erişilemedi")</x:f>
        <x:v>Erişilemedi</x:v>
      </x:c>
      <x:c r="L1425" s="16" t="str">
        <x:v>Stokta</x:v>
      </x:c>
      <x:c r="M1425" s="16" t="str">
        <x:v>Kahve ürünü</x:v>
      </x:c>
      <x:c r="N1425" s="16" t="str">
        <x:v>WooCommerce Store API</x:v>
      </x:c>
      <x:c r="O1425" s="16" t="str">
        <x:v>Orta</x:v>
      </x:c>
      <x:c r="P1425" s="19" t="n">
        <x:v>46245</x:v>
      </x:c>
      <x:c r="Q1425" s="20" t="str">
        <x:v>https://poka.coffee/urun/decaf-kafeinsiz-meksika/</x:v>
      </x:c>
      <x:c r="R1425" s="20" t="str">
        <x:v>Fiyat veya gramaj eksik olsa da ürün korundu.</x:v>
      </x:c>
    </x:row>
    <x:row r="1426" ht="40" customHeight="1">
      <x:c r="A1426" s="16" t="str">
        <x:v>Poka Coffee Roasters</x:v>
      </x:c>
      <x:c r="B1426" s="16" t="str">
        <x:v>İzmir</x:v>
      </x:c>
      <x:c r="C1426" s="16" t="str">
        <x:v>Doğrulandı</x:v>
      </x:c>
      <x:c r="D1426" s="16" t="str">
        <x:v>Ürün kaydı</x:v>
      </x:c>
      <x:c r="E1426" s="16" t="str">
        <x:v>ETHIOPIA NENSEBO REFISA</x:v>
      </x:c>
      <x:c r="F1426" s="16" t="str">
        <x:v>Etiyopya</x:v>
      </x:c>
      <x:c r="G1426" s="17" t="str">
        <x:v>Erişilemedi</x:v>
      </x:c>
      <x:c r="H1426" s="16" t="str">
        <x:v>Erişilemedi</x:v>
      </x:c>
      <x:c r="I1426" s="18" t="n">
        <x:v>650</x:v>
      </x:c>
      <x:c r="J1426" s="18" t="str">
        <x:v>Erişildi</x:v>
      </x:c>
      <x:c r="K1426" s="18" t="str">
        <x:f>IF(AND(ISNUMBER(G1426),ISNUMBER(I1426)),I1426/G1426*1000,"Erişilemedi")</x:f>
        <x:v>Erişilemedi</x:v>
      </x:c>
      <x:c r="L1426" s="16" t="str">
        <x:v>Stokta</x:v>
      </x:c>
      <x:c r="M1426" s="16" t="str">
        <x:v>Kahve ürünü</x:v>
      </x:c>
      <x:c r="N1426" s="16" t="str">
        <x:v>WooCommerce Store API</x:v>
      </x:c>
      <x:c r="O1426" s="16" t="str">
        <x:v>Orta</x:v>
      </x:c>
      <x:c r="P1426" s="19" t="n">
        <x:v>46245</x:v>
      </x:c>
      <x:c r="Q1426" s="20" t="str">
        <x:v>https://poka.coffee/urun/yeni-ethiopia-nensebo-refisa/</x:v>
      </x:c>
      <x:c r="R1426" s="20" t="str">
        <x:v>Fiyat veya gramaj eksik olsa da ürün korundu.</x:v>
      </x:c>
    </x:row>
    <x:row r="1427" ht="40" customHeight="1">
      <x:c r="A1427" s="16" t="str">
        <x:v>Poka Coffee Roasters</x:v>
      </x:c>
      <x:c r="B1427" s="16" t="str">
        <x:v>İzmir</x:v>
      </x:c>
      <x:c r="C1427" s="16" t="str">
        <x:v>Doğrulandı</x:v>
      </x:c>
      <x:c r="D1427" s="16" t="str">
        <x:v>Ürün kaydı</x:v>
      </x:c>
      <x:c r="E1427" s="16" t="str">
        <x:v>ETHIOPIA SIDAMA TOP G2</x:v>
      </x:c>
      <x:c r="F1427" s="16" t="str">
        <x:v>Etiyopya</x:v>
      </x:c>
      <x:c r="G1427" s="17" t="str">
        <x:v>Erişilemedi</x:v>
      </x:c>
      <x:c r="H1427" s="16" t="str">
        <x:v>Erişilemedi</x:v>
      </x:c>
      <x:c r="I1427" s="18" t="n">
        <x:v>620</x:v>
      </x:c>
      <x:c r="J1427" s="18" t="str">
        <x:v>Erişildi</x:v>
      </x:c>
      <x:c r="K1427" s="18" t="str">
        <x:f>IF(AND(ISNUMBER(G1427),ISNUMBER(I1427)),I1427/G1427*1000,"Erişilemedi")</x:f>
        <x:v>Erişilemedi</x:v>
      </x:c>
      <x:c r="L1427" s="16" t="str">
        <x:v>Stokta</x:v>
      </x:c>
      <x:c r="M1427" s="16" t="str">
        <x:v>Kahve ürünü</x:v>
      </x:c>
      <x:c r="N1427" s="16" t="str">
        <x:v>WooCommerce Store API</x:v>
      </x:c>
      <x:c r="O1427" s="16" t="str">
        <x:v>Orta</x:v>
      </x:c>
      <x:c r="P1427" s="19" t="n">
        <x:v>46245</x:v>
      </x:c>
      <x:c r="Q1427" s="20" t="str">
        <x:v>https://poka.coffee/urun/yeni-ethiopia-chelchele-gedeb/</x:v>
      </x:c>
      <x:c r="R1427" s="20" t="str">
        <x:v>Fiyat veya gramaj eksik olsa da ürün korundu.</x:v>
      </x:c>
    </x:row>
    <x:row r="1428" ht="40" customHeight="1">
      <x:c r="A1428" s="16" t="str">
        <x:v>Poka Coffee Roasters</x:v>
      </x:c>
      <x:c r="B1428" s="16" t="str">
        <x:v>İzmir</x:v>
      </x:c>
      <x:c r="C1428" s="16" t="str">
        <x:v>Doğrulandı</x:v>
      </x:c>
      <x:c r="D1428" s="16" t="str">
        <x:v>Ürün kaydı</x:v>
      </x:c>
      <x:c r="E1428" s="16" t="str">
        <x:v>GUATEMALA ANTIGUA</x:v>
      </x:c>
      <x:c r="F1428" s="16" t="str">
        <x:v>Guatemala</x:v>
      </x:c>
      <x:c r="G1428" s="17" t="str">
        <x:v>Erişilemedi</x:v>
      </x:c>
      <x:c r="H1428" s="16" t="str">
        <x:v>Erişilemedi</x:v>
      </x:c>
      <x:c r="I1428" s="18" t="n">
        <x:v>530</x:v>
      </x:c>
      <x:c r="J1428" s="18" t="str">
        <x:v>Erişildi</x:v>
      </x:c>
      <x:c r="K1428" s="18" t="str">
        <x:f>IF(AND(ISNUMBER(G1428),ISNUMBER(I1428)),I1428/G1428*1000,"Erişilemedi")</x:f>
        <x:v>Erişilemedi</x:v>
      </x:c>
      <x:c r="L1428" s="16" t="str">
        <x:v>Stokta</x:v>
      </x:c>
      <x:c r="M1428" s="16" t="str">
        <x:v>Kahve ürünü</x:v>
      </x:c>
      <x:c r="N1428" s="16" t="str">
        <x:v>WooCommerce Store API</x:v>
      </x:c>
      <x:c r="O1428" s="16" t="str">
        <x:v>Orta</x:v>
      </x:c>
      <x:c r="P1428" s="19" t="n">
        <x:v>46245</x:v>
      </x:c>
      <x:c r="Q1428" s="20" t="str">
        <x:v>https://poka.coffee/urun/guatemala-antigua/</x:v>
      </x:c>
      <x:c r="R1428" s="20" t="str">
        <x:v>Fiyat veya gramaj eksik olsa da ürün korundu.</x:v>
      </x:c>
    </x:row>
    <x:row r="1429" ht="40" customHeight="1">
      <x:c r="A1429" s="16" t="str">
        <x:v>Poka Coffee Roasters</x:v>
      </x:c>
      <x:c r="B1429" s="16" t="str">
        <x:v>İzmir</x:v>
      </x:c>
      <x:c r="C1429" s="16" t="str">
        <x:v>Doğrulandı</x:v>
      </x:c>
      <x:c r="D1429" s="16" t="str">
        <x:v>Ürün kaydı</x:v>
      </x:c>
      <x:c r="E1429" s="16" t="str">
        <x:v>KENYA NYERI / AA</x:v>
      </x:c>
      <x:c r="F1429" s="16" t="str">
        <x:v>Kenya</x:v>
      </x:c>
      <x:c r="G1429" s="17" t="str">
        <x:v>Erişilemedi</x:v>
      </x:c>
      <x:c r="H1429" s="16" t="str">
        <x:v>Erişilemedi</x:v>
      </x:c>
      <x:c r="I1429" s="18" t="n">
        <x:v>540</x:v>
      </x:c>
      <x:c r="J1429" s="18" t="str">
        <x:v>Erişildi</x:v>
      </x:c>
      <x:c r="K1429" s="18" t="str">
        <x:f>IF(AND(ISNUMBER(G1429),ISNUMBER(I1429)),I1429/G1429*1000,"Erişilemedi")</x:f>
        <x:v>Erişilemedi</x:v>
      </x:c>
      <x:c r="L1429" s="16" t="str">
        <x:v>Stokta</x:v>
      </x:c>
      <x:c r="M1429" s="16" t="str">
        <x:v>Kahve ürünü</x:v>
      </x:c>
      <x:c r="N1429" s="16" t="str">
        <x:v>WooCommerce Store API</x:v>
      </x:c>
      <x:c r="O1429" s="16" t="str">
        <x:v>Orta</x:v>
      </x:c>
      <x:c r="P1429" s="19" t="n">
        <x:v>46245</x:v>
      </x:c>
      <x:c r="Q1429" s="20" t="str">
        <x:v>https://poka.coffee/urun/kenya-nyeri-aa/</x:v>
      </x:c>
      <x:c r="R1429" s="20" t="str">
        <x:v>Fiyat veya gramaj eksik olsa da ürün korundu.</x:v>
      </x:c>
    </x:row>
    <x:row r="1430" ht="40" customHeight="1">
      <x:c r="A1430" s="16" t="str">
        <x:v>Poka Coffee Roasters</x:v>
      </x:c>
      <x:c r="B1430" s="16" t="str">
        <x:v>İzmir</x:v>
      </x:c>
      <x:c r="C1430" s="16" t="str">
        <x:v>Doğrulandı</x:v>
      </x:c>
      <x:c r="D1430" s="16" t="str">
        <x:v>Ürün kaydı</x:v>
      </x:c>
      <x:c r="E1430" s="16" t="str">
        <x:v>NICARAGUA SHG EP SAN JOSE ESTATE</x:v>
      </x:c>
      <x:c r="F1430" s="16" t="str">
        <x:v>Nikaragua</x:v>
      </x:c>
      <x:c r="G1430" s="17" t="str">
        <x:v>Erişilemedi</x:v>
      </x:c>
      <x:c r="H1430" s="16" t="str">
        <x:v>Erişilemedi</x:v>
      </x:c>
      <x:c r="I1430" s="18" t="n">
        <x:v>600</x:v>
      </x:c>
      <x:c r="J1430" s="18" t="str">
        <x:v>Erişildi</x:v>
      </x:c>
      <x:c r="K1430" s="18" t="str">
        <x:f>IF(AND(ISNUMBER(G1430),ISNUMBER(I1430)),I1430/G1430*1000,"Erişilemedi")</x:f>
        <x:v>Erişilemedi</x:v>
      </x:c>
      <x:c r="L1430" s="16" t="str">
        <x:v>Stokta</x:v>
      </x:c>
      <x:c r="M1430" s="16" t="str">
        <x:v>Kahve ürünü</x:v>
      </x:c>
      <x:c r="N1430" s="16" t="str">
        <x:v>WooCommerce Store API</x:v>
      </x:c>
      <x:c r="O1430" s="16" t="str">
        <x:v>Orta</x:v>
      </x:c>
      <x:c r="P1430" s="19" t="n">
        <x:v>46245</x:v>
      </x:c>
      <x:c r="Q1430" s="20" t="str">
        <x:v>https://poka.coffee/urun/nicaragua-shg-ep-san-jose-estate/</x:v>
      </x:c>
      <x:c r="R1430" s="20" t="str">
        <x:v>Fiyat veya gramaj eksik olsa da ürün korundu.</x:v>
      </x:c>
    </x:row>
    <x:row r="1431" ht="40" customHeight="1">
      <x:c r="A1431" s="16" t="str">
        <x:v>Poka Coffee Roasters</x:v>
      </x:c>
      <x:c r="B1431" s="16" t="str">
        <x:v>İzmir</x:v>
      </x:c>
      <x:c r="C1431" s="16" t="str">
        <x:v>Doğrulandı</x:v>
      </x:c>
      <x:c r="D1431" s="16" t="str">
        <x:v>Ürün kaydı</x:v>
      </x:c>
      <x:c r="E1431" s="16" t="str">
        <x:v>PERU CHANCHAMAYO</x:v>
      </x:c>
      <x:c r="F1431" s="16" t="str">
        <x:v>Peru</x:v>
      </x:c>
      <x:c r="G1431" s="17" t="str">
        <x:v>Erişilemedi</x:v>
      </x:c>
      <x:c r="H1431" s="16" t="str">
        <x:v>Erişilemedi</x:v>
      </x:c>
      <x:c r="I1431" s="18" t="n">
        <x:v>530</x:v>
      </x:c>
      <x:c r="J1431" s="18" t="str">
        <x:v>Erişildi</x:v>
      </x:c>
      <x:c r="K1431" s="18" t="str">
        <x:f>IF(AND(ISNUMBER(G1431),ISNUMBER(I1431)),I1431/G1431*1000,"Erişilemedi")</x:f>
        <x:v>Erişilemedi</x:v>
      </x:c>
      <x:c r="L1431" s="16" t="str">
        <x:v>Stokta</x:v>
      </x:c>
      <x:c r="M1431" s="16" t="str">
        <x:v>Kahve ürünü</x:v>
      </x:c>
      <x:c r="N1431" s="16" t="str">
        <x:v>WooCommerce Store API</x:v>
      </x:c>
      <x:c r="O1431" s="16" t="str">
        <x:v>Orta</x:v>
      </x:c>
      <x:c r="P1431" s="19" t="n">
        <x:v>46245</x:v>
      </x:c>
      <x:c r="Q1431" s="20" t="str">
        <x:v>https://poka.coffee/urun/peru-chanchamayo/</x:v>
      </x:c>
      <x:c r="R1431" s="20" t="str">
        <x:v>Fiyat veya gramaj eksik olsa da ürün korundu.</x:v>
      </x:c>
    </x:row>
    <x:row r="1432" ht="40" customHeight="1">
      <x:c r="A1432" s="16" t="str">
        <x:v>Poka Coffee Roasters</x:v>
      </x:c>
      <x:c r="B1432" s="16" t="str">
        <x:v>İzmir</x:v>
      </x:c>
      <x:c r="C1432" s="16" t="str">
        <x:v>Doğrulandı</x:v>
      </x:c>
      <x:c r="D1432" s="16" t="str">
        <x:v>Ürün kaydı</x:v>
      </x:c>
      <x:c r="E1432" s="16" t="str">
        <x:v>Poka Cold Brew (Şişe Dahil)(İçilmeye Hazır)</x:v>
      </x:c>
      <x:c r="F1432" s="16" t="str">
        <x:v>Menşe belirtilmemiş</x:v>
      </x:c>
      <x:c r="G1432" s="17" t="str">
        <x:v>Erişilemedi</x:v>
      </x:c>
      <x:c r="H1432" s="16" t="str">
        <x:v>Erişilemedi</x:v>
      </x:c>
      <x:c r="I1432" s="18" t="n">
        <x:v>375</x:v>
      </x:c>
      <x:c r="J1432" s="18" t="str">
        <x:v>Erişildi</x:v>
      </x:c>
      <x:c r="K1432" s="18" t="str">
        <x:f>IF(AND(ISNUMBER(G1432),ISNUMBER(I1432)),I1432/G1432*1000,"Erişilemedi")</x:f>
        <x:v>Erişilemedi</x:v>
      </x:c>
      <x:c r="L1432" s="16" t="str">
        <x:v>Stokta</x:v>
      </x:c>
      <x:c r="M1432" s="16" t="str">
        <x:v>Kahve ürünü</x:v>
      </x:c>
      <x:c r="N1432" s="16" t="str">
        <x:v>WooCommerce Store API</x:v>
      </x:c>
      <x:c r="O1432" s="16" t="str">
        <x:v>Orta</x:v>
      </x:c>
      <x:c r="P1432" s="19" t="n">
        <x:v>46245</x:v>
      </x:c>
      <x:c r="Q1432" s="20" t="str">
        <x:v>https://poka.coffee/urun/poka-cold-brew-sise-dahilicilmeye-hazir/</x:v>
      </x:c>
      <x:c r="R1432" s="20" t="str">
        <x:v>Fiyat veya gramaj eksik olsa da ürün korundu.</x:v>
      </x:c>
    </x:row>
    <x:row r="1433" ht="40" customHeight="1">
      <x:c r="A1433" s="16" t="str">
        <x:v>Poka Coffee Roasters</x:v>
      </x:c>
      <x:c r="B1433" s="16" t="str">
        <x:v>İzmir</x:v>
      </x:c>
      <x:c r="C1433" s="16" t="str">
        <x:v>Doğrulandı</x:v>
      </x:c>
      <x:c r="D1433" s="16" t="str">
        <x:v>Ürün kaydı</x:v>
      </x:c>
      <x:c r="E1433" s="16" t="str">
        <x:v>POKA ESPRESSO BLEND</x:v>
      </x:c>
      <x:c r="F1433" s="16" t="str">
        <x:v>Etiyopya | Kolombiya | Peru</x:v>
      </x:c>
      <x:c r="G1433" s="17" t="str">
        <x:v>Erişilemedi</x:v>
      </x:c>
      <x:c r="H1433" s="16" t="str">
        <x:v>Erişilemedi</x:v>
      </x:c>
      <x:c r="I1433" s="18" t="n">
        <x:v>480</x:v>
      </x:c>
      <x:c r="J1433" s="18" t="str">
        <x:v>Erişildi</x:v>
      </x:c>
      <x:c r="K1433" s="18" t="str">
        <x:f>IF(AND(ISNUMBER(G1433),ISNUMBER(I1433)),I1433/G1433*1000,"Erişilemedi")</x:f>
        <x:v>Erişilemedi</x:v>
      </x:c>
      <x:c r="L1433" s="16" t="str">
        <x:v>Stokta</x:v>
      </x:c>
      <x:c r="M1433" s="16" t="str">
        <x:v>Harman</x:v>
      </x:c>
      <x:c r="N1433" s="16" t="str">
        <x:v>WooCommerce Store API</x:v>
      </x:c>
      <x:c r="O1433" s="16" t="str">
        <x:v>Orta</x:v>
      </x:c>
      <x:c r="P1433" s="19" t="n">
        <x:v>46245</x:v>
      </x:c>
      <x:c r="Q1433" s="20" t="str">
        <x:v>https://poka.coffee/urun/espresso-blend/</x:v>
      </x:c>
      <x:c r="R1433" s="20" t="str">
        <x:v>Fiyat veya gramaj eksik olsa da ürün korundu.</x:v>
      </x:c>
    </x:row>
    <x:row r="1434" ht="40" customHeight="1">
      <x:c r="A1434" s="16" t="str">
        <x:v>Poka Coffee Roasters</x:v>
      </x:c>
      <x:c r="B1434" s="16" t="str">
        <x:v>İzmir</x:v>
      </x:c>
      <x:c r="C1434" s="16" t="str">
        <x:v>Doğrulandı</x:v>
      </x:c>
      <x:c r="D1434" s="16" t="str">
        <x:v>Ürün kaydı</x:v>
      </x:c>
      <x:c r="E1434" s="16" t="str">
        <x:v>POKA FİLTRE KAHVE</x:v>
      </x:c>
      <x:c r="F1434" s="16" t="str">
        <x:v>Menşe belirtilmemiş</x:v>
      </x:c>
      <x:c r="G1434" s="17" t="str">
        <x:v>Erişilemedi</x:v>
      </x:c>
      <x:c r="H1434" s="16" t="str">
        <x:v>Erişilemedi</x:v>
      </x:c>
      <x:c r="I1434" s="18" t="n">
        <x:v>480</x:v>
      </x:c>
      <x:c r="J1434" s="18" t="str">
        <x:v>Erişildi</x:v>
      </x:c>
      <x:c r="K1434" s="18" t="str">
        <x:f>IF(AND(ISNUMBER(G1434),ISNUMBER(I1434)),I1434/G1434*1000,"Erişilemedi")</x:f>
        <x:v>Erişilemedi</x:v>
      </x:c>
      <x:c r="L1434" s="16" t="str">
        <x:v>Stokta</x:v>
      </x:c>
      <x:c r="M1434" s="16" t="str">
        <x:v>Kahve ürünü</x:v>
      </x:c>
      <x:c r="N1434" s="16" t="str">
        <x:v>WooCommerce Store API</x:v>
      </x:c>
      <x:c r="O1434" s="16" t="str">
        <x:v>Orta</x:v>
      </x:c>
      <x:c r="P1434" s="19" t="n">
        <x:v>46245</x:v>
      </x:c>
      <x:c r="Q1434" s="20" t="str">
        <x:v>https://poka.coffee/urun/poka-filtre-kahve/</x:v>
      </x:c>
      <x:c r="R1434" s="20" t="str">
        <x:v>Fiyat veya gramaj eksik olsa da ürün korundu.</x:v>
      </x:c>
    </x:row>
    <x:row r="1435" ht="40" customHeight="1">
      <x:c r="A1435" s="16" t="str">
        <x:v>Poka Coffee Roasters</x:v>
      </x:c>
      <x:c r="B1435" s="16" t="str">
        <x:v>İzmir</x:v>
      </x:c>
      <x:c r="C1435" s="16" t="str">
        <x:v>Doğrulandı</x:v>
      </x:c>
      <x:c r="D1435" s="16" t="str">
        <x:v>Ürün kaydı</x:v>
      </x:c>
      <x:c r="E1435" s="16" t="str">
        <x:v>Poka Kızı Kahve Kupası</x:v>
      </x:c>
      <x:c r="F1435" s="16" t="str">
        <x:v>Menşe belirtilmemiş</x:v>
      </x:c>
      <x:c r="G1435" s="17" t="str">
        <x:v>Erişilemedi</x:v>
      </x:c>
      <x:c r="H1435" s="16" t="str">
        <x:v>Erişilemedi</x:v>
      </x:c>
      <x:c r="I1435" s="18" t="n">
        <x:v>215</x:v>
      </x:c>
      <x:c r="J1435" s="18" t="str">
        <x:v>Erişildi</x:v>
      </x:c>
      <x:c r="K1435" s="18" t="str">
        <x:f>IF(AND(ISNUMBER(G1435),ISNUMBER(I1435)),I1435/G1435*1000,"Erişilemedi")</x:f>
        <x:v>Erişilemedi</x:v>
      </x:c>
      <x:c r="L1435" s="16" t="str">
        <x:v>Stokta</x:v>
      </x:c>
      <x:c r="M1435" s="16" t="str">
        <x:v>Kahve ürünü</x:v>
      </x:c>
      <x:c r="N1435" s="16" t="str">
        <x:v>WooCommerce Store API</x:v>
      </x:c>
      <x:c r="O1435" s="16" t="str">
        <x:v>Orta</x:v>
      </x:c>
      <x:c r="P1435" s="19" t="n">
        <x:v>46245</x:v>
      </x:c>
      <x:c r="Q1435" s="20" t="str">
        <x:v>https://poka.coffee/urun/poka-kizi-kahve-kupasi/</x:v>
      </x:c>
      <x:c r="R1435" s="20" t="str">
        <x:v>Fiyat veya gramaj eksik olsa da ürün korundu.</x:v>
      </x:c>
    </x:row>
    <x:row r="1436" ht="40" customHeight="1">
      <x:c r="A1436" s="16" t="str">
        <x:v>Poka Coffee Roasters</x:v>
      </x:c>
      <x:c r="B1436" s="16" t="str">
        <x:v>İzmir</x:v>
      </x:c>
      <x:c r="C1436" s="16" t="str">
        <x:v>Doğrulandı</x:v>
      </x:c>
      <x:c r="D1436" s="16" t="str">
        <x:v>Ürün kaydı</x:v>
      </x:c>
      <x:c r="E1436" s="16" t="str">
        <x:v>Toptan Giriş</x:v>
      </x:c>
      <x:c r="F1436" s="16" t="str">
        <x:v>Menşe belirtilmemiş</x:v>
      </x:c>
      <x:c r="G1436" s="17" t="str">
        <x:v>Erişilemedi</x:v>
      </x:c>
      <x:c r="H1436" s="16" t="str">
        <x:v>Erişilemedi</x:v>
      </x:c>
      <x:c r="I1436" s="18" t="n">
        <x:v>12877.5</x:v>
      </x:c>
      <x:c r="J1436" s="18" t="str">
        <x:v>Erişildi</x:v>
      </x:c>
      <x:c r="K1436" s="18" t="str">
        <x:f>IF(AND(ISNUMBER(G1436),ISNUMBER(I1436)),I1436/G1436*1000,"Erişilemedi")</x:f>
        <x:v>Erişilemedi</x:v>
      </x:c>
      <x:c r="L1436" s="16" t="str">
        <x:v>Stokta</x:v>
      </x:c>
      <x:c r="M1436" s="16" t="str">
        <x:v>Kahve ürünü</x:v>
      </x:c>
      <x:c r="N1436" s="16" t="str">
        <x:v>WooCommerce Store API</x:v>
      </x:c>
      <x:c r="O1436" s="16" t="str">
        <x:v>Orta</x:v>
      </x:c>
      <x:c r="P1436" s="19" t="n">
        <x:v>46245</x:v>
      </x:c>
      <x:c r="Q1436" s="20" t="str">
        <x:v>https://poka.coffee/urun/toptan-giris/</x:v>
      </x:c>
      <x:c r="R1436" s="20" t="str">
        <x:v>Fiyat veya gramaj eksik olsa da ürün korundu.</x:v>
      </x:c>
    </x:row>
    <x:row r="1437" ht="40" customHeight="1">
      <x:c r="A1437" s="16" t="str">
        <x:v>Poka Coffee Roasters</x:v>
      </x:c>
      <x:c r="B1437" s="16" t="str">
        <x:v>İzmir</x:v>
      </x:c>
      <x:c r="C1437" s="16" t="str">
        <x:v>Doğrulandı</x:v>
      </x:c>
      <x:c r="D1437" s="16" t="str">
        <x:v>Ürün kaydı</x:v>
      </x:c>
      <x:c r="E1437" s="16" t="str">
        <x:v>TÜRK KAHVESİ HARMANI</x:v>
      </x:c>
      <x:c r="F1437" s="16" t="str">
        <x:v>Etiyopya | Kolombiya | Brezilya</x:v>
      </x:c>
      <x:c r="G1437" s="17" t="str">
        <x:v>Erişilemedi</x:v>
      </x:c>
      <x:c r="H1437" s="16" t="str">
        <x:v>Erişilemedi</x:v>
      </x:c>
      <x:c r="I1437" s="18" t="n">
        <x:v>400</x:v>
      </x:c>
      <x:c r="J1437" s="18" t="str">
        <x:v>Erişildi</x:v>
      </x:c>
      <x:c r="K1437" s="18" t="str">
        <x:f>IF(AND(ISNUMBER(G1437),ISNUMBER(I1437)),I1437/G1437*1000,"Erişilemedi")</x:f>
        <x:v>Erişilemedi</x:v>
      </x:c>
      <x:c r="L1437" s="16" t="str">
        <x:v>Stokta</x:v>
      </x:c>
      <x:c r="M1437" s="16" t="str">
        <x:v>Harman</x:v>
      </x:c>
      <x:c r="N1437" s="16" t="str">
        <x:v>WooCommerce Store API</x:v>
      </x:c>
      <x:c r="O1437" s="16" t="str">
        <x:v>Orta</x:v>
      </x:c>
      <x:c r="P1437" s="19" t="n">
        <x:v>46245</x:v>
      </x:c>
      <x:c r="Q1437" s="20" t="str">
        <x:v>https://poka.coffee/urun/turk-kahvesi-harmani/</x:v>
      </x:c>
      <x:c r="R1437" s="20" t="str">
        <x:v>Fiyat veya gramaj eksik olsa da ürün korundu.</x:v>
      </x:c>
    </x:row>
    <x:row r="1438" ht="40" customHeight="1">
      <x:c r="A1438" s="16" t="str">
        <x:v>Poka Coffee Roasters</x:v>
      </x:c>
      <x:c r="B1438" s="16" t="str">
        <x:v>İzmir</x:v>
      </x:c>
      <x:c r="C1438" s="16" t="str">
        <x:v>Doğrulandı</x:v>
      </x:c>
      <x:c r="D1438" s="16" t="str">
        <x:v>Ürün kaydı</x:v>
      </x:c>
      <x:c r="E1438" s="16" t="str">
        <x:v>YENİ BREZİLYA FAZENDA INES ANAEROBİK</x:v>
      </x:c>
      <x:c r="F1438" s="16" t="str">
        <x:v>Brezilya</x:v>
      </x:c>
      <x:c r="G1438" s="17" t="n">
        <x:v>25</x:v>
      </x:c>
      <x:c r="H1438" s="16" t="str">
        <x:v>Erişildi</x:v>
      </x:c>
      <x:c r="I1438" s="18" t="n">
        <x:v>600</x:v>
      </x:c>
      <x:c r="J1438" s="18" t="str">
        <x:v>Erişildi</x:v>
      </x:c>
      <x:c r="K1438" s="18" t="n">
        <x:f>IF(AND(ISNUMBER(G1438),ISNUMBER(I1438)),I1438/G1438*1000,"Erişilemedi")</x:f>
        <x:v>24000</x:v>
      </x:c>
      <x:c r="L1438" s="16" t="str">
        <x:v>Stokta</x:v>
      </x:c>
      <x:c r="M1438" s="16" t="str">
        <x:v>Tek köken/ürün</x:v>
      </x:c>
      <x:c r="N1438" s="16" t="str">
        <x:v>WooCommerce Store API</x:v>
      </x:c>
      <x:c r="O1438" s="16" t="str">
        <x:v>Yüksek</x:v>
      </x:c>
      <x:c r="P1438" s="19" t="n">
        <x:v>46245</x:v>
      </x:c>
      <x:c r="Q1438" s="20" t="str">
        <x:v>https://poka.coffee/urun/yeni-brezilya-fazenda-ines-anaerobik/</x:v>
      </x:c>
      <x:c r="R1438" s="20" t="str">
        <x:v>Başlık/açıklamada açık gramaj bulunan aktif ürün.</x:v>
      </x:c>
    </x:row>
    <x:row r="1439" ht="40" customHeight="1">
      <x:c r="A1439" s="16" t="str">
        <x:v>Poka Coffee Roasters</x:v>
      </x:c>
      <x:c r="B1439" s="16" t="str">
        <x:v>İzmir</x:v>
      </x:c>
      <x:c r="C1439" s="16" t="str">
        <x:v>Doğrulandı</x:v>
      </x:c>
      <x:c r="D1439" s="16" t="str">
        <x:v>Ürün kaydı</x:v>
      </x:c>
      <x:c r="E1439" s="16" t="str">
        <x:v>YENİ COLOMBIA BOURBON WHISKEY BARREL NATURAL</x:v>
      </x:c>
      <x:c r="F1439" s="16" t="str">
        <x:v>Kolombiya</x:v>
      </x:c>
      <x:c r="G1439" s="17" t="str">
        <x:v>Erişilemedi</x:v>
      </x:c>
      <x:c r="H1439" s="16" t="str">
        <x:v>Erişilemedi</x:v>
      </x:c>
      <x:c r="I1439" s="18" t="n">
        <x:v>600</x:v>
      </x:c>
      <x:c r="J1439" s="18" t="str">
        <x:v>Erişildi</x:v>
      </x:c>
      <x:c r="K1439" s="18" t="str">
        <x:f>IF(AND(ISNUMBER(G1439),ISNUMBER(I1439)),I1439/G1439*1000,"Erişilemedi")</x:f>
        <x:v>Erişilemedi</x:v>
      </x:c>
      <x:c r="L1439" s="16" t="str">
        <x:v>Stokta</x:v>
      </x:c>
      <x:c r="M1439" s="16" t="str">
        <x:v>Kahve ürünü</x:v>
      </x:c>
      <x:c r="N1439" s="16" t="str">
        <x:v>WooCommerce Store API</x:v>
      </x:c>
      <x:c r="O1439" s="16" t="str">
        <x:v>Orta</x:v>
      </x:c>
      <x:c r="P1439" s="19" t="n">
        <x:v>46245</x:v>
      </x:c>
      <x:c r="Q1439" s="20" t="str">
        <x:v>https://poka.coffee/urun/yeni-colombia-narino-anaerobic/</x:v>
      </x:c>
      <x:c r="R1439" s="20" t="str">
        <x:v>Fiyat veya gramaj eksik olsa da ürün korundu.</x:v>
      </x:c>
    </x:row>
    <x:row r="1440" ht="40" customHeight="1">
      <x:c r="A1440" s="16" t="str">
        <x:v>Posa Coffee</x:v>
      </x:c>
      <x:c r="B1440" s="16" t="str">
        <x:v>İstanbul</x:v>
      </x:c>
      <x:c r="C1440" s="16" t="str">
        <x:v>Doğrulandı</x:v>
      </x:c>
      <x:c r="D1440" s="16" t="str">
        <x:v>Ürün kaydı</x:v>
      </x:c>
      <x:c r="E1440" s="16" t="str">
        <x:v>Brezilya - Mogiana</x:v>
      </x:c>
      <x:c r="F1440" s="16" t="str">
        <x:v>Brezilya</x:v>
      </x:c>
      <x:c r="G1440" s="17" t="n">
        <x:v>200</x:v>
      </x:c>
      <x:c r="H1440" s="16" t="str">
        <x:v>Erişildi</x:v>
      </x:c>
      <x:c r="I1440" s="18" t="n">
        <x:v>390</x:v>
      </x:c>
      <x:c r="J1440" s="18" t="str">
        <x:v>Erişildi</x:v>
      </x:c>
      <x:c r="K1440" s="18" t="n">
        <x:f>IF(AND(ISNUMBER(G1440),ISNUMBER(I1440)),I1440/G1440*1000,"Erişilemedi")</x:f>
        <x:v>1950</x:v>
      </x:c>
      <x:c r="L1440" s="16" t="str">
        <x:v>Stokta</x:v>
      </x:c>
      <x:c r="M1440" s="16" t="str">
        <x:v>Tek köken/ürün</x:v>
      </x:c>
      <x:c r="N1440" s="16" t="str">
        <x:v>Shopify ürün akışı</x:v>
      </x:c>
      <x:c r="O1440" s="16" t="str">
        <x:v>Yüksek</x:v>
      </x:c>
      <x:c r="P1440" s="19" t="n">
        <x:v>46245</x:v>
      </x:c>
      <x:c r="Q1440" s="20" t="str">
        <x:v>https://posakahve.com/products/el-salvador-finca-gabriela-kopya</x:v>
      </x:c>
      <x:c r="R1440" s="20" t="str">
        <x:v>Öğütüm seçenekleri aynı gramaj ve fiyatta tekilleştirildi.</x:v>
      </x:c>
    </x:row>
    <x:row r="1441" ht="40" customHeight="1">
      <x:c r="A1441" s="16" t="str">
        <x:v>Posa Coffee</x:v>
      </x:c>
      <x:c r="B1441" s="16" t="str">
        <x:v>İstanbul</x:v>
      </x:c>
      <x:c r="C1441" s="16" t="str">
        <x:v>Doğrulandı</x:v>
      </x:c>
      <x:c r="D1441" s="16" t="str">
        <x:v>Ürün kaydı</x:v>
      </x:c>
      <x:c r="E1441" s="16" t="str">
        <x:v>Brezilya - Mogiana</x:v>
      </x:c>
      <x:c r="F1441" s="16" t="str">
        <x:v>Brezilya</x:v>
      </x:c>
      <x:c r="G1441" s="17" t="n">
        <x:v>1000</x:v>
      </x:c>
      <x:c r="H1441" s="16" t="str">
        <x:v>Erişildi</x:v>
      </x:c>
      <x:c r="I1441" s="18" t="n">
        <x:v>1750</x:v>
      </x:c>
      <x:c r="J1441" s="18" t="str">
        <x:v>Erişildi</x:v>
      </x:c>
      <x:c r="K1441" s="18" t="n">
        <x:f>IF(AND(ISNUMBER(G1441),ISNUMBER(I1441)),I1441/G1441*1000,"Erişilemedi")</x:f>
        <x:v>1750</x:v>
      </x:c>
      <x:c r="L1441" s="16" t="str">
        <x:v>Stokta</x:v>
      </x:c>
      <x:c r="M1441" s="16" t="str">
        <x:v>Tek köken/ürün</x:v>
      </x:c>
      <x:c r="N1441" s="16" t="str">
        <x:v>Shopify ürün akışı</x:v>
      </x:c>
      <x:c r="O1441" s="16" t="str">
        <x:v>Yüksek</x:v>
      </x:c>
      <x:c r="P1441" s="19" t="n">
        <x:v>46245</x:v>
      </x:c>
      <x:c r="Q1441" s="20" t="str">
        <x:v>https://posakahve.com/products/el-salvador-finca-gabriela-kopya</x:v>
      </x:c>
      <x:c r="R1441" s="20" t="str">
        <x:v>Öğütüm seçenekleri aynı gramaj ve fiyatta tekilleştirildi.</x:v>
      </x:c>
    </x:row>
    <x:row r="1442" ht="40" customHeight="1">
      <x:c r="A1442" s="16" t="str">
        <x:v>Posa Coffee</x:v>
      </x:c>
      <x:c r="B1442" s="16" t="str"/>
      <x:c r="C1442" s="16" t="str">
        <x:v>Pilot doğrulaması</x:v>
      </x:c>
      <x:c r="D1442" s="16" t="str">
        <x:v>Ürün kaydı</x:v>
      </x:c>
      <x:c r="E1442" s="16" t="str">
        <x:v>Brezilya Mogiana</x:v>
      </x:c>
      <x:c r="F1442" s="16" t="str">
        <x:v>Brezilya</x:v>
      </x:c>
      <x:c r="G1442" s="17" t="n">
        <x:v>200</x:v>
      </x:c>
      <x:c r="H1442" s="16" t="str">
        <x:v>Erişildi</x:v>
      </x:c>
      <x:c r="I1442" s="18" t="n">
        <x:v>390</x:v>
      </x:c>
      <x:c r="J1442" s="18" t="str">
        <x:v>Erişildi</x:v>
      </x:c>
      <x:c r="K1442" s="18" t="n">
        <x:f>IF(AND(ISNUMBER(G1442),ISNUMBER(I1442)),I1442/G1442*1000,"Erişilemedi")</x:f>
        <x:v>1950</x:v>
      </x:c>
      <x:c r="L1442" s="16" t="str">
        <x:v>Stokta</x:v>
      </x:c>
      <x:c r="M1442" s="16" t="str">
        <x:v>Tek köken</x:v>
      </x:c>
      <x:c r="N1442" s="16" t="str">
        <x:v>Pilot manuel/API doğrulaması</x:v>
      </x:c>
      <x:c r="O1442" s="16" t="str">
        <x:v>Yüksek</x:v>
      </x:c>
      <x:c r="P1442" s="19" t="n">
        <x:v>46245</x:v>
      </x:c>
      <x:c r="Q1442" s="20" t="str">
        <x:v>https://posakahve.com/products.json?limit=250</x:v>
      </x:c>
      <x:c r="R1442" s="20" t="str"/>
    </x:row>
    <x:row r="1443" ht="40" customHeight="1">
      <x:c r="A1443" s="16" t="str">
        <x:v>Posa Coffee</x:v>
      </x:c>
      <x:c r="B1443" s="16" t="str"/>
      <x:c r="C1443" s="16" t="str">
        <x:v>Pilot doğrulaması</x:v>
      </x:c>
      <x:c r="D1443" s="16" t="str">
        <x:v>Ürün kaydı</x:v>
      </x:c>
      <x:c r="E1443" s="16" t="str">
        <x:v>Brezilya Mogiana</x:v>
      </x:c>
      <x:c r="F1443" s="16" t="str">
        <x:v>Brezilya</x:v>
      </x:c>
      <x:c r="G1443" s="17" t="n">
        <x:v>1000</x:v>
      </x:c>
      <x:c r="H1443" s="16" t="str">
        <x:v>Erişildi</x:v>
      </x:c>
      <x:c r="I1443" s="18" t="n">
        <x:v>1750</x:v>
      </x:c>
      <x:c r="J1443" s="18" t="str">
        <x:v>Erişildi</x:v>
      </x:c>
      <x:c r="K1443" s="18" t="n">
        <x:f>IF(AND(ISNUMBER(G1443),ISNUMBER(I1443)),I1443/G1443*1000,"Erişilemedi")</x:f>
        <x:v>1750</x:v>
      </x:c>
      <x:c r="L1443" s="16" t="str">
        <x:v>Stokta</x:v>
      </x:c>
      <x:c r="M1443" s="16" t="str">
        <x:v>Tek köken</x:v>
      </x:c>
      <x:c r="N1443" s="16" t="str">
        <x:v>Pilot manuel/API doğrulaması</x:v>
      </x:c>
      <x:c r="O1443" s="16" t="str">
        <x:v>Yüksek</x:v>
      </x:c>
      <x:c r="P1443" s="19" t="n">
        <x:v>46245</x:v>
      </x:c>
      <x:c r="Q1443" s="20" t="str">
        <x:v>https://posakahve.com/products.json?limit=250</x:v>
      </x:c>
      <x:c r="R1443" s="20" t="str"/>
    </x:row>
    <x:row r="1444" ht="40" customHeight="1">
      <x:c r="A1444" s="16" t="str">
        <x:v>Posa Coffee</x:v>
      </x:c>
      <x:c r="B1444" s="16" t="str">
        <x:v>İstanbul</x:v>
      </x:c>
      <x:c r="C1444" s="16" t="str">
        <x:v>Doğrulandı</x:v>
      </x:c>
      <x:c r="D1444" s="16" t="str">
        <x:v>Ürün kaydı</x:v>
      </x:c>
      <x:c r="E1444" s="16" t="str">
        <x:v>Crocodile Blend</x:v>
      </x:c>
      <x:c r="F1444" s="16" t="str">
        <x:v>Harman – menşe belirtilmemiş</x:v>
      </x:c>
      <x:c r="G1444" s="17" t="n">
        <x:v>200</x:v>
      </x:c>
      <x:c r="H1444" s="16" t="str">
        <x:v>Erişildi</x:v>
      </x:c>
      <x:c r="I1444" s="18" t="n">
        <x:v>370</x:v>
      </x:c>
      <x:c r="J1444" s="18" t="str">
        <x:v>Erişildi</x:v>
      </x:c>
      <x:c r="K1444" s="18" t="n">
        <x:f>IF(AND(ISNUMBER(G1444),ISNUMBER(I1444)),I1444/G1444*1000,"Erişilemedi")</x:f>
        <x:v>1850</x:v>
      </x:c>
      <x:c r="L1444" s="16" t="str">
        <x:v>Stokta</x:v>
      </x:c>
      <x:c r="M1444" s="16" t="str">
        <x:v>Harman</x:v>
      </x:c>
      <x:c r="N1444" s="16" t="str">
        <x:v>Shopify ürün akışı</x:v>
      </x:c>
      <x:c r="O1444" s="16" t="str">
        <x:v>Yüksek</x:v>
      </x:c>
      <x:c r="P1444" s="19" t="n">
        <x:v>46245</x:v>
      </x:c>
      <x:c r="Q1444" s="20" t="str">
        <x:v>https://posakahve.com/products/crocodile-blend</x:v>
      </x:c>
      <x:c r="R1444" s="20" t="str">
        <x:v>Öğütüm seçenekleri aynı gramaj ve fiyatta tekilleştirildi.</x:v>
      </x:c>
    </x:row>
    <x:row r="1445" ht="40" customHeight="1">
      <x:c r="A1445" s="16" t="str">
        <x:v>Posa Coffee</x:v>
      </x:c>
      <x:c r="B1445" s="16" t="str">
        <x:v>İstanbul</x:v>
      </x:c>
      <x:c r="C1445" s="16" t="str">
        <x:v>Doğrulandı</x:v>
      </x:c>
      <x:c r="D1445" s="16" t="str">
        <x:v>Ürün kaydı</x:v>
      </x:c>
      <x:c r="E1445" s="16" t="str">
        <x:v>Crocodile Blend</x:v>
      </x:c>
      <x:c r="F1445" s="16" t="str">
        <x:v>Harman – menşe belirtilmemiş</x:v>
      </x:c>
      <x:c r="G1445" s="17" t="n">
        <x:v>1000</x:v>
      </x:c>
      <x:c r="H1445" s="16" t="str">
        <x:v>Erişildi</x:v>
      </x:c>
      <x:c r="I1445" s="18" t="n">
        <x:v>1350</x:v>
      </x:c>
      <x:c r="J1445" s="18" t="str">
        <x:v>Erişildi</x:v>
      </x:c>
      <x:c r="K1445" s="18" t="n">
        <x:f>IF(AND(ISNUMBER(G1445),ISNUMBER(I1445)),I1445/G1445*1000,"Erişilemedi")</x:f>
        <x:v>1350</x:v>
      </x:c>
      <x:c r="L1445" s="16" t="str">
        <x:v>Stokta</x:v>
      </x:c>
      <x:c r="M1445" s="16" t="str">
        <x:v>Harman</x:v>
      </x:c>
      <x:c r="N1445" s="16" t="str">
        <x:v>Shopify ürün akışı</x:v>
      </x:c>
      <x:c r="O1445" s="16" t="str">
        <x:v>Yüksek</x:v>
      </x:c>
      <x:c r="P1445" s="19" t="n">
        <x:v>46245</x:v>
      </x:c>
      <x:c r="Q1445" s="20" t="str">
        <x:v>https://posakahve.com/products/crocodile-blend</x:v>
      </x:c>
      <x:c r="R1445" s="20" t="str">
        <x:v>Öğütüm seçenekleri aynı gramaj ve fiyatta tekilleştirildi.</x:v>
      </x:c>
    </x:row>
    <x:row r="1446" ht="40" customHeight="1">
      <x:c r="A1446" s="16" t="str">
        <x:v>Posa Coffee</x:v>
      </x:c>
      <x:c r="B1446" s="16" t="str">
        <x:v>İstanbul</x:v>
      </x:c>
      <x:c r="C1446" s="16" t="str">
        <x:v>Doğrulandı</x:v>
      </x:c>
      <x:c r="D1446" s="16" t="str">
        <x:v>Ürün kaydı</x:v>
      </x:c>
      <x:c r="E1446" s="16" t="str">
        <x:v>El Salvador - Finca Gabriela</x:v>
      </x:c>
      <x:c r="F1446" s="16" t="str">
        <x:v>El Salvador</x:v>
      </x:c>
      <x:c r="G1446" s="17" t="n">
        <x:v>200</x:v>
      </x:c>
      <x:c r="H1446" s="16" t="str">
        <x:v>Erişildi</x:v>
      </x:c>
      <x:c r="I1446" s="18" t="n">
        <x:v>450</x:v>
      </x:c>
      <x:c r="J1446" s="18" t="str">
        <x:v>Erişildi</x:v>
      </x:c>
      <x:c r="K1446" s="18" t="n">
        <x:f>IF(AND(ISNUMBER(G1446),ISNUMBER(I1446)),I1446/G1446*1000,"Erişilemedi")</x:f>
        <x:v>2250</x:v>
      </x:c>
      <x:c r="L1446" s="16" t="str">
        <x:v>Stokta</x:v>
      </x:c>
      <x:c r="M1446" s="16" t="str">
        <x:v>Tek köken/ürün</x:v>
      </x:c>
      <x:c r="N1446" s="16" t="str">
        <x:v>Shopify ürün akışı</x:v>
      </x:c>
      <x:c r="O1446" s="16" t="str">
        <x:v>Yüksek</x:v>
      </x:c>
      <x:c r="P1446" s="19" t="n">
        <x:v>46245</x:v>
      </x:c>
      <x:c r="Q1446" s="20" t="str">
        <x:v>https://posakahve.com/products/kolombiya-cundinamarca-1</x:v>
      </x:c>
      <x:c r="R1446" s="20" t="str">
        <x:v>Öğütüm seçenekleri aynı gramaj ve fiyatta tekilleştirildi.</x:v>
      </x:c>
    </x:row>
    <x:row r="1447" ht="40" customHeight="1">
      <x:c r="A1447" s="16" t="str">
        <x:v>Posa Coffee</x:v>
      </x:c>
      <x:c r="B1447" s="16" t="str">
        <x:v>İstanbul</x:v>
      </x:c>
      <x:c r="C1447" s="16" t="str">
        <x:v>Doğrulandı</x:v>
      </x:c>
      <x:c r="D1447" s="16" t="str">
        <x:v>Ürün kaydı</x:v>
      </x:c>
      <x:c r="E1447" s="16" t="str">
        <x:v>El Salvador - Finca Gabriela</x:v>
      </x:c>
      <x:c r="F1447" s="16" t="str">
        <x:v>El Salvador</x:v>
      </x:c>
      <x:c r="G1447" s="17" t="n">
        <x:v>1000</x:v>
      </x:c>
      <x:c r="H1447" s="16" t="str">
        <x:v>Erişildi</x:v>
      </x:c>
      <x:c r="I1447" s="18" t="n">
        <x:v>1600</x:v>
      </x:c>
      <x:c r="J1447" s="18" t="str">
        <x:v>Erişildi</x:v>
      </x:c>
      <x:c r="K1447" s="18" t="n">
        <x:f>IF(AND(ISNUMBER(G1447),ISNUMBER(I1447)),I1447/G1447*1000,"Erişilemedi")</x:f>
        <x:v>1600</x:v>
      </x:c>
      <x:c r="L1447" s="16" t="str">
        <x:v>Stokta</x:v>
      </x:c>
      <x:c r="M1447" s="16" t="str">
        <x:v>Tek köken/ürün</x:v>
      </x:c>
      <x:c r="N1447" s="16" t="str">
        <x:v>Shopify ürün akışı</x:v>
      </x:c>
      <x:c r="O1447" s="16" t="str">
        <x:v>Yüksek</x:v>
      </x:c>
      <x:c r="P1447" s="19" t="n">
        <x:v>46245</x:v>
      </x:c>
      <x:c r="Q1447" s="20" t="str">
        <x:v>https://posakahve.com/products/kolombiya-cundinamarca-1</x:v>
      </x:c>
      <x:c r="R1447" s="20" t="str">
        <x:v>Öğütüm seçenekleri aynı gramaj ve fiyatta tekilleştirildi.</x:v>
      </x:c>
    </x:row>
    <x:row r="1448" ht="40" customHeight="1">
      <x:c r="A1448" s="16" t="str">
        <x:v>Posa Coffee</x:v>
      </x:c>
      <x:c r="B1448" s="16" t="str">
        <x:v>İstanbul</x:v>
      </x:c>
      <x:c r="C1448" s="16" t="str">
        <x:v>Doğrulandı</x:v>
      </x:c>
      <x:c r="D1448" s="16" t="str">
        <x:v>Ürün kaydı</x:v>
      </x:c>
      <x:c r="E1448" s="16" t="str">
        <x:v>Endonezya - Hanya</x:v>
      </x:c>
      <x:c r="F1448" s="16" t="str">
        <x:v>Endonezya</x:v>
      </x:c>
      <x:c r="G1448" s="17" t="n">
        <x:v>200</x:v>
      </x:c>
      <x:c r="H1448" s="16" t="str">
        <x:v>Erişildi</x:v>
      </x:c>
      <x:c r="I1448" s="18" t="n">
        <x:v>450</x:v>
      </x:c>
      <x:c r="J1448" s="18" t="str">
        <x:v>Erişildi</x:v>
      </x:c>
      <x:c r="K1448" s="18" t="n">
        <x:f>IF(AND(ISNUMBER(G1448),ISNUMBER(I1448)),I1448/G1448*1000,"Erişilemedi")</x:f>
        <x:v>2250</x:v>
      </x:c>
      <x:c r="L1448" s="16" t="str">
        <x:v>Stokta</x:v>
      </x:c>
      <x:c r="M1448" s="16" t="str">
        <x:v>Tek köken/ürün</x:v>
      </x:c>
      <x:c r="N1448" s="16" t="str">
        <x:v>Shopify ürün akışı</x:v>
      </x:c>
      <x:c r="O1448" s="16" t="str">
        <x:v>Yüksek</x:v>
      </x:c>
      <x:c r="P1448" s="19" t="n">
        <x:v>46245</x:v>
      </x:c>
      <x:c r="Q1448" s="20" t="str">
        <x:v>https://posakahve.com/products/endonezya</x:v>
      </x:c>
      <x:c r="R1448" s="20" t="str">
        <x:v>Öğütüm seçenekleri aynı gramaj ve fiyatta tekilleştirildi.</x:v>
      </x:c>
    </x:row>
    <x:row r="1449" ht="40" customHeight="1">
      <x:c r="A1449" s="16" t="str">
        <x:v>Posa Coffee</x:v>
      </x:c>
      <x:c r="B1449" s="16" t="str">
        <x:v>İstanbul</x:v>
      </x:c>
      <x:c r="C1449" s="16" t="str">
        <x:v>Doğrulandı</x:v>
      </x:c>
      <x:c r="D1449" s="16" t="str">
        <x:v>Ürün kaydı</x:v>
      </x:c>
      <x:c r="E1449" s="16" t="str">
        <x:v>Endonezya - Hanya</x:v>
      </x:c>
      <x:c r="F1449" s="16" t="str">
        <x:v>Endonezya</x:v>
      </x:c>
      <x:c r="G1449" s="17" t="n">
        <x:v>1000</x:v>
      </x:c>
      <x:c r="H1449" s="16" t="str">
        <x:v>Erişildi</x:v>
      </x:c>
      <x:c r="I1449" s="18" t="n">
        <x:v>2000</x:v>
      </x:c>
      <x:c r="J1449" s="18" t="str">
        <x:v>Erişildi</x:v>
      </x:c>
      <x:c r="K1449" s="18" t="n">
        <x:f>IF(AND(ISNUMBER(G1449),ISNUMBER(I1449)),I1449/G1449*1000,"Erişilemedi")</x:f>
        <x:v>2000</x:v>
      </x:c>
      <x:c r="L1449" s="16" t="str">
        <x:v>Stokta</x:v>
      </x:c>
      <x:c r="M1449" s="16" t="str">
        <x:v>Tek köken/ürün</x:v>
      </x:c>
      <x:c r="N1449" s="16" t="str">
        <x:v>Shopify ürün akışı</x:v>
      </x:c>
      <x:c r="O1449" s="16" t="str">
        <x:v>Yüksek</x:v>
      </x:c>
      <x:c r="P1449" s="19" t="n">
        <x:v>46245</x:v>
      </x:c>
      <x:c r="Q1449" s="20" t="str">
        <x:v>https://posakahve.com/products/endonezya</x:v>
      </x:c>
      <x:c r="R1449" s="20" t="str">
        <x:v>Öğütüm seçenekleri aynı gramaj ve fiyatta tekilleştirildi.</x:v>
      </x:c>
    </x:row>
    <x:row r="1450" ht="40" customHeight="1">
      <x:c r="A1450" s="16" t="str">
        <x:v>Posa Coffee</x:v>
      </x:c>
      <x:c r="B1450" s="16" t="str"/>
      <x:c r="C1450" s="16" t="str">
        <x:v>Pilot doğrulaması</x:v>
      </x:c>
      <x:c r="D1450" s="16" t="str">
        <x:v>Ürün kaydı</x:v>
      </x:c>
      <x:c r="E1450" s="16" t="str">
        <x:v>Endonezya Hanya</x:v>
      </x:c>
      <x:c r="F1450" s="16" t="str">
        <x:v>Endonezya</x:v>
      </x:c>
      <x:c r="G1450" s="17" t="n">
        <x:v>200</x:v>
      </x:c>
      <x:c r="H1450" s="16" t="str">
        <x:v>Erişildi</x:v>
      </x:c>
      <x:c r="I1450" s="18" t="n">
        <x:v>450</x:v>
      </x:c>
      <x:c r="J1450" s="18" t="str">
        <x:v>Erişildi</x:v>
      </x:c>
      <x:c r="K1450" s="18" t="n">
        <x:f>IF(AND(ISNUMBER(G1450),ISNUMBER(I1450)),I1450/G1450*1000,"Erişilemedi")</x:f>
        <x:v>2250</x:v>
      </x:c>
      <x:c r="L1450" s="16" t="str">
        <x:v>Stokta</x:v>
      </x:c>
      <x:c r="M1450" s="16" t="str">
        <x:v>Tek köken</x:v>
      </x:c>
      <x:c r="N1450" s="16" t="str">
        <x:v>Pilot manuel/API doğrulaması</x:v>
      </x:c>
      <x:c r="O1450" s="16" t="str">
        <x:v>Yüksek</x:v>
      </x:c>
      <x:c r="P1450" s="19" t="n">
        <x:v>46245</x:v>
      </x:c>
      <x:c r="Q1450" s="20" t="str">
        <x:v>https://posakahve.com/products.json?limit=250</x:v>
      </x:c>
      <x:c r="R1450" s="20" t="str"/>
    </x:row>
    <x:row r="1451" ht="40" customHeight="1">
      <x:c r="A1451" s="16" t="str">
        <x:v>Posa Coffee</x:v>
      </x:c>
      <x:c r="B1451" s="16" t="str"/>
      <x:c r="C1451" s="16" t="str">
        <x:v>Pilot doğrulaması</x:v>
      </x:c>
      <x:c r="D1451" s="16" t="str">
        <x:v>Ürün kaydı</x:v>
      </x:c>
      <x:c r="E1451" s="16" t="str">
        <x:v>Endonezya Hanya</x:v>
      </x:c>
      <x:c r="F1451" s="16" t="str">
        <x:v>Endonezya</x:v>
      </x:c>
      <x:c r="G1451" s="17" t="n">
        <x:v>1000</x:v>
      </x:c>
      <x:c r="H1451" s="16" t="str">
        <x:v>Erişildi</x:v>
      </x:c>
      <x:c r="I1451" s="18" t="n">
        <x:v>2000</x:v>
      </x:c>
      <x:c r="J1451" s="18" t="str">
        <x:v>Erişildi</x:v>
      </x:c>
      <x:c r="K1451" s="18" t="n">
        <x:f>IF(AND(ISNUMBER(G1451),ISNUMBER(I1451)),I1451/G1451*1000,"Erişilemedi")</x:f>
        <x:v>2000</x:v>
      </x:c>
      <x:c r="L1451" s="16" t="str">
        <x:v>Stokta</x:v>
      </x:c>
      <x:c r="M1451" s="16" t="str">
        <x:v>Tek köken</x:v>
      </x:c>
      <x:c r="N1451" s="16" t="str">
        <x:v>Pilot manuel/API doğrulaması</x:v>
      </x:c>
      <x:c r="O1451" s="16" t="str">
        <x:v>Yüksek</x:v>
      </x:c>
      <x:c r="P1451" s="19" t="n">
        <x:v>46245</x:v>
      </x:c>
      <x:c r="Q1451" s="20" t="str">
        <x:v>https://posakahve.com/products.json?limit=250</x:v>
      </x:c>
      <x:c r="R1451" s="20" t="str"/>
    </x:row>
    <x:row r="1452" ht="40" customHeight="1">
      <x:c r="A1452" s="16" t="str">
        <x:v>Posa Coffee</x:v>
      </x:c>
      <x:c r="B1452" s="16" t="str">
        <x:v>İstanbul</x:v>
      </x:c>
      <x:c r="C1452" s="16" t="str">
        <x:v>Doğrulandı</x:v>
      </x:c>
      <x:c r="D1452" s="16" t="str">
        <x:v>Ürün kaydı</x:v>
      </x:c>
      <x:c r="E1452" s="16" t="str">
        <x:v>Etiyopya - Uraga</x:v>
      </x:c>
      <x:c r="F1452" s="16" t="str">
        <x:v>Etiyopya</x:v>
      </x:c>
      <x:c r="G1452" s="17" t="n">
        <x:v>200</x:v>
      </x:c>
      <x:c r="H1452" s="16" t="str">
        <x:v>Erişildi</x:v>
      </x:c>
      <x:c r="I1452" s="18" t="n">
        <x:v>650</x:v>
      </x:c>
      <x:c r="J1452" s="18" t="str">
        <x:v>Erişildi</x:v>
      </x:c>
      <x:c r="K1452" s="18" t="n">
        <x:f>IF(AND(ISNUMBER(G1452),ISNUMBER(I1452)),I1452/G1452*1000,"Erişilemedi")</x:f>
        <x:v>3250</x:v>
      </x:c>
      <x:c r="L1452" s="16" t="str">
        <x:v>Stokta</x:v>
      </x:c>
      <x:c r="M1452" s="16" t="str">
        <x:v>Tek köken/ürün</x:v>
      </x:c>
      <x:c r="N1452" s="16" t="str">
        <x:v>Shopify ürün akışı</x:v>
      </x:c>
      <x:c r="O1452" s="16" t="str">
        <x:v>Yüksek</x:v>
      </x:c>
      <x:c r="P1452" s="19" t="n">
        <x:v>46245</x:v>
      </x:c>
      <x:c r="Q1452" s="20" t="str">
        <x:v>https://posakahve.com/products/etiyopya-uraga</x:v>
      </x:c>
      <x:c r="R1452" s="20" t="str">
        <x:v>Öğütüm seçenekleri aynı gramaj ve fiyatta tekilleştirildi.</x:v>
      </x:c>
    </x:row>
    <x:row r="1453" ht="40" customHeight="1">
      <x:c r="A1453" s="16" t="str">
        <x:v>Posa Coffee</x:v>
      </x:c>
      <x:c r="B1453" s="16" t="str">
        <x:v>İstanbul</x:v>
      </x:c>
      <x:c r="C1453" s="16" t="str">
        <x:v>Doğrulandı</x:v>
      </x:c>
      <x:c r="D1453" s="16" t="str">
        <x:v>Ürün kaydı</x:v>
      </x:c>
      <x:c r="E1453" s="16" t="str">
        <x:v>Etiyopya - Uraga</x:v>
      </x:c>
      <x:c r="F1453" s="16" t="str">
        <x:v>Etiyopya</x:v>
      </x:c>
      <x:c r="G1453" s="17" t="n">
        <x:v>1000</x:v>
      </x:c>
      <x:c r="H1453" s="16" t="str">
        <x:v>Erişildi</x:v>
      </x:c>
      <x:c r="I1453" s="18" t="n">
        <x:v>2900</x:v>
      </x:c>
      <x:c r="J1453" s="18" t="str">
        <x:v>Erişildi</x:v>
      </x:c>
      <x:c r="K1453" s="18" t="n">
        <x:f>IF(AND(ISNUMBER(G1453),ISNUMBER(I1453)),I1453/G1453*1000,"Erişilemedi")</x:f>
        <x:v>2900</x:v>
      </x:c>
      <x:c r="L1453" s="16" t="str">
        <x:v>Stokta</x:v>
      </x:c>
      <x:c r="M1453" s="16" t="str">
        <x:v>Tek köken/ürün</x:v>
      </x:c>
      <x:c r="N1453" s="16" t="str">
        <x:v>Shopify ürün akışı</x:v>
      </x:c>
      <x:c r="O1453" s="16" t="str">
        <x:v>Yüksek</x:v>
      </x:c>
      <x:c r="P1453" s="19" t="n">
        <x:v>46245</x:v>
      </x:c>
      <x:c r="Q1453" s="20" t="str">
        <x:v>https://posakahve.com/products/etiyopya-uraga</x:v>
      </x:c>
      <x:c r="R1453" s="20" t="str">
        <x:v>Öğütüm seçenekleri aynı gramaj ve fiyatta tekilleştirildi.</x:v>
      </x:c>
    </x:row>
    <x:row r="1454" ht="40" customHeight="1">
      <x:c r="A1454" s="16" t="str">
        <x:v>Posa Coffee</x:v>
      </x:c>
      <x:c r="B1454" s="16" t="str"/>
      <x:c r="C1454" s="16" t="str">
        <x:v>Pilot doğrulaması</x:v>
      </x:c>
      <x:c r="D1454" s="16" t="str">
        <x:v>Ürün kaydı</x:v>
      </x:c>
      <x:c r="E1454" s="16" t="str">
        <x:v>Etiyopya Uraga</x:v>
      </x:c>
      <x:c r="F1454" s="16" t="str">
        <x:v>Etiyopya</x:v>
      </x:c>
      <x:c r="G1454" s="17" t="n">
        <x:v>200</x:v>
      </x:c>
      <x:c r="H1454" s="16" t="str">
        <x:v>Erişildi</x:v>
      </x:c>
      <x:c r="I1454" s="18" t="n">
        <x:v>650</x:v>
      </x:c>
      <x:c r="J1454" s="18" t="str">
        <x:v>Erişildi</x:v>
      </x:c>
      <x:c r="K1454" s="18" t="n">
        <x:f>IF(AND(ISNUMBER(G1454),ISNUMBER(I1454)),I1454/G1454*1000,"Erişilemedi")</x:f>
        <x:v>3250</x:v>
      </x:c>
      <x:c r="L1454" s="16" t="str">
        <x:v>Stokta</x:v>
      </x:c>
      <x:c r="M1454" s="16" t="str">
        <x:v>Tek köken</x:v>
      </x:c>
      <x:c r="N1454" s="16" t="str">
        <x:v>Pilot manuel/API doğrulaması</x:v>
      </x:c>
      <x:c r="O1454" s="16" t="str">
        <x:v>Yüksek</x:v>
      </x:c>
      <x:c r="P1454" s="19" t="n">
        <x:v>46245</x:v>
      </x:c>
      <x:c r="Q1454" s="20" t="str">
        <x:v>https://posakahve.com/products.json?limit=250</x:v>
      </x:c>
      <x:c r="R1454" s="20" t="str"/>
    </x:row>
    <x:row r="1455" ht="40" customHeight="1">
      <x:c r="A1455" s="16" t="str">
        <x:v>Posa Coffee</x:v>
      </x:c>
      <x:c r="B1455" s="16" t="str"/>
      <x:c r="C1455" s="16" t="str">
        <x:v>Pilot doğrulaması</x:v>
      </x:c>
      <x:c r="D1455" s="16" t="str">
        <x:v>Ürün kaydı</x:v>
      </x:c>
      <x:c r="E1455" s="16" t="str">
        <x:v>Etiyopya Uraga</x:v>
      </x:c>
      <x:c r="F1455" s="16" t="str">
        <x:v>Etiyopya</x:v>
      </x:c>
      <x:c r="G1455" s="17" t="n">
        <x:v>1000</x:v>
      </x:c>
      <x:c r="H1455" s="16" t="str">
        <x:v>Erişildi</x:v>
      </x:c>
      <x:c r="I1455" s="18" t="n">
        <x:v>2900</x:v>
      </x:c>
      <x:c r="J1455" s="18" t="str">
        <x:v>Erişildi</x:v>
      </x:c>
      <x:c r="K1455" s="18" t="n">
        <x:f>IF(AND(ISNUMBER(G1455),ISNUMBER(I1455)),I1455/G1455*1000,"Erişilemedi")</x:f>
        <x:v>2900</x:v>
      </x:c>
      <x:c r="L1455" s="16" t="str">
        <x:v>Stokta</x:v>
      </x:c>
      <x:c r="M1455" s="16" t="str">
        <x:v>Tek köken</x:v>
      </x:c>
      <x:c r="N1455" s="16" t="str">
        <x:v>Pilot manuel/API doğrulaması</x:v>
      </x:c>
      <x:c r="O1455" s="16" t="str">
        <x:v>Yüksek</x:v>
      </x:c>
      <x:c r="P1455" s="19" t="n">
        <x:v>46245</x:v>
      </x:c>
      <x:c r="Q1455" s="20" t="str">
        <x:v>https://posakahve.com/products.json?limit=250</x:v>
      </x:c>
      <x:c r="R1455" s="20" t="str"/>
    </x:row>
    <x:row r="1456" ht="40" customHeight="1">
      <x:c r="A1456" s="16" t="str">
        <x:v>Posa Coffee</x:v>
      </x:c>
      <x:c r="B1456" s="16" t="str">
        <x:v>İstanbul</x:v>
      </x:c>
      <x:c r="C1456" s="16" t="str">
        <x:v>Doğrulandı</x:v>
      </x:c>
      <x:c r="D1456" s="16" t="str">
        <x:v>Ürün kaydı</x:v>
      </x:c>
      <x:c r="E1456" s="16" t="str">
        <x:v>Kolombiya - Cundinamarca</x:v>
      </x:c>
      <x:c r="F1456" s="16" t="str">
        <x:v>Kolombiya</x:v>
      </x:c>
      <x:c r="G1456" s="17" t="n">
        <x:v>200</x:v>
      </x:c>
      <x:c r="H1456" s="16" t="str">
        <x:v>Erişildi</x:v>
      </x:c>
      <x:c r="I1456" s="18" t="n">
        <x:v>450</x:v>
      </x:c>
      <x:c r="J1456" s="18" t="str">
        <x:v>Erişildi</x:v>
      </x:c>
      <x:c r="K1456" s="18" t="n">
        <x:f>IF(AND(ISNUMBER(G1456),ISNUMBER(I1456)),I1456/G1456*1000,"Erişilemedi")</x:f>
        <x:v>2250</x:v>
      </x:c>
      <x:c r="L1456" s="16" t="str">
        <x:v>Stokta</x:v>
      </x:c>
      <x:c r="M1456" s="16" t="str">
        <x:v>Tek köken/ürün</x:v>
      </x:c>
      <x:c r="N1456" s="16" t="str">
        <x:v>Shopify ürün akışı</x:v>
      </x:c>
      <x:c r="O1456" s="16" t="str">
        <x:v>Yüksek</x:v>
      </x:c>
      <x:c r="P1456" s="19" t="n">
        <x:v>46245</x:v>
      </x:c>
      <x:c r="Q1456" s="20" t="str">
        <x:v>https://posakahve.com/products/kolombiya-cundinamarca</x:v>
      </x:c>
      <x:c r="R1456" s="20" t="str">
        <x:v>Öğütüm seçenekleri aynı gramaj ve fiyatta tekilleştirildi.</x:v>
      </x:c>
    </x:row>
    <x:row r="1457" ht="40" customHeight="1">
      <x:c r="A1457" s="16" t="str">
        <x:v>Posa Coffee</x:v>
      </x:c>
      <x:c r="B1457" s="16" t="str">
        <x:v>İstanbul</x:v>
      </x:c>
      <x:c r="C1457" s="16" t="str">
        <x:v>Doğrulandı</x:v>
      </x:c>
      <x:c r="D1457" s="16" t="str">
        <x:v>Ürün kaydı</x:v>
      </x:c>
      <x:c r="E1457" s="16" t="str">
        <x:v>Kolombiya - Cundinamarca</x:v>
      </x:c>
      <x:c r="F1457" s="16" t="str">
        <x:v>Kolombiya</x:v>
      </x:c>
      <x:c r="G1457" s="17" t="n">
        <x:v>1000</x:v>
      </x:c>
      <x:c r="H1457" s="16" t="str">
        <x:v>Erişildi</x:v>
      </x:c>
      <x:c r="I1457" s="18" t="n">
        <x:v>1620</x:v>
      </x:c>
      <x:c r="J1457" s="18" t="str">
        <x:v>Erişildi</x:v>
      </x:c>
      <x:c r="K1457" s="18" t="n">
        <x:f>IF(AND(ISNUMBER(G1457),ISNUMBER(I1457)),I1457/G1457*1000,"Erişilemedi")</x:f>
        <x:v>1620</x:v>
      </x:c>
      <x:c r="L1457" s="16" t="str">
        <x:v>Stokta</x:v>
      </x:c>
      <x:c r="M1457" s="16" t="str">
        <x:v>Tek köken/ürün</x:v>
      </x:c>
      <x:c r="N1457" s="16" t="str">
        <x:v>Shopify ürün akışı</x:v>
      </x:c>
      <x:c r="O1457" s="16" t="str">
        <x:v>Yüksek</x:v>
      </x:c>
      <x:c r="P1457" s="19" t="n">
        <x:v>46245</x:v>
      </x:c>
      <x:c r="Q1457" s="20" t="str">
        <x:v>https://posakahve.com/products/kolombiya-cundinamarca</x:v>
      </x:c>
      <x:c r="R1457" s="20" t="str">
        <x:v>Öğütüm seçenekleri aynı gramaj ve fiyatta tekilleştirildi.</x:v>
      </x:c>
    </x:row>
    <x:row r="1458" ht="40" customHeight="1">
      <x:c r="A1458" s="16" t="str">
        <x:v>Posa Coffee</x:v>
      </x:c>
      <x:c r="B1458" s="16" t="str"/>
      <x:c r="C1458" s="16" t="str">
        <x:v>Pilot doğrulaması</x:v>
      </x:c>
      <x:c r="D1458" s="16" t="str">
        <x:v>Ürün kaydı</x:v>
      </x:c>
      <x:c r="E1458" s="16" t="str">
        <x:v>Kolombiya Cundinamarca</x:v>
      </x:c>
      <x:c r="F1458" s="16" t="str">
        <x:v>Kolombiya</x:v>
      </x:c>
      <x:c r="G1458" s="17" t="n">
        <x:v>200</x:v>
      </x:c>
      <x:c r="H1458" s="16" t="str">
        <x:v>Erişildi</x:v>
      </x:c>
      <x:c r="I1458" s="18" t="n">
        <x:v>450</x:v>
      </x:c>
      <x:c r="J1458" s="18" t="str">
        <x:v>Erişildi</x:v>
      </x:c>
      <x:c r="K1458" s="18" t="n">
        <x:f>IF(AND(ISNUMBER(G1458),ISNUMBER(I1458)),I1458/G1458*1000,"Erişilemedi")</x:f>
        <x:v>2250</x:v>
      </x:c>
      <x:c r="L1458" s="16" t="str">
        <x:v>Stokta</x:v>
      </x:c>
      <x:c r="M1458" s="16" t="str">
        <x:v>Tek köken</x:v>
      </x:c>
      <x:c r="N1458" s="16" t="str">
        <x:v>Pilot manuel/API doğrulaması</x:v>
      </x:c>
      <x:c r="O1458" s="16" t="str">
        <x:v>Yüksek</x:v>
      </x:c>
      <x:c r="P1458" s="19" t="n">
        <x:v>46245</x:v>
      </x:c>
      <x:c r="Q1458" s="20" t="str">
        <x:v>https://posakahve.com/products.json?limit=250</x:v>
      </x:c>
      <x:c r="R1458" s="20" t="str"/>
    </x:row>
    <x:row r="1459" ht="40" customHeight="1">
      <x:c r="A1459" s="16" t="str">
        <x:v>Posa Coffee</x:v>
      </x:c>
      <x:c r="B1459" s="16" t="str"/>
      <x:c r="C1459" s="16" t="str">
        <x:v>Pilot doğrulaması</x:v>
      </x:c>
      <x:c r="D1459" s="16" t="str">
        <x:v>Ürün kaydı</x:v>
      </x:c>
      <x:c r="E1459" s="16" t="str">
        <x:v>Kolombiya Cundinamarca</x:v>
      </x:c>
      <x:c r="F1459" s="16" t="str">
        <x:v>Kolombiya</x:v>
      </x:c>
      <x:c r="G1459" s="17" t="n">
        <x:v>1000</x:v>
      </x:c>
      <x:c r="H1459" s="16" t="str">
        <x:v>Erişildi</x:v>
      </x:c>
      <x:c r="I1459" s="18" t="n">
        <x:v>1620</x:v>
      </x:c>
      <x:c r="J1459" s="18" t="str">
        <x:v>Erişildi</x:v>
      </x:c>
      <x:c r="K1459" s="18" t="n">
        <x:f>IF(AND(ISNUMBER(G1459),ISNUMBER(I1459)),I1459/G1459*1000,"Erişilemedi")</x:f>
        <x:v>1620</x:v>
      </x:c>
      <x:c r="L1459" s="16" t="str">
        <x:v>Stokta</x:v>
      </x:c>
      <x:c r="M1459" s="16" t="str">
        <x:v>Tek köken</x:v>
      </x:c>
      <x:c r="N1459" s="16" t="str">
        <x:v>Pilot manuel/API doğrulaması</x:v>
      </x:c>
      <x:c r="O1459" s="16" t="str">
        <x:v>Yüksek</x:v>
      </x:c>
      <x:c r="P1459" s="19" t="n">
        <x:v>46245</x:v>
      </x:c>
      <x:c r="Q1459" s="20" t="str">
        <x:v>https://posakahve.com/products.json?limit=250</x:v>
      </x:c>
      <x:c r="R1459" s="20" t="str"/>
    </x:row>
    <x:row r="1460" ht="40" customHeight="1">
      <x:c r="A1460" s="16" t="str">
        <x:v>Posa Coffee</x:v>
      </x:c>
      <x:c r="B1460" s="16" t="str">
        <x:v>İstanbul</x:v>
      </x:c>
      <x:c r="C1460" s="16" t="str">
        <x:v>Doğrulandı</x:v>
      </x:c>
      <x:c r="D1460" s="16" t="str">
        <x:v>Ürün kaydı</x:v>
      </x:c>
      <x:c r="E1460" s="16" t="str">
        <x:v>Türk Kahvesi</x:v>
      </x:c>
      <x:c r="F1460" s="16" t="str">
        <x:v>Harman – menşe belirtilmemiş</x:v>
      </x:c>
      <x:c r="G1460" s="17" t="n">
        <x:v>200</x:v>
      </x:c>
      <x:c r="H1460" s="16" t="str">
        <x:v>Erişildi</x:v>
      </x:c>
      <x:c r="I1460" s="18" t="n">
        <x:v>380</x:v>
      </x:c>
      <x:c r="J1460" s="18" t="str">
        <x:v>Erişildi</x:v>
      </x:c>
      <x:c r="K1460" s="18" t="n">
        <x:f>IF(AND(ISNUMBER(G1460),ISNUMBER(I1460)),I1460/G1460*1000,"Erişilemedi")</x:f>
        <x:v>1900</x:v>
      </x:c>
      <x:c r="L1460" s="16" t="str">
        <x:v>Stokta</x:v>
      </x:c>
      <x:c r="M1460" s="16" t="str">
        <x:v>Türk kahvesi</x:v>
      </x:c>
      <x:c r="N1460" s="16" t="str">
        <x:v>Shopify ürün akışı</x:v>
      </x:c>
      <x:c r="O1460" s="16" t="str">
        <x:v>Yüksek</x:v>
      </x:c>
      <x:c r="P1460" s="19" t="n">
        <x:v>46245</x:v>
      </x:c>
      <x:c r="Q1460" s="20" t="str">
        <x:v>https://posakahve.com/products/turk-kahvesi</x:v>
      </x:c>
      <x:c r="R1460" s="20" t="str">
        <x:v>Öğütüm seçenekleri aynı gramaj ve fiyatta tekilleştirildi.</x:v>
      </x:c>
    </x:row>
    <x:row r="1461" ht="40" customHeight="1">
      <x:c r="A1461" s="16" t="str">
        <x:v>Posa Coffee</x:v>
      </x:c>
      <x:c r="B1461" s="16" t="str">
        <x:v>İstanbul</x:v>
      </x:c>
      <x:c r="C1461" s="16" t="str">
        <x:v>Doğrulandı</x:v>
      </x:c>
      <x:c r="D1461" s="16" t="str">
        <x:v>Ürün kaydı</x:v>
      </x:c>
      <x:c r="E1461" s="16" t="str">
        <x:v>Türk Kahvesi</x:v>
      </x:c>
      <x:c r="F1461" s="16" t="str">
        <x:v>Harman – menşe belirtilmemiş</x:v>
      </x:c>
      <x:c r="G1461" s="17" t="n">
        <x:v>1000</x:v>
      </x:c>
      <x:c r="H1461" s="16" t="str">
        <x:v>Erişildi</x:v>
      </x:c>
      <x:c r="I1461" s="18" t="n">
        <x:v>1400</x:v>
      </x:c>
      <x:c r="J1461" s="18" t="str">
        <x:v>Erişildi</x:v>
      </x:c>
      <x:c r="K1461" s="18" t="n">
        <x:f>IF(AND(ISNUMBER(G1461),ISNUMBER(I1461)),I1461/G1461*1000,"Erişilemedi")</x:f>
        <x:v>1400</x:v>
      </x:c>
      <x:c r="L1461" s="16" t="str">
        <x:v>Stokta</x:v>
      </x:c>
      <x:c r="M1461" s="16" t="str">
        <x:v>Türk kahvesi</x:v>
      </x:c>
      <x:c r="N1461" s="16" t="str">
        <x:v>Shopify ürün akışı</x:v>
      </x:c>
      <x:c r="O1461" s="16" t="str">
        <x:v>Yüksek</x:v>
      </x:c>
      <x:c r="P1461" s="19" t="n">
        <x:v>46245</x:v>
      </x:c>
      <x:c r="Q1461" s="20" t="str">
        <x:v>https://posakahve.com/products/turk-kahvesi</x:v>
      </x:c>
      <x:c r="R1461" s="20" t="str">
        <x:v>Öğütüm seçenekleri aynı gramaj ve fiyatta tekilleştirildi.</x:v>
      </x:c>
    </x:row>
    <x:row r="1462" ht="40" customHeight="1">
      <x:c r="A1462" s="16" t="str">
        <x:v>Probador Colectiva</x:v>
      </x:c>
      <x:c r="B1462" s="16" t="str">
        <x:v>İstanbul</x:v>
      </x:c>
      <x:c r="C1462" s="16" t="str">
        <x:v>Doğrulandı</x:v>
      </x:c>
      <x:c r="D1462" s="16" t="str">
        <x:v>Ürün kaydı</x:v>
      </x:c>
      <x:c r="E1462" s="16" t="str">
        <x:v>3 PIECES BURLAP COFFEE BAG (SUPPORT UNICEF)</x:v>
      </x:c>
      <x:c r="F1462" s="16" t="str">
        <x:v>Menşe belirtilmemiş</x:v>
      </x:c>
      <x:c r="G1462" s="17" t="str">
        <x:v>Erişilemedi</x:v>
      </x:c>
      <x:c r="H1462" s="16" t="str">
        <x:v>Erişilemedi</x:v>
      </x:c>
      <x:c r="I1462" s="18" t="n">
        <x:v>1200</x:v>
      </x:c>
      <x:c r="J1462" s="18" t="str">
        <x:v>Erişildi</x:v>
      </x:c>
      <x:c r="K1462" s="18" t="str">
        <x:f>IF(AND(ISNUMBER(G1462),ISNUMBER(I1462)),I1462/G1462*1000,"Erişilemedi")</x:f>
        <x:v>Erişilemedi</x:v>
      </x:c>
      <x:c r="L1462" s="16" t="str">
        <x:v>Belirsiz</x:v>
      </x:c>
      <x:c r="M1462" s="16" t="str">
        <x:v>Kahve ürünü</x:v>
      </x:c>
      <x:c r="N1462" s="16" t="str">
        <x:v>Site haritası ürün sayfası</x:v>
      </x:c>
      <x:c r="O1462" s="16" t="str">
        <x:v>Düşük</x:v>
      </x:c>
      <x:c r="P1462" s="19" t="n">
        <x:v>46245</x:v>
      </x:c>
      <x:c r="Q1462" s="20" t="str">
        <x:v>https://probadorcolectiva.com/en/3-pieces-burlap-coffee-bag-support-unicef</x:v>
      </x:c>
      <x:c r="R1462" s="20" t="str">
        <x:v>Ürün kimliği korundu; eksik alanlar erişilemedi olarak işaretlenecek.</x:v>
      </x:c>
    </x:row>
    <x:row r="1463" ht="40" customHeight="1">
      <x:c r="A1463" s="16" t="str">
        <x:v>Probador Colectiva</x:v>
      </x:c>
      <x:c r="B1463" s="16" t="str">
        <x:v>İstanbul</x:v>
      </x:c>
      <x:c r="C1463" s="16" t="str">
        <x:v>Doğrulandı</x:v>
      </x:c>
      <x:c r="D1463" s="16" t="str">
        <x:v>Ürün kaydı</x:v>
      </x:c>
      <x:c r="E1463" s="16" t="str">
        <x:v>AFRICAN COFFEES SAMPLE SET 1</x:v>
      </x:c>
      <x:c r="F1463" s="16" t="str">
        <x:v>Menşe belirtilmemiş</x:v>
      </x:c>
      <x:c r="G1463" s="17" t="str">
        <x:v>Erişilemedi</x:v>
      </x:c>
      <x:c r="H1463" s="16" t="str">
        <x:v>Erişilemedi</x:v>
      </x:c>
      <x:c r="I1463" s="18" t="str">
        <x:v>Erişilemedi</x:v>
      </x:c>
      <x:c r="J1463" s="18" t="str">
        <x:v>Erişilemedi</x:v>
      </x:c>
      <x:c r="K1463" s="18" t="str">
        <x:f>IF(AND(ISNUMBER(G1463),ISNUMBER(I1463)),I1463/G1463*1000,"Erişilemedi")</x:f>
        <x:v>Erişilemedi</x:v>
      </x:c>
      <x:c r="L1463" s="16" t="str">
        <x:v>Belirsiz</x:v>
      </x:c>
      <x:c r="M1463" s="16" t="str">
        <x:v>Kahve ürünü</x:v>
      </x:c>
      <x:c r="N1463" s="16" t="str">
        <x:v>Site haritası ürün sayfası</x:v>
      </x:c>
      <x:c r="O1463" s="16" t="str">
        <x:v>Düşük</x:v>
      </x:c>
      <x:c r="P1463" s="19" t="n">
        <x:v>46245</x:v>
      </x:c>
      <x:c r="Q1463" s="20" t="str">
        <x:v>https://probadorcolectiva.com/en/african-coffees-sample-set-1</x:v>
      </x:c>
      <x:c r="R1463" s="20" t="str">
        <x:v>Ürün kimliği korundu; eksik alanlar erişilemedi olarak işaretlenecek.</x:v>
      </x:c>
    </x:row>
    <x:row r="1464" ht="40" customHeight="1">
      <x:c r="A1464" s="16" t="str">
        <x:v>Probador Colectiva</x:v>
      </x:c>
      <x:c r="B1464" s="16" t="str">
        <x:v>İstanbul</x:v>
      </x:c>
      <x:c r="C1464" s="16" t="str">
        <x:v>Doğrulandı</x:v>
      </x:c>
      <x:c r="D1464" s="16" t="str">
        <x:v>Ürün kaydı</x:v>
      </x:c>
      <x:c r="E1464" s="16" t="str">
        <x:v>AFRICAN COFFEES SAMPLE SET 2</x:v>
      </x:c>
      <x:c r="F1464" s="16" t="str">
        <x:v>Menşe belirtilmemiş</x:v>
      </x:c>
      <x:c r="G1464" s="17" t="str">
        <x:v>Erişilemedi</x:v>
      </x:c>
      <x:c r="H1464" s="16" t="str">
        <x:v>Erişilemedi</x:v>
      </x:c>
      <x:c r="I1464" s="18" t="str">
        <x:v>Erişilemedi</x:v>
      </x:c>
      <x:c r="J1464" s="18" t="str">
        <x:v>Erişilemedi</x:v>
      </x:c>
      <x:c r="K1464" s="18" t="str">
        <x:f>IF(AND(ISNUMBER(G1464),ISNUMBER(I1464)),I1464/G1464*1000,"Erişilemedi")</x:f>
        <x:v>Erişilemedi</x:v>
      </x:c>
      <x:c r="L1464" s="16" t="str">
        <x:v>Belirsiz</x:v>
      </x:c>
      <x:c r="M1464" s="16" t="str">
        <x:v>Kahve ürünü</x:v>
      </x:c>
      <x:c r="N1464" s="16" t="str">
        <x:v>Site haritası ürün sayfası</x:v>
      </x:c>
      <x:c r="O1464" s="16" t="str">
        <x:v>Düşük</x:v>
      </x:c>
      <x:c r="P1464" s="19" t="n">
        <x:v>46245</x:v>
      </x:c>
      <x:c r="Q1464" s="20" t="str">
        <x:v>https://probadorcolectiva.com/en/african-coffees-sample-set-2</x:v>
      </x:c>
      <x:c r="R1464" s="20" t="str">
        <x:v>Ürün kimliği korundu; eksik alanlar erişilemedi olarak işaretlenecek.</x:v>
      </x:c>
    </x:row>
    <x:row r="1465" ht="40" customHeight="1">
      <x:c r="A1465" s="16" t="str">
        <x:v>Probador Colectiva</x:v>
      </x:c>
      <x:c r="B1465" s="16" t="str">
        <x:v>İstanbul</x:v>
      </x:c>
      <x:c r="C1465" s="16" t="str">
        <x:v>Doğrulandı</x:v>
      </x:c>
      <x:c r="D1465" s="16" t="str">
        <x:v>Ürün kaydı</x:v>
      </x:c>
      <x:c r="E1465" s="16" t="str">
        <x:v>AMERICAN COFFEES SAMPLE SET 1</x:v>
      </x:c>
      <x:c r="F1465" s="16" t="str">
        <x:v>Menşe belirtilmemiş</x:v>
      </x:c>
      <x:c r="G1465" s="17" t="str">
        <x:v>Erişilemedi</x:v>
      </x:c>
      <x:c r="H1465" s="16" t="str">
        <x:v>Erişilemedi</x:v>
      </x:c>
      <x:c r="I1465" s="18" t="str">
        <x:v>Erişilemedi</x:v>
      </x:c>
      <x:c r="J1465" s="18" t="str">
        <x:v>Erişilemedi</x:v>
      </x:c>
      <x:c r="K1465" s="18" t="str">
        <x:f>IF(AND(ISNUMBER(G1465),ISNUMBER(I1465)),I1465/G1465*1000,"Erişilemedi")</x:f>
        <x:v>Erişilemedi</x:v>
      </x:c>
      <x:c r="L1465" s="16" t="str">
        <x:v>Belirsiz</x:v>
      </x:c>
      <x:c r="M1465" s="16" t="str">
        <x:v>Kahve ürünü</x:v>
      </x:c>
      <x:c r="N1465" s="16" t="str">
        <x:v>Site haritası ürün sayfası</x:v>
      </x:c>
      <x:c r="O1465" s="16" t="str">
        <x:v>Düşük</x:v>
      </x:c>
      <x:c r="P1465" s="19" t="n">
        <x:v>46245</x:v>
      </x:c>
      <x:c r="Q1465" s="20" t="str">
        <x:v>https://probadorcolectiva.com/en/american-coffees-sample-set-1</x:v>
      </x:c>
      <x:c r="R1465" s="20" t="str">
        <x:v>Ürün kimliği korundu; eksik alanlar erişilemedi olarak işaretlenecek.</x:v>
      </x:c>
    </x:row>
    <x:row r="1466" ht="40" customHeight="1">
      <x:c r="A1466" s="16" t="str">
        <x:v>Probador Colectiva</x:v>
      </x:c>
      <x:c r="B1466" s="16" t="str">
        <x:v>İstanbul</x:v>
      </x:c>
      <x:c r="C1466" s="16" t="str">
        <x:v>Doğrulandı</x:v>
      </x:c>
      <x:c r="D1466" s="16" t="str">
        <x:v>Ürün kaydı</x:v>
      </x:c>
      <x:c r="E1466" s="16" t="str">
        <x:v>AMERICAN COFFEES SAMPLE SET 2</x:v>
      </x:c>
      <x:c r="F1466" s="16" t="str">
        <x:v>Menşe belirtilmemiş</x:v>
      </x:c>
      <x:c r="G1466" s="17" t="str">
        <x:v>Erişilemedi</x:v>
      </x:c>
      <x:c r="H1466" s="16" t="str">
        <x:v>Erişilemedi</x:v>
      </x:c>
      <x:c r="I1466" s="18" t="str">
        <x:v>Erişilemedi</x:v>
      </x:c>
      <x:c r="J1466" s="18" t="str">
        <x:v>Erişilemedi</x:v>
      </x:c>
      <x:c r="K1466" s="18" t="str">
        <x:f>IF(AND(ISNUMBER(G1466),ISNUMBER(I1466)),I1466/G1466*1000,"Erişilemedi")</x:f>
        <x:v>Erişilemedi</x:v>
      </x:c>
      <x:c r="L1466" s="16" t="str">
        <x:v>Belirsiz</x:v>
      </x:c>
      <x:c r="M1466" s="16" t="str">
        <x:v>Kahve ürünü</x:v>
      </x:c>
      <x:c r="N1466" s="16" t="str">
        <x:v>Site haritası ürün sayfası</x:v>
      </x:c>
      <x:c r="O1466" s="16" t="str">
        <x:v>Düşük</x:v>
      </x:c>
      <x:c r="P1466" s="19" t="n">
        <x:v>46245</x:v>
      </x:c>
      <x:c r="Q1466" s="20" t="str">
        <x:v>https://probadorcolectiva.com/en/american-coffees-sample-set-2</x:v>
      </x:c>
      <x:c r="R1466" s="20" t="str">
        <x:v>Ürün kimliği korundu; eksik alanlar erişilemedi olarak işaretlenecek.</x:v>
      </x:c>
    </x:row>
    <x:row r="1467" ht="40" customHeight="1">
      <x:c r="A1467" s="16" t="str">
        <x:v>Probador Colectiva</x:v>
      </x:c>
      <x:c r="B1467" s="16" t="str">
        <x:v>İstanbul</x:v>
      </x:c>
      <x:c r="C1467" s="16" t="str">
        <x:v>Doğrulandı</x:v>
      </x:c>
      <x:c r="D1467" s="16" t="str">
        <x:v>Ürün kaydı</x:v>
      </x:c>
      <x:c r="E1467" s="16" t="str">
        <x:v>AMERICAN COFFEES SAMPLE SET 3</x:v>
      </x:c>
      <x:c r="F1467" s="16" t="str">
        <x:v>Menşe belirtilmemiş</x:v>
      </x:c>
      <x:c r="G1467" s="17" t="str">
        <x:v>Erişilemedi</x:v>
      </x:c>
      <x:c r="H1467" s="16" t="str">
        <x:v>Erişilemedi</x:v>
      </x:c>
      <x:c r="I1467" s="18" t="str">
        <x:v>Erişilemedi</x:v>
      </x:c>
      <x:c r="J1467" s="18" t="str">
        <x:v>Erişilemedi</x:v>
      </x:c>
      <x:c r="K1467" s="18" t="str">
        <x:f>IF(AND(ISNUMBER(G1467),ISNUMBER(I1467)),I1467/G1467*1000,"Erişilemedi")</x:f>
        <x:v>Erişilemedi</x:v>
      </x:c>
      <x:c r="L1467" s="16" t="str">
        <x:v>Belirsiz</x:v>
      </x:c>
      <x:c r="M1467" s="16" t="str">
        <x:v>Kahve ürünü</x:v>
      </x:c>
      <x:c r="N1467" s="16" t="str">
        <x:v>Site haritası ürün sayfası</x:v>
      </x:c>
      <x:c r="O1467" s="16" t="str">
        <x:v>Düşük</x:v>
      </x:c>
      <x:c r="P1467" s="19" t="n">
        <x:v>46245</x:v>
      </x:c>
      <x:c r="Q1467" s="20" t="str">
        <x:v>https://probadorcolectiva.com/en/american-coffees-sample-set-3</x:v>
      </x:c>
      <x:c r="R1467" s="20" t="str">
        <x:v>Ürün kimliği korundu; eksik alanlar erişilemedi olarak işaretlenecek.</x:v>
      </x:c>
    </x:row>
    <x:row r="1468" ht="40" customHeight="1">
      <x:c r="A1468" s="16" t="str">
        <x:v>Probador Colectiva</x:v>
      </x:c>
      <x:c r="B1468" s="16" t="str">
        <x:v>İstanbul</x:v>
      </x:c>
      <x:c r="C1468" s="16" t="str">
        <x:v>Doğrulandı</x:v>
      </x:c>
      <x:c r="D1468" s="16" t="str">
        <x:v>Ürün kaydı</x:v>
      </x:c>
      <x:c r="E1468" s="16" t="str">
        <x:v>Coffee Subscriptions</x:v>
      </x:c>
      <x:c r="F1468" s="16" t="str">
        <x:v>Menşe belirtilmemiş</x:v>
      </x:c>
      <x:c r="G1468" s="17" t="str">
        <x:v>Erişilemedi</x:v>
      </x:c>
      <x:c r="H1468" s="16" t="str">
        <x:v>Erişilemedi</x:v>
      </x:c>
      <x:c r="I1468" s="18" t="str">
        <x:v>Erişilemedi</x:v>
      </x:c>
      <x:c r="J1468" s="18" t="str">
        <x:v>Erişilemedi</x:v>
      </x:c>
      <x:c r="K1468" s="18" t="str">
        <x:f>IF(AND(ISNUMBER(G1468),ISNUMBER(I1468)),I1468/G1468*1000,"Erişilemedi")</x:f>
        <x:v>Erişilemedi</x:v>
      </x:c>
      <x:c r="L1468" s="16" t="str">
        <x:v>Belirsiz</x:v>
      </x:c>
      <x:c r="M1468" s="16" t="str">
        <x:v>Kahve ürünü</x:v>
      </x:c>
      <x:c r="N1468" s="16" t="str">
        <x:v>Site haritası ürün sayfası</x:v>
      </x:c>
      <x:c r="O1468" s="16" t="str">
        <x:v>Düşük</x:v>
      </x:c>
      <x:c r="P1468" s="19" t="n">
        <x:v>46245</x:v>
      </x:c>
      <x:c r="Q1468" s="20" t="str">
        <x:v>https://probadorcolectiva.com/en/coffee-subscription</x:v>
      </x:c>
      <x:c r="R1468" s="20" t="str">
        <x:v>Ürün kimliği korundu; eksik alanlar erişilemedi olarak işaretlenecek.</x:v>
      </x:c>
    </x:row>
    <x:row r="1469" ht="40" customHeight="1">
      <x:c r="A1469" s="16" t="str">
        <x:v>Probador Colectiva</x:v>
      </x:c>
      <x:c r="B1469" s="16" t="str">
        <x:v>İstanbul</x:v>
      </x:c>
      <x:c r="C1469" s="16" t="str">
        <x:v>Doğrulandı</x:v>
      </x:c>
      <x:c r="D1469" s="16" t="str">
        <x:v>Ürün kaydı</x:v>
      </x:c>
      <x:c r="E1469" s="16" t="str">
        <x:v>ESPRO MICROFILTER FOR COFFEE</x:v>
      </x:c>
      <x:c r="F1469" s="16" t="str">
        <x:v>Menşe belirtilmemiş</x:v>
      </x:c>
      <x:c r="G1469" s="17" t="str">
        <x:v>Erişilemedi</x:v>
      </x:c>
      <x:c r="H1469" s="16" t="str">
        <x:v>Erişilemedi</x:v>
      </x:c>
      <x:c r="I1469" s="18" t="n">
        <x:v>11700</x:v>
      </x:c>
      <x:c r="J1469" s="18" t="str">
        <x:v>Erişildi</x:v>
      </x:c>
      <x:c r="K1469" s="18" t="str">
        <x:f>IF(AND(ISNUMBER(G1469),ISNUMBER(I1469)),I1469/G1469*1000,"Erişilemedi")</x:f>
        <x:v>Erişilemedi</x:v>
      </x:c>
      <x:c r="L1469" s="16" t="str">
        <x:v>Belirsiz</x:v>
      </x:c>
      <x:c r="M1469" s="16" t="str">
        <x:v>Kahve ürünü</x:v>
      </x:c>
      <x:c r="N1469" s="16" t="str">
        <x:v>Site haritası ürün sayfası</x:v>
      </x:c>
      <x:c r="O1469" s="16" t="str">
        <x:v>Düşük</x:v>
      </x:c>
      <x:c r="P1469" s="19" t="n">
        <x:v>46245</x:v>
      </x:c>
      <x:c r="Q1469" s="20" t="str">
        <x:v>https://probadorcolectiva.com/en/espro-microfilter-for-coffee</x:v>
      </x:c>
      <x:c r="R1469" s="20" t="str">
        <x:v>Ürün kimliği korundu; eksik alanlar erişilemedi olarak işaretlenecek.</x:v>
      </x:c>
    </x:row>
    <x:row r="1470" ht="40" customHeight="1">
      <x:c r="A1470" s="16" t="str">
        <x:v>Probador Colectiva</x:v>
      </x:c>
      <x:c r="B1470" s="16" t="str">
        <x:v>İstanbul</x:v>
      </x:c>
      <x:c r="C1470" s="16" t="str">
        <x:v>Doğrulandı</x:v>
      </x:c>
      <x:c r="D1470" s="16" t="str">
        <x:v>Ürün kaydı</x:v>
      </x:c>
      <x:c r="E1470" s="16" t="str">
        <x:v>ESPRO MICROFILTER FOR COFFEE 32 OZ</x:v>
      </x:c>
      <x:c r="F1470" s="16" t="str">
        <x:v>Menşe belirtilmemiş</x:v>
      </x:c>
      <x:c r="G1470" s="17" t="str">
        <x:v>Erişilemedi</x:v>
      </x:c>
      <x:c r="H1470" s="16" t="str">
        <x:v>Erişilemedi</x:v>
      </x:c>
      <x:c r="I1470" s="18" t="str">
        <x:v>Erişilemedi</x:v>
      </x:c>
      <x:c r="J1470" s="18" t="str">
        <x:v>Erişilemedi</x:v>
      </x:c>
      <x:c r="K1470" s="18" t="str">
        <x:f>IF(AND(ISNUMBER(G1470),ISNUMBER(I1470)),I1470/G1470*1000,"Erişilemedi")</x:f>
        <x:v>Erişilemedi</x:v>
      </x:c>
      <x:c r="L1470" s="16" t="str">
        <x:v>Belirsiz</x:v>
      </x:c>
      <x:c r="M1470" s="16" t="str">
        <x:v>Kahve ürünü</x:v>
      </x:c>
      <x:c r="N1470" s="16" t="str">
        <x:v>Site haritası ürün sayfası</x:v>
      </x:c>
      <x:c r="O1470" s="16" t="str">
        <x:v>Düşük</x:v>
      </x:c>
      <x:c r="P1470" s="19" t="n">
        <x:v>46245</x:v>
      </x:c>
      <x:c r="Q1470" s="20" t="str">
        <x:v>https://probadorcolectiva.com/en/espro-microfilter-for-coffee-32-oz</x:v>
      </x:c>
      <x:c r="R1470" s="20" t="str">
        <x:v>Ürün kimliği korundu; eksik alanlar erişilemedi olarak işaretlenecek.</x:v>
      </x:c>
    </x:row>
    <x:row r="1471" ht="40" customHeight="1">
      <x:c r="A1471" s="16" t="str">
        <x:v>Probador Colectiva</x:v>
      </x:c>
      <x:c r="B1471" s="16" t="str">
        <x:v>İstanbul</x:v>
      </x:c>
      <x:c r="C1471" s="16" t="str">
        <x:v>Doğrulandı</x:v>
      </x:c>
      <x:c r="D1471" s="16" t="str">
        <x:v>Ürün kaydı</x:v>
      </x:c>
      <x:c r="E1471" s="16" t="str">
        <x:v>ISTABUL COFFEE MAP</x:v>
      </x:c>
      <x:c r="F1471" s="16" t="str">
        <x:v>Menşe belirtilmemiş</x:v>
      </x:c>
      <x:c r="G1471" s="17" t="str">
        <x:v>Erişilemedi</x:v>
      </x:c>
      <x:c r="H1471" s="16" t="str">
        <x:v>Erişilemedi</x:v>
      </x:c>
      <x:c r="I1471" s="18" t="str">
        <x:v>Erişilemedi</x:v>
      </x:c>
      <x:c r="J1471" s="18" t="str">
        <x:v>Erişilemedi</x:v>
      </x:c>
      <x:c r="K1471" s="18" t="str">
        <x:f>IF(AND(ISNUMBER(G1471),ISNUMBER(I1471)),I1471/G1471*1000,"Erişilemedi")</x:f>
        <x:v>Erişilemedi</x:v>
      </x:c>
      <x:c r="L1471" s="16" t="str">
        <x:v>Belirsiz</x:v>
      </x:c>
      <x:c r="M1471" s="16" t="str">
        <x:v>Kahve ürünü</x:v>
      </x:c>
      <x:c r="N1471" s="16" t="str">
        <x:v>Site haritası ürün sayfası</x:v>
      </x:c>
      <x:c r="O1471" s="16" t="str">
        <x:v>Düşük</x:v>
      </x:c>
      <x:c r="P1471" s="19" t="n">
        <x:v>46245</x:v>
      </x:c>
      <x:c r="Q1471" s="20" t="str">
        <x:v>https://probadorcolectiva.com/en/istabul-coffee-map</x:v>
      </x:c>
      <x:c r="R1471" s="20" t="str">
        <x:v>Ürün kimliği korundu; eksik alanlar erişilemedi olarak işaretlenecek.</x:v>
      </x:c>
    </x:row>
    <x:row r="1472" ht="40" customHeight="1">
      <x:c r="A1472" s="16" t="str">
        <x:v>Probador Colectiva</x:v>
      </x:c>
      <x:c r="B1472" s="16" t="str">
        <x:v>İstanbul</x:v>
      </x:c>
      <x:c r="C1472" s="16" t="str">
        <x:v>Doğrulandı</x:v>
      </x:c>
      <x:c r="D1472" s="16" t="str">
        <x:v>Ürün kaydı</x:v>
      </x:c>
      <x:c r="E1472" s="16" t="str">
        <x:v>İSTANBUL KAHVE HARİTASI</x:v>
      </x:c>
      <x:c r="F1472" s="16" t="str">
        <x:v>Menşe belirtilmemiş</x:v>
      </x:c>
      <x:c r="G1472" s="17" t="str">
        <x:v>Erişilemedi</x:v>
      </x:c>
      <x:c r="H1472" s="16" t="str">
        <x:v>Erişilemedi</x:v>
      </x:c>
      <x:c r="I1472" s="18" t="str">
        <x:v>Erişilemedi</x:v>
      </x:c>
      <x:c r="J1472" s="18" t="str">
        <x:v>Erişilemedi</x:v>
      </x:c>
      <x:c r="K1472" s="18" t="str">
        <x:f>IF(AND(ISNUMBER(G1472),ISNUMBER(I1472)),I1472/G1472*1000,"Erişilemedi")</x:f>
        <x:v>Erişilemedi</x:v>
      </x:c>
      <x:c r="L1472" s="16" t="str">
        <x:v>Belirsiz</x:v>
      </x:c>
      <x:c r="M1472" s="16" t="str">
        <x:v>Kahve ürünü</x:v>
      </x:c>
      <x:c r="N1472" s="16" t="str">
        <x:v>Site haritası ürün sayfası</x:v>
      </x:c>
      <x:c r="O1472" s="16" t="str">
        <x:v>Düşük</x:v>
      </x:c>
      <x:c r="P1472" s="19" t="n">
        <x:v>46245</x:v>
      </x:c>
      <x:c r="Q1472" s="20" t="str">
        <x:v>https://probadorcolectiva.com/istanbul-kahve-haritasi</x:v>
      </x:c>
      <x:c r="R1472" s="20" t="str">
        <x:v>Ürün kimliği korundu; eksik alanlar erişilemedi olarak işaretlenecek.</x:v>
      </x:c>
    </x:row>
    <x:row r="1473" ht="40" customHeight="1">
      <x:c r="A1473" s="16" t="str">
        <x:v>Probador Colectiva</x:v>
      </x:c>
      <x:c r="B1473" s="16" t="str">
        <x:v>İstanbul</x:v>
      </x:c>
      <x:c r="C1473" s="16" t="str">
        <x:v>Doğrulandı</x:v>
      </x:c>
      <x:c r="D1473" s="16" t="str">
        <x:v>Ürün kaydı</x:v>
      </x:c>
      <x:c r="E1473" s="16" t="str">
        <x:v>Nitelikli Kahve Nedir?</x:v>
      </x:c>
      <x:c r="F1473" s="16" t="str">
        <x:v>Menşe belirtilmemiş</x:v>
      </x:c>
      <x:c r="G1473" s="17" t="str">
        <x:v>Erişilemedi</x:v>
      </x:c>
      <x:c r="H1473" s="16" t="str">
        <x:v>Erişilemedi</x:v>
      </x:c>
      <x:c r="I1473" s="18" t="str">
        <x:v>Erişilemedi</x:v>
      </x:c>
      <x:c r="J1473" s="18" t="str">
        <x:v>Erişilemedi</x:v>
      </x:c>
      <x:c r="K1473" s="18" t="str">
        <x:f>IF(AND(ISNUMBER(G1473),ISNUMBER(I1473)),I1473/G1473*1000,"Erişilemedi")</x:f>
        <x:v>Erişilemedi</x:v>
      </x:c>
      <x:c r="L1473" s="16" t="str">
        <x:v>Belirsiz</x:v>
      </x:c>
      <x:c r="M1473" s="16" t="str">
        <x:v>Kahve ürünü</x:v>
      </x:c>
      <x:c r="N1473" s="16" t="str">
        <x:v>Site haritası ürün sayfası</x:v>
      </x:c>
      <x:c r="O1473" s="16" t="str">
        <x:v>Düşük</x:v>
      </x:c>
      <x:c r="P1473" s="19" t="n">
        <x:v>46245</x:v>
      </x:c>
      <x:c r="Q1473" s="20" t="str">
        <x:v>https://probadorcolectiva.com/nitelikli-kahve-nedir</x:v>
      </x:c>
      <x:c r="R1473" s="20" t="str">
        <x:v>Ürün kimliği korundu; eksik alanlar erişilemedi olarak işaretlenecek.</x:v>
      </x:c>
    </x:row>
    <x:row r="1474" ht="40" customHeight="1">
      <x:c r="A1474" s="16" t="str">
        <x:v>Probador Colectiva</x:v>
      </x:c>
      <x:c r="B1474" s="16" t="str">
        <x:v>İstanbul</x:v>
      </x:c>
      <x:c r="C1474" s="16" t="str">
        <x:v>Doğrulandı</x:v>
      </x:c>
      <x:c r="D1474" s="16" t="str">
        <x:v>Ürün kaydı</x:v>
      </x:c>
      <x:c r="E1474" s="16" t="str">
        <x:v>Places You Can Enjoy Probador Coffee</x:v>
      </x:c>
      <x:c r="F1474" s="16" t="str">
        <x:v>Menşe belirtilmemiş</x:v>
      </x:c>
      <x:c r="G1474" s="17" t="str">
        <x:v>Erişilemedi</x:v>
      </x:c>
      <x:c r="H1474" s="16" t="str">
        <x:v>Erişilemedi</x:v>
      </x:c>
      <x:c r="I1474" s="18" t="str">
        <x:v>Erişilemedi</x:v>
      </x:c>
      <x:c r="J1474" s="18" t="str">
        <x:v>Erişilemedi</x:v>
      </x:c>
      <x:c r="K1474" s="18" t="str">
        <x:f>IF(AND(ISNUMBER(G1474),ISNUMBER(I1474)),I1474/G1474*1000,"Erişilemedi")</x:f>
        <x:v>Erişilemedi</x:v>
      </x:c>
      <x:c r="L1474" s="16" t="str">
        <x:v>Belirsiz</x:v>
      </x:c>
      <x:c r="M1474" s="16" t="str">
        <x:v>Kahve ürünü</x:v>
      </x:c>
      <x:c r="N1474" s="16" t="str">
        <x:v>Site haritası ürün sayfası</x:v>
      </x:c>
      <x:c r="O1474" s="16" t="str">
        <x:v>Düşük</x:v>
      </x:c>
      <x:c r="P1474" s="19" t="n">
        <x:v>46245</x:v>
      </x:c>
      <x:c r="Q1474" s="20" t="str">
        <x:v>https://probadorcolectiva.com/en/places-you-can-find-probador-coffee</x:v>
      </x:c>
      <x:c r="R1474" s="20" t="str">
        <x:v>Ürün kimliği korundu; eksik alanlar erişilemedi olarak işaretlenecek.</x:v>
      </x:c>
    </x:row>
    <x:row r="1475" ht="40" customHeight="1">
      <x:c r="A1475" s="16" t="str">
        <x:v>Probador Colectiva</x:v>
      </x:c>
      <x:c r="B1475" s="16" t="str">
        <x:v>İstanbul</x:v>
      </x:c>
      <x:c r="C1475" s="16" t="str">
        <x:v>Doğrulandı</x:v>
      </x:c>
      <x:c r="D1475" s="16" t="str">
        <x:v>Ürün kaydı</x:v>
      </x:c>
      <x:c r="E1475" s="16" t="str">
        <x:v>Products</x:v>
      </x:c>
      <x:c r="F1475" s="16" t="str">
        <x:v>Menşe belirtilmemiş</x:v>
      </x:c>
      <x:c r="G1475" s="17" t="str">
        <x:v>Erişilemedi</x:v>
      </x:c>
      <x:c r="H1475" s="16" t="str">
        <x:v>Erişilemedi</x:v>
      </x:c>
      <x:c r="I1475" s="18" t="str">
        <x:v>Erişilemedi</x:v>
      </x:c>
      <x:c r="J1475" s="18" t="str">
        <x:v>Erişilemedi</x:v>
      </x:c>
      <x:c r="K1475" s="18" t="str">
        <x:f>IF(AND(ISNUMBER(G1475),ISNUMBER(I1475)),I1475/G1475*1000,"Erişilemedi")</x:f>
        <x:v>Erişilemedi</x:v>
      </x:c>
      <x:c r="L1475" s="16" t="str">
        <x:v>Belirsiz</x:v>
      </x:c>
      <x:c r="M1475" s="16" t="str">
        <x:v>Kahve ürünü</x:v>
      </x:c>
      <x:c r="N1475" s="16" t="str">
        <x:v>Site haritası ürün sayfası</x:v>
      </x:c>
      <x:c r="O1475" s="16" t="str">
        <x:v>Düşük</x:v>
      </x:c>
      <x:c r="P1475" s="19" t="n">
        <x:v>46245</x:v>
      </x:c>
      <x:c r="Q1475" s="20" t="str">
        <x:v>https://probadorcolectiva.com/en/products</x:v>
      </x:c>
      <x:c r="R1475" s="20" t="str">
        <x:v>Ürün kimliği korundu; eksik alanlar erişilemedi olarak işaretlenecek.</x:v>
      </x:c>
    </x:row>
    <x:row r="1476" ht="40" customHeight="1">
      <x:c r="A1476" s="16" t="str">
        <x:v>Probador Colectiva</x:v>
      </x:c>
      <x:c r="B1476" s="16" t="str">
        <x:v>İstanbul</x:v>
      </x:c>
      <x:c r="C1476" s="16" t="str">
        <x:v>Doğrulandı</x:v>
      </x:c>
      <x:c r="D1476" s="16" t="str">
        <x:v>Ürün kaydı</x:v>
      </x:c>
      <x:c r="E1476" s="16" t="str">
        <x:v>SPECIALTY COFFEE</x:v>
      </x:c>
      <x:c r="F1476" s="16" t="str">
        <x:v>Menşe belirtilmemiş</x:v>
      </x:c>
      <x:c r="G1476" s="17" t="str">
        <x:v>Erişilemedi</x:v>
      </x:c>
      <x:c r="H1476" s="16" t="str">
        <x:v>Erişilemedi</x:v>
      </x:c>
      <x:c r="I1476" s="18" t="str">
        <x:v>Erişilemedi</x:v>
      </x:c>
      <x:c r="J1476" s="18" t="str">
        <x:v>Erişilemedi</x:v>
      </x:c>
      <x:c r="K1476" s="18" t="str">
        <x:f>IF(AND(ISNUMBER(G1476),ISNUMBER(I1476)),I1476/G1476*1000,"Erişilemedi")</x:f>
        <x:v>Erişilemedi</x:v>
      </x:c>
      <x:c r="L1476" s="16" t="str">
        <x:v>Belirsiz</x:v>
      </x:c>
      <x:c r="M1476" s="16" t="str">
        <x:v>Kahve ürünü</x:v>
      </x:c>
      <x:c r="N1476" s="16" t="str">
        <x:v>Site haritası ürün sayfası</x:v>
      </x:c>
      <x:c r="O1476" s="16" t="str">
        <x:v>Düşük</x:v>
      </x:c>
      <x:c r="P1476" s="19" t="n">
        <x:v>46245</x:v>
      </x:c>
      <x:c r="Q1476" s="20" t="str">
        <x:v>https://probadorcolectiva.com/en/coffee</x:v>
      </x:c>
      <x:c r="R1476" s="20" t="str">
        <x:v>Ürün kimliği korundu; eksik alanlar erişilemedi olarak işaretlenecek.</x:v>
      </x:c>
    </x:row>
    <x:row r="1477" ht="40" customHeight="1">
      <x:c r="A1477" s="16" t="str">
        <x:v>Probador Colectiva</x:v>
      </x:c>
      <x:c r="B1477" s="16" t="str">
        <x:v>İstanbul</x:v>
      </x:c>
      <x:c r="C1477" s="16" t="str">
        <x:v>Doğrulandı</x:v>
      </x:c>
      <x:c r="D1477" s="16" t="str">
        <x:v>Ürün kaydı</x:v>
      </x:c>
      <x:c r="E1477" s="16" t="str">
        <x:v>WASHED COFFEES SAMPLE SET 1</x:v>
      </x:c>
      <x:c r="F1477" s="16" t="str">
        <x:v>Menşe belirtilmemiş</x:v>
      </x:c>
      <x:c r="G1477" s="17" t="str">
        <x:v>Erişilemedi</x:v>
      </x:c>
      <x:c r="H1477" s="16" t="str">
        <x:v>Erişilemedi</x:v>
      </x:c>
      <x:c r="I1477" s="18" t="str">
        <x:v>Erişilemedi</x:v>
      </x:c>
      <x:c r="J1477" s="18" t="str">
        <x:v>Erişilemedi</x:v>
      </x:c>
      <x:c r="K1477" s="18" t="str">
        <x:f>IF(AND(ISNUMBER(G1477),ISNUMBER(I1477)),I1477/G1477*1000,"Erişilemedi")</x:f>
        <x:v>Erişilemedi</x:v>
      </x:c>
      <x:c r="L1477" s="16" t="str">
        <x:v>Belirsiz</x:v>
      </x:c>
      <x:c r="M1477" s="16" t="str">
        <x:v>Kahve ürünü</x:v>
      </x:c>
      <x:c r="N1477" s="16" t="str">
        <x:v>Site haritası ürün sayfası</x:v>
      </x:c>
      <x:c r="O1477" s="16" t="str">
        <x:v>Düşük</x:v>
      </x:c>
      <x:c r="P1477" s="19" t="n">
        <x:v>46245</x:v>
      </x:c>
      <x:c r="Q1477" s="20" t="str">
        <x:v>https://probadorcolectiva.com/en/washed-coffees-sample-set-1</x:v>
      </x:c>
      <x:c r="R1477" s="20" t="str">
        <x:v>Ürün kimliği korundu; eksik alanlar erişilemedi olarak işaretlenecek.</x:v>
      </x:c>
    </x:row>
    <x:row r="1478" ht="40" customHeight="1">
      <x:c r="A1478" s="16" t="str">
        <x:v>Probador Colectiva</x:v>
      </x:c>
      <x:c r="B1478" s="16" t="str">
        <x:v>İstanbul</x:v>
      </x:c>
      <x:c r="C1478" s="16" t="str">
        <x:v>Doğrulandı</x:v>
      </x:c>
      <x:c r="D1478" s="16" t="str">
        <x:v>Ürün kaydı</x:v>
      </x:c>
      <x:c r="E1478" s="16" t="str">
        <x:v>WASHED COFFEES SAMPLE SET 2</x:v>
      </x:c>
      <x:c r="F1478" s="16" t="str">
        <x:v>Menşe belirtilmemiş</x:v>
      </x:c>
      <x:c r="G1478" s="17" t="str">
        <x:v>Erişilemedi</x:v>
      </x:c>
      <x:c r="H1478" s="16" t="str">
        <x:v>Erişilemedi</x:v>
      </x:c>
      <x:c r="I1478" s="18" t="str">
        <x:v>Erişilemedi</x:v>
      </x:c>
      <x:c r="J1478" s="18" t="str">
        <x:v>Erişilemedi</x:v>
      </x:c>
      <x:c r="K1478" s="18" t="str">
        <x:f>IF(AND(ISNUMBER(G1478),ISNUMBER(I1478)),I1478/G1478*1000,"Erişilemedi")</x:f>
        <x:v>Erişilemedi</x:v>
      </x:c>
      <x:c r="L1478" s="16" t="str">
        <x:v>Belirsiz</x:v>
      </x:c>
      <x:c r="M1478" s="16" t="str">
        <x:v>Kahve ürünü</x:v>
      </x:c>
      <x:c r="N1478" s="16" t="str">
        <x:v>Site haritası ürün sayfası</x:v>
      </x:c>
      <x:c r="O1478" s="16" t="str">
        <x:v>Düşük</x:v>
      </x:c>
      <x:c r="P1478" s="19" t="n">
        <x:v>46245</x:v>
      </x:c>
      <x:c r="Q1478" s="20" t="str">
        <x:v>https://probadorcolectiva.com/en/washed-coffees-sample-set-2</x:v>
      </x:c>
      <x:c r="R1478" s="20" t="str">
        <x:v>Ürün kimliği korundu; eksik alanlar erişilemedi olarak işaretlenecek.</x:v>
      </x:c>
    </x:row>
    <x:row r="1479" ht="40" customHeight="1">
      <x:c r="A1479" s="16" t="str">
        <x:v>Probador Colectiva</x:v>
      </x:c>
      <x:c r="B1479" s="16" t="str">
        <x:v>İstanbul</x:v>
      </x:c>
      <x:c r="C1479" s="16" t="str">
        <x:v>Doğrulandı</x:v>
      </x:c>
      <x:c r="D1479" s="16" t="str">
        <x:v>Ürün kaydı</x:v>
      </x:c>
      <x:c r="E1479" s="16" t="str">
        <x:v>WHOLESALE COFFEE</x:v>
      </x:c>
      <x:c r="F1479" s="16" t="str">
        <x:v>Menşe belirtilmemiş</x:v>
      </x:c>
      <x:c r="G1479" s="17" t="str">
        <x:v>Erişilemedi</x:v>
      </x:c>
      <x:c r="H1479" s="16" t="str">
        <x:v>Erişilemedi</x:v>
      </x:c>
      <x:c r="I1479" s="18" t="str">
        <x:v>Erişilemedi</x:v>
      </x:c>
      <x:c r="J1479" s="18" t="str">
        <x:v>Erişilemedi</x:v>
      </x:c>
      <x:c r="K1479" s="18" t="str">
        <x:f>IF(AND(ISNUMBER(G1479),ISNUMBER(I1479)),I1479/G1479*1000,"Erişilemedi")</x:f>
        <x:v>Erişilemedi</x:v>
      </x:c>
      <x:c r="L1479" s="16" t="str">
        <x:v>Belirsiz</x:v>
      </x:c>
      <x:c r="M1479" s="16" t="str">
        <x:v>Kahve ürünü</x:v>
      </x:c>
      <x:c r="N1479" s="16" t="str">
        <x:v>Site haritası ürün sayfası</x:v>
      </x:c>
      <x:c r="O1479" s="16" t="str">
        <x:v>Düşük</x:v>
      </x:c>
      <x:c r="P1479" s="19" t="n">
        <x:v>46245</x:v>
      </x:c>
      <x:c r="Q1479" s="20" t="str">
        <x:v>https://probadorcolectiva.com/en/wholesale-coffee</x:v>
      </x:c>
      <x:c r="R1479" s="20" t="str">
        <x:v>Ürün kimliği korundu; eksik alanlar erişilemedi olarak işaretlenecek.</x:v>
      </x:c>
    </x:row>
    <x:row r="1480" ht="40" customHeight="1">
      <x:c r="A1480" s="16" t="str">
        <x:v>Punctum Coffee</x:v>
      </x:c>
      <x:c r="B1480" s="16" t="str">
        <x:v>İzmir</x:v>
      </x:c>
      <x:c r="C1480" s="16" t="str">
        <x:v>Kısmi doğrulama</x:v>
      </x:c>
      <x:c r="D1480" s="16" t="str">
        <x:v>Katalog takip kaydı</x:v>
      </x:c>
      <x:c r="E1480" s="16" t="str">
        <x:v>Ürün kataloğu — ayrıntılı ürün verisine erişilemedi</x:v>
      </x:c>
      <x:c r="F1480" s="16" t="str">
        <x:v>Erişilemedi</x:v>
      </x:c>
      <x:c r="G1480" s="17" t="str">
        <x:v>Erişilemedi</x:v>
      </x:c>
      <x:c r="H1480" s="16" t="str">
        <x:v>Erişilemedi</x:v>
      </x:c>
      <x:c r="I1480" s="18" t="str">
        <x:v>Erişilemedi</x:v>
      </x:c>
      <x:c r="J1480" s="18" t="str">
        <x:v>Erişilemedi</x:v>
      </x:c>
      <x:c r="K1480" s="18" t="str">
        <x:f>IF(AND(ISNUMBER(G1480),ISNUMBER(I1480)),I1480/G1480*1000,"Erişilemedi")</x:f>
        <x:v>Erişilemedi</x:v>
      </x:c>
      <x:c r="L1480" s="16" t="str">
        <x:v>Erişilemedi</x:v>
      </x:c>
      <x:c r="M1480" s="16" t="str">
        <x:v>Katalog/takip kaydı</x:v>
      </x:c>
      <x:c r="N1480" s="16" t="str">
        <x:v>Mağaza/katalog bağlantısı</x:v>
      </x:c>
      <x:c r="O1480" s="16" t="str">
        <x:v>Takip gerekli</x:v>
      </x:c>
      <x:c r="P1480" s="19" t="n">
        <x:v>46245</x:v>
      </x:c>
      <x:c r="Q1480" s="20" t="str">
        <x:v>https://punctumcoffee.com/</x:v>
      </x:c>
      <x:c r="R1480" s="20" t="str">
        <x:v>Ürün adı, gramaj ve fiyat birlikte çıkarılamadı. Bağlantı manuel inceleme için korundu.</x:v>
      </x:c>
    </x:row>
    <x:row r="1481" ht="40" customHeight="1">
      <x:c r="A1481" s="16" t="str">
        <x:v>Resmo Roasting Co.</x:v>
      </x:c>
      <x:c r="B1481" s="16" t="str"/>
      <x:c r="C1481" s="16" t="str">
        <x:v>Kısmi doğrulama</x:v>
      </x:c>
      <x:c r="D1481" s="16" t="str">
        <x:v>Katalog takip kaydı</x:v>
      </x:c>
      <x:c r="E1481" s="16" t="str">
        <x:v>Ürün kataloğu — ayrıntılı ürün verisine erişilemedi</x:v>
      </x:c>
      <x:c r="F1481" s="16" t="str">
        <x:v>Erişilemedi</x:v>
      </x:c>
      <x:c r="G1481" s="17" t="str">
        <x:v>Erişilemedi</x:v>
      </x:c>
      <x:c r="H1481" s="16" t="str">
        <x:v>Erişilemedi</x:v>
      </x:c>
      <x:c r="I1481" s="18" t="str">
        <x:v>Erişilemedi</x:v>
      </x:c>
      <x:c r="J1481" s="18" t="str">
        <x:v>Erişilemedi</x:v>
      </x:c>
      <x:c r="K1481" s="18" t="str">
        <x:f>IF(AND(ISNUMBER(G1481),ISNUMBER(I1481)),I1481/G1481*1000,"Erişilemedi")</x:f>
        <x:v>Erişilemedi</x:v>
      </x:c>
      <x:c r="L1481" s="16" t="str">
        <x:v>Erişilemedi</x:v>
      </x:c>
      <x:c r="M1481" s="16" t="str">
        <x:v>Katalog/takip kaydı</x:v>
      </x:c>
      <x:c r="N1481" s="16" t="str">
        <x:v>Instagram veya mevcut kaynak</x:v>
      </x:c>
      <x:c r="O1481" s="16" t="str">
        <x:v>Takip gerekli</x:v>
      </x:c>
      <x:c r="P1481" s="19" t="n">
        <x:v>46245</x:v>
      </x:c>
      <x:c r="Q1481" s="20" t="str">
        <x:v>Erişilemedi</x:v>
      </x:c>
      <x:c r="R1481" s="20" t="str">
        <x:v>Ürün adı, gramaj ve fiyat birlikte çıkarılamadı. Bağlantı manuel inceleme için korundu.</x:v>
      </x:c>
    </x:row>
    <x:row r="1482" ht="40" customHeight="1">
      <x:c r="A1482" s="16" t="str">
        <x:v>Rispetto Coffee</x:v>
      </x:c>
      <x:c r="B1482" s="16" t="str">
        <x:v>Ankara</x:v>
      </x:c>
      <x:c r="C1482" s="16" t="str">
        <x:v>Kısmi doğrulama</x:v>
      </x:c>
      <x:c r="D1482" s="16" t="str">
        <x:v>Katalog takip kaydı</x:v>
      </x:c>
      <x:c r="E1482" s="16" t="str">
        <x:v>Ürün kataloğu — ayrıntılı ürün verisine erişilemedi</x:v>
      </x:c>
      <x:c r="F1482" s="16" t="str">
        <x:v>Erişilemedi</x:v>
      </x:c>
      <x:c r="G1482" s="17" t="str">
        <x:v>Erişilemedi</x:v>
      </x:c>
      <x:c r="H1482" s="16" t="str">
        <x:v>Erişilemedi</x:v>
      </x:c>
      <x:c r="I1482" s="18" t="str">
        <x:v>Erişilemedi</x:v>
      </x:c>
      <x:c r="J1482" s="18" t="str">
        <x:v>Erişilemedi</x:v>
      </x:c>
      <x:c r="K1482" s="18" t="str">
        <x:f>IF(AND(ISNUMBER(G1482),ISNUMBER(I1482)),I1482/G1482*1000,"Erişilemedi")</x:f>
        <x:v>Erişilemedi</x:v>
      </x:c>
      <x:c r="L1482" s="16" t="str">
        <x:v>Erişilemedi</x:v>
      </x:c>
      <x:c r="M1482" s="16" t="str">
        <x:v>Katalog/takip kaydı</x:v>
      </x:c>
      <x:c r="N1482" s="16" t="str">
        <x:v>Instagram veya mevcut kaynak</x:v>
      </x:c>
      <x:c r="O1482" s="16" t="str">
        <x:v>Takip gerekli</x:v>
      </x:c>
      <x:c r="P1482" s="19" t="n">
        <x:v>46245</x:v>
      </x:c>
      <x:c r="Q1482" s="20" t="str">
        <x:v>Erişilemedi</x:v>
      </x:c>
      <x:c r="R1482" s="20" t="str">
        <x:v>Ürün adı, gramaj ve fiyat birlikte çıkarılamadı. Bağlantı manuel inceleme için korundu.</x:v>
      </x:c>
    </x:row>
    <x:row r="1483" ht="40" customHeight="1">
      <x:c r="A1483" s="16" t="str">
        <x:v>Roast Room</x:v>
      </x:c>
      <x:c r="B1483" s="16" t="str">
        <x:v>İstanbul</x:v>
      </x:c>
      <x:c r="C1483" s="16" t="str">
        <x:v>Doğrulandı</x:v>
      </x:c>
      <x:c r="D1483" s="16" t="str">
        <x:v>Ürün kaydı</x:v>
      </x:c>
      <x:c r="E1483" s="16" t="str">
        <x:v>Blend 70-30 / Natural</x:v>
      </x:c>
      <x:c r="F1483" s="16" t="str">
        <x:v>Etiyopya | Brezilya</x:v>
      </x:c>
      <x:c r="G1483" s="17" t="n">
        <x:v>250</x:v>
      </x:c>
      <x:c r="H1483" s="16" t="str">
        <x:v>Erişildi</x:v>
      </x:c>
      <x:c r="I1483" s="18" t="n">
        <x:v>525</x:v>
      </x:c>
      <x:c r="J1483" s="18" t="str">
        <x:v>Erişildi</x:v>
      </x:c>
      <x:c r="K1483" s="18" t="n">
        <x:f>IF(AND(ISNUMBER(G1483),ISNUMBER(I1483)),I1483/G1483*1000,"Erişilemedi")</x:f>
        <x:v>2100</x:v>
      </x:c>
      <x:c r="L1483" s="16" t="str">
        <x:v>Stokta</x:v>
      </x:c>
      <x:c r="M1483" s="16" t="str">
        <x:v>Harman</x:v>
      </x:c>
      <x:c r="N1483" s="16" t="str">
        <x:v>Shopify ürün akışı</x:v>
      </x:c>
      <x:c r="O1483" s="16" t="str">
        <x:v>Yüksek</x:v>
      </x:c>
      <x:c r="P1483" s="19" t="n">
        <x:v>46245</x:v>
      </x:c>
      <x:c r="Q1483" s="20" t="str">
        <x:v>https://theroastroom.co/products/blend-70-30</x:v>
      </x:c>
      <x:c r="R1483" s="20" t="str">
        <x:v>Öğütüm seçenekleri aynı gramaj ve fiyatta tekilleştirildi.</x:v>
      </x:c>
    </x:row>
    <x:row r="1484" ht="40" customHeight="1">
      <x:c r="A1484" s="16" t="str">
        <x:v>Roast Room</x:v>
      </x:c>
      <x:c r="B1484" s="16" t="str">
        <x:v>İstanbul</x:v>
      </x:c>
      <x:c r="C1484" s="16" t="str">
        <x:v>Doğrulandı</x:v>
      </x:c>
      <x:c r="D1484" s="16" t="str">
        <x:v>Ürün kaydı</x:v>
      </x:c>
      <x:c r="E1484" s="16" t="str">
        <x:v>Blend 70-30 / Natural</x:v>
      </x:c>
      <x:c r="F1484" s="16" t="str">
        <x:v>Etiyopya | Brezilya</x:v>
      </x:c>
      <x:c r="G1484" s="17" t="n">
        <x:v>1000</x:v>
      </x:c>
      <x:c r="H1484" s="16" t="str">
        <x:v>Erişildi</x:v>
      </x:c>
      <x:c r="I1484" s="18" t="n">
        <x:v>1595</x:v>
      </x:c>
      <x:c r="J1484" s="18" t="str">
        <x:v>Erişildi</x:v>
      </x:c>
      <x:c r="K1484" s="18" t="n">
        <x:f>IF(AND(ISNUMBER(G1484),ISNUMBER(I1484)),I1484/G1484*1000,"Erişilemedi")</x:f>
        <x:v>1595</x:v>
      </x:c>
      <x:c r="L1484" s="16" t="str">
        <x:v>Stokta</x:v>
      </x:c>
      <x:c r="M1484" s="16" t="str">
        <x:v>Harman</x:v>
      </x:c>
      <x:c r="N1484" s="16" t="str">
        <x:v>Shopify ürün akışı</x:v>
      </x:c>
      <x:c r="O1484" s="16" t="str">
        <x:v>Yüksek</x:v>
      </x:c>
      <x:c r="P1484" s="19" t="n">
        <x:v>46245</x:v>
      </x:c>
      <x:c r="Q1484" s="20" t="str">
        <x:v>https://theroastroom.co/products/blend-70-30</x:v>
      </x:c>
      <x:c r="R1484" s="20" t="str">
        <x:v>Öğütüm seçenekleri aynı gramaj ve fiyatta tekilleştirildi.</x:v>
      </x:c>
    </x:row>
    <x:row r="1485" ht="40" customHeight="1">
      <x:c r="A1485" s="16" t="str">
        <x:v>Roast Room</x:v>
      </x:c>
      <x:c r="B1485" s="16" t="str">
        <x:v>İstanbul</x:v>
      </x:c>
      <x:c r="C1485" s="16" t="str">
        <x:v>Doğrulandı</x:v>
      </x:c>
      <x:c r="D1485" s="16" t="str">
        <x:v>Ürün kaydı</x:v>
      </x:c>
      <x:c r="E1485" s="16" t="str">
        <x:v>Brazil Caramelo / Natural</x:v>
      </x:c>
      <x:c r="F1485" s="16" t="str">
        <x:v>Brezilya</x:v>
      </x:c>
      <x:c r="G1485" s="17" t="n">
        <x:v>250</x:v>
      </x:c>
      <x:c r="H1485" s="16" t="str">
        <x:v>Erişildi</x:v>
      </x:c>
      <x:c r="I1485" s="18" t="n">
        <x:v>495</x:v>
      </x:c>
      <x:c r="J1485" s="18" t="str">
        <x:v>Erişildi</x:v>
      </x:c>
      <x:c r="K1485" s="18" t="n">
        <x:f>IF(AND(ISNUMBER(G1485),ISNUMBER(I1485)),I1485/G1485*1000,"Erişilemedi")</x:f>
        <x:v>1980</x:v>
      </x:c>
      <x:c r="L1485" s="16" t="str">
        <x:v>Stokta</x:v>
      </x:c>
      <x:c r="M1485" s="16" t="str">
        <x:v>Tek köken/ürün</x:v>
      </x:c>
      <x:c r="N1485" s="16" t="str">
        <x:v>Shopify ürün akışı</x:v>
      </x:c>
      <x:c r="O1485" s="16" t="str">
        <x:v>Yüksek</x:v>
      </x:c>
      <x:c r="P1485" s="19" t="n">
        <x:v>46245</x:v>
      </x:c>
      <x:c r="Q1485" s="20" t="str">
        <x:v>https://theroastroom.co/products/brazil-caramelo</x:v>
      </x:c>
      <x:c r="R1485" s="20" t="str">
        <x:v>Öğütüm seçenekleri aynı gramaj ve fiyatta tekilleştirildi.</x:v>
      </x:c>
    </x:row>
    <x:row r="1486" ht="40" customHeight="1">
      <x:c r="A1486" s="16" t="str">
        <x:v>Roast Room</x:v>
      </x:c>
      <x:c r="B1486" s="16" t="str">
        <x:v>İstanbul</x:v>
      </x:c>
      <x:c r="C1486" s="16" t="str">
        <x:v>Doğrulandı</x:v>
      </x:c>
      <x:c r="D1486" s="16" t="str">
        <x:v>Ürün kaydı</x:v>
      </x:c>
      <x:c r="E1486" s="16" t="str">
        <x:v>Brazil Caramelo / Natural</x:v>
      </x:c>
      <x:c r="F1486" s="16" t="str">
        <x:v>Brezilya</x:v>
      </x:c>
      <x:c r="G1486" s="17" t="n">
        <x:v>1000</x:v>
      </x:c>
      <x:c r="H1486" s="16" t="str">
        <x:v>Erişildi</x:v>
      </x:c>
      <x:c r="I1486" s="18" t="n">
        <x:v>1480</x:v>
      </x:c>
      <x:c r="J1486" s="18" t="str">
        <x:v>Erişildi</x:v>
      </x:c>
      <x:c r="K1486" s="18" t="n">
        <x:f>IF(AND(ISNUMBER(G1486),ISNUMBER(I1486)),I1486/G1486*1000,"Erişilemedi")</x:f>
        <x:v>1480</x:v>
      </x:c>
      <x:c r="L1486" s="16" t="str">
        <x:v>Stokta</x:v>
      </x:c>
      <x:c r="M1486" s="16" t="str">
        <x:v>Tek köken/ürün</x:v>
      </x:c>
      <x:c r="N1486" s="16" t="str">
        <x:v>Shopify ürün akışı</x:v>
      </x:c>
      <x:c r="O1486" s="16" t="str">
        <x:v>Yüksek</x:v>
      </x:c>
      <x:c r="P1486" s="19" t="n">
        <x:v>46245</x:v>
      </x:c>
      <x:c r="Q1486" s="20" t="str">
        <x:v>https://theroastroom.co/products/brazil-caramelo</x:v>
      </x:c>
      <x:c r="R1486" s="20" t="str">
        <x:v>Öğütüm seçenekleri aynı gramaj ve fiyatta tekilleştirildi.</x:v>
      </x:c>
    </x:row>
    <x:row r="1487" ht="40" customHeight="1">
      <x:c r="A1487" s="16" t="str">
        <x:v>Roast Room</x:v>
      </x:c>
      <x:c r="B1487" s="16" t="str">
        <x:v>İstanbul</x:v>
      </x:c>
      <x:c r="C1487" s="16" t="str">
        <x:v>Doğrulandı</x:v>
      </x:c>
      <x:c r="D1487" s="16" t="str">
        <x:v>Ürün kaydı</x:v>
      </x:c>
      <x:c r="E1487" s="16" t="str">
        <x:v>Burundi Busasa / Yıkanmış</x:v>
      </x:c>
      <x:c r="F1487" s="16" t="str">
        <x:v>Burundi</x:v>
      </x:c>
      <x:c r="G1487" s="17" t="n">
        <x:v>250</x:v>
      </x:c>
      <x:c r="H1487" s="16" t="str">
        <x:v>Erişildi</x:v>
      </x:c>
      <x:c r="I1487" s="18" t="n">
        <x:v>575</x:v>
      </x:c>
      <x:c r="J1487" s="18" t="str">
        <x:v>Erişildi</x:v>
      </x:c>
      <x:c r="K1487" s="18" t="n">
        <x:f>IF(AND(ISNUMBER(G1487),ISNUMBER(I1487)),I1487/G1487*1000,"Erişilemedi")</x:f>
        <x:v>2300</x:v>
      </x:c>
      <x:c r="L1487" s="16" t="str">
        <x:v>Stokta</x:v>
      </x:c>
      <x:c r="M1487" s="16" t="str">
        <x:v>Tek köken/ürün</x:v>
      </x:c>
      <x:c r="N1487" s="16" t="str">
        <x:v>Shopify ürün akışı</x:v>
      </x:c>
      <x:c r="O1487" s="16" t="str">
        <x:v>Yüksek</x:v>
      </x:c>
      <x:c r="P1487" s="19" t="n">
        <x:v>46245</x:v>
      </x:c>
      <x:c r="Q1487" s="20" t="str">
        <x:v>https://theroastroom.co/products/burundi-busasa-yikanmis</x:v>
      </x:c>
      <x:c r="R1487" s="20" t="str">
        <x:v>Öğütüm seçenekleri aynı gramaj ve fiyatta tekilleştirildi.</x:v>
      </x:c>
    </x:row>
    <x:row r="1488" ht="40" customHeight="1">
      <x:c r="A1488" s="16" t="str">
        <x:v>Roast Room</x:v>
      </x:c>
      <x:c r="B1488" s="16" t="str">
        <x:v>İstanbul</x:v>
      </x:c>
      <x:c r="C1488" s="16" t="str">
        <x:v>Doğrulandı</x:v>
      </x:c>
      <x:c r="D1488" s="16" t="str">
        <x:v>Ürün kaydı</x:v>
      </x:c>
      <x:c r="E1488" s="16" t="str">
        <x:v>Colombia Santa Lucia / Natural Pink Bourbon</x:v>
      </x:c>
      <x:c r="F1488" s="16" t="str">
        <x:v>Kolombiya</x:v>
      </x:c>
      <x:c r="G1488" s="17" t="n">
        <x:v>250</x:v>
      </x:c>
      <x:c r="H1488" s="16" t="str">
        <x:v>Erişildi</x:v>
      </x:c>
      <x:c r="I1488" s="18" t="n">
        <x:v>720</x:v>
      </x:c>
      <x:c r="J1488" s="18" t="str">
        <x:v>Erişildi</x:v>
      </x:c>
      <x:c r="K1488" s="18" t="n">
        <x:f>IF(AND(ISNUMBER(G1488),ISNUMBER(I1488)),I1488/G1488*1000,"Erişilemedi")</x:f>
        <x:v>2880</x:v>
      </x:c>
      <x:c r="L1488" s="16" t="str">
        <x:v>Stokta</x:v>
      </x:c>
      <x:c r="M1488" s="16" t="str">
        <x:v>Tek köken/ürün</x:v>
      </x:c>
      <x:c r="N1488" s="16" t="str">
        <x:v>Shopify ürün akışı</x:v>
      </x:c>
      <x:c r="O1488" s="16" t="str">
        <x:v>Yüksek</x:v>
      </x:c>
      <x:c r="P1488" s="19" t="n">
        <x:v>46245</x:v>
      </x:c>
      <x:c r="Q1488" s="20" t="str">
        <x:v>https://theroastroom.co/products/colombia-santa-lucia-natural</x:v>
      </x:c>
      <x:c r="R1488" s="20" t="str">
        <x:v>Öğütüm seçenekleri aynı gramaj ve fiyatta tekilleştirildi.</x:v>
      </x:c>
    </x:row>
    <x:row r="1489" ht="40" customHeight="1">
      <x:c r="A1489" s="16" t="str">
        <x:v>Roast Room</x:v>
      </x:c>
      <x:c r="B1489" s="16" t="str">
        <x:v>İstanbul</x:v>
      </x:c>
      <x:c r="C1489" s="16" t="str">
        <x:v>Doğrulandı</x:v>
      </x:c>
      <x:c r="D1489" s="16" t="str">
        <x:v>Ürün kaydı</x:v>
      </x:c>
      <x:c r="E1489" s="16" t="str">
        <x:v>Colombia Santa Maria / Co-Fermentation</x:v>
      </x:c>
      <x:c r="F1489" s="16" t="str">
        <x:v>Kolombiya</x:v>
      </x:c>
      <x:c r="G1489" s="17" t="n">
        <x:v>250</x:v>
      </x:c>
      <x:c r="H1489" s="16" t="str">
        <x:v>Erişildi</x:v>
      </x:c>
      <x:c r="I1489" s="18" t="n">
        <x:v>750</x:v>
      </x:c>
      <x:c r="J1489" s="18" t="str">
        <x:v>Erişildi</x:v>
      </x:c>
      <x:c r="K1489" s="18" t="n">
        <x:f>IF(AND(ISNUMBER(G1489),ISNUMBER(I1489)),I1489/G1489*1000,"Erişilemedi")</x:f>
        <x:v>3000</x:v>
      </x:c>
      <x:c r="L1489" s="16" t="str">
        <x:v>Stokta</x:v>
      </x:c>
      <x:c r="M1489" s="16" t="str">
        <x:v>Tek köken/ürün</x:v>
      </x:c>
      <x:c r="N1489" s="16" t="str">
        <x:v>Shopify ürün akışı</x:v>
      </x:c>
      <x:c r="O1489" s="16" t="str">
        <x:v>Yüksek</x:v>
      </x:c>
      <x:c r="P1489" s="19" t="n">
        <x:v>46245</x:v>
      </x:c>
      <x:c r="Q1489" s="20" t="str">
        <x:v>https://theroastroom.co/products/colombia-santa-maria-co-fermentation</x:v>
      </x:c>
      <x:c r="R1489" s="20" t="str">
        <x:v>Öğütüm seçenekleri aynı gramaj ve fiyatta tekilleştirildi.</x:v>
      </x:c>
    </x:row>
    <x:row r="1490" ht="40" customHeight="1">
      <x:c r="A1490" s="16" t="str">
        <x:v>Roast Room</x:v>
      </x:c>
      <x:c r="B1490" s="16" t="str">
        <x:v>İstanbul</x:v>
      </x:c>
      <x:c r="C1490" s="16" t="str">
        <x:v>Doğrulandı</x:v>
      </x:c>
      <x:c r="D1490" s="16" t="str">
        <x:v>Ürün kaydı</x:v>
      </x:c>
      <x:c r="E1490" s="16" t="str">
        <x:v>Dark Room Blend / 18 Adet Kapsül Kahve</x:v>
      </x:c>
      <x:c r="F1490" s="16" t="str">
        <x:v>Brezilya | Hindistan</x:v>
      </x:c>
      <x:c r="G1490" s="17" t="str">
        <x:v>Erişilemedi</x:v>
      </x:c>
      <x:c r="H1490" s="16" t="str">
        <x:v>Erişilemedi</x:v>
      </x:c>
      <x:c r="I1490" s="18" t="n">
        <x:v>510</x:v>
      </x:c>
      <x:c r="J1490" s="18" t="str">
        <x:v>Erişildi</x:v>
      </x:c>
      <x:c r="K1490" s="18" t="str">
        <x:f>IF(AND(ISNUMBER(G1490),ISNUMBER(I1490)),I1490/G1490*1000,"Erişilemedi")</x:f>
        <x:v>Erişilemedi</x:v>
      </x:c>
      <x:c r="L1490" s="16" t="str">
        <x:v>Stokta</x:v>
      </x:c>
      <x:c r="M1490" s="16" t="str">
        <x:v>Harman</x:v>
      </x:c>
      <x:c r="N1490" s="16" t="str">
        <x:v>Shopify ürün akışı</x:v>
      </x:c>
      <x:c r="O1490" s="16" t="str">
        <x:v>Orta</x:v>
      </x:c>
      <x:c r="P1490" s="19" t="n">
        <x:v>46245</x:v>
      </x:c>
      <x:c r="Q1490" s="20" t="str">
        <x:v>https://theroastroom.co/products/dark-room-blend-18-adet-kapsul-kahve</x:v>
      </x:c>
      <x:c r="R1490" s="20" t="str">
        <x:v>Öğütüm seçenekleri tekilleştirildi.</x:v>
      </x:c>
    </x:row>
    <x:row r="1491" ht="40" customHeight="1">
      <x:c r="A1491" s="16" t="str">
        <x:v>Roast Room</x:v>
      </x:c>
      <x:c r="B1491" s="16" t="str">
        <x:v>İstanbul</x:v>
      </x:c>
      <x:c r="C1491" s="16" t="str">
        <x:v>Doğrulandı</x:v>
      </x:c>
      <x:c r="D1491" s="16" t="str">
        <x:v>Ürün kaydı</x:v>
      </x:c>
      <x:c r="E1491" s="16" t="str">
        <x:v>Dark Room Blend / Natural</x:v>
      </x:c>
      <x:c r="F1491" s="16" t="str">
        <x:v>Brezilya | Hindistan</x:v>
      </x:c>
      <x:c r="G1491" s="17" t="n">
        <x:v>250</x:v>
      </x:c>
      <x:c r="H1491" s="16" t="str">
        <x:v>Erişildi</x:v>
      </x:c>
      <x:c r="I1491" s="18" t="n">
        <x:v>495</x:v>
      </x:c>
      <x:c r="J1491" s="18" t="str">
        <x:v>Erişildi</x:v>
      </x:c>
      <x:c r="K1491" s="18" t="n">
        <x:f>IF(AND(ISNUMBER(G1491),ISNUMBER(I1491)),I1491/G1491*1000,"Erişilemedi")</x:f>
        <x:v>1980</x:v>
      </x:c>
      <x:c r="L1491" s="16" t="str">
        <x:v>Stokta</x:v>
      </x:c>
      <x:c r="M1491" s="16" t="str">
        <x:v>Harman</x:v>
      </x:c>
      <x:c r="N1491" s="16" t="str">
        <x:v>Shopify ürün akışı</x:v>
      </x:c>
      <x:c r="O1491" s="16" t="str">
        <x:v>Yüksek</x:v>
      </x:c>
      <x:c r="P1491" s="19" t="n">
        <x:v>46245</x:v>
      </x:c>
      <x:c r="Q1491" s="20" t="str">
        <x:v>https://theroastroom.co/products/dark-room-blend</x:v>
      </x:c>
      <x:c r="R1491" s="20" t="str">
        <x:v>Öğütüm seçenekleri aynı gramaj ve fiyatta tekilleştirildi.</x:v>
      </x:c>
    </x:row>
    <x:row r="1492" ht="40" customHeight="1">
      <x:c r="A1492" s="16" t="str">
        <x:v>Roast Room</x:v>
      </x:c>
      <x:c r="B1492" s="16" t="str">
        <x:v>İstanbul</x:v>
      </x:c>
      <x:c r="C1492" s="16" t="str">
        <x:v>Doğrulandı</x:v>
      </x:c>
      <x:c r="D1492" s="16" t="str">
        <x:v>Ürün kaydı</x:v>
      </x:c>
      <x:c r="E1492" s="16" t="str">
        <x:v>Dark Room Blend / Natural</x:v>
      </x:c>
      <x:c r="F1492" s="16" t="str">
        <x:v>Brezilya | Hindistan</x:v>
      </x:c>
      <x:c r="G1492" s="17" t="n">
        <x:v>1000</x:v>
      </x:c>
      <x:c r="H1492" s="16" t="str">
        <x:v>Erişildi</x:v>
      </x:c>
      <x:c r="I1492" s="18" t="n">
        <x:v>1480</x:v>
      </x:c>
      <x:c r="J1492" s="18" t="str">
        <x:v>Erişildi</x:v>
      </x:c>
      <x:c r="K1492" s="18" t="n">
        <x:f>IF(AND(ISNUMBER(G1492),ISNUMBER(I1492)),I1492/G1492*1000,"Erişilemedi")</x:f>
        <x:v>1480</x:v>
      </x:c>
      <x:c r="L1492" s="16" t="str">
        <x:v>Stokta</x:v>
      </x:c>
      <x:c r="M1492" s="16" t="str">
        <x:v>Harman</x:v>
      </x:c>
      <x:c r="N1492" s="16" t="str">
        <x:v>Shopify ürün akışı</x:v>
      </x:c>
      <x:c r="O1492" s="16" t="str">
        <x:v>Yüksek</x:v>
      </x:c>
      <x:c r="P1492" s="19" t="n">
        <x:v>46245</x:v>
      </x:c>
      <x:c r="Q1492" s="20" t="str">
        <x:v>https://theroastroom.co/products/dark-room-blend</x:v>
      </x:c>
      <x:c r="R1492" s="20" t="str">
        <x:v>Öğütüm seçenekleri aynı gramaj ve fiyatta tekilleştirildi.</x:v>
      </x:c>
    </x:row>
    <x:row r="1493" ht="40" customHeight="1">
      <x:c r="A1493" s="16" t="str">
        <x:v>Roast Room</x:v>
      </x:c>
      <x:c r="B1493" s="16" t="str">
        <x:v>İstanbul</x:v>
      </x:c>
      <x:c r="C1493" s="16" t="str">
        <x:v>Doğrulandı</x:v>
      </x:c>
      <x:c r="D1493" s="16" t="str">
        <x:v>Ürün kaydı</x:v>
      </x:c>
      <x:c r="E1493" s="16" t="str">
        <x:v>Ethiopia Lalesa / Natural Anaerobic</x:v>
      </x:c>
      <x:c r="F1493" s="16" t="str">
        <x:v>Etiyopya</x:v>
      </x:c>
      <x:c r="G1493" s="17" t="n">
        <x:v>250</x:v>
      </x:c>
      <x:c r="H1493" s="16" t="str">
        <x:v>Erişildi</x:v>
      </x:c>
      <x:c r="I1493" s="18" t="n">
        <x:v>1180</x:v>
      </x:c>
      <x:c r="J1493" s="18" t="str">
        <x:v>Erişildi</x:v>
      </x:c>
      <x:c r="K1493" s="18" t="n">
        <x:f>IF(AND(ISNUMBER(G1493),ISNUMBER(I1493)),I1493/G1493*1000,"Erişilemedi")</x:f>
        <x:v>4720</x:v>
      </x:c>
      <x:c r="L1493" s="16" t="str">
        <x:v>Stokta</x:v>
      </x:c>
      <x:c r="M1493" s="16" t="str">
        <x:v>Tek köken/ürün</x:v>
      </x:c>
      <x:c r="N1493" s="16" t="str">
        <x:v>Shopify ürün akışı</x:v>
      </x:c>
      <x:c r="O1493" s="16" t="str">
        <x:v>Yüksek</x:v>
      </x:c>
      <x:c r="P1493" s="19" t="n">
        <x:v>46245</x:v>
      </x:c>
      <x:c r="Q1493" s="20" t="str">
        <x:v>https://theroastroom.co/products/ethiopia-lalesa-natural-anaerobic</x:v>
      </x:c>
      <x:c r="R1493" s="20" t="str">
        <x:v>Öğütüm seçenekleri aynı gramaj ve fiyatta tekilleştirildi.</x:v>
      </x:c>
    </x:row>
    <x:row r="1494" ht="40" customHeight="1">
      <x:c r="A1494" s="16" t="str">
        <x:v>Roast Room</x:v>
      </x:c>
      <x:c r="B1494" s="16" t="str">
        <x:v>İstanbul</x:v>
      </x:c>
      <x:c r="C1494" s="16" t="str">
        <x:v>Doğrulandı</x:v>
      </x:c>
      <x:c r="D1494" s="16" t="str">
        <x:v>Ürün kaydı</x:v>
      </x:c>
      <x:c r="E1494" s="16" t="str">
        <x:v>Honduras Las Calaveras / Natural</x:v>
      </x:c>
      <x:c r="F1494" s="16" t="str">
        <x:v>Brezilya | Honduras | El Salvador</x:v>
      </x:c>
      <x:c r="G1494" s="17" t="n">
        <x:v>250</x:v>
      </x:c>
      <x:c r="H1494" s="16" t="str">
        <x:v>Erişildi</x:v>
      </x:c>
      <x:c r="I1494" s="18" t="n">
        <x:v>590</x:v>
      </x:c>
      <x:c r="J1494" s="18" t="str">
        <x:v>Erişildi</x:v>
      </x:c>
      <x:c r="K1494" s="18" t="n">
        <x:f>IF(AND(ISNUMBER(G1494),ISNUMBER(I1494)),I1494/G1494*1000,"Erişilemedi")</x:f>
        <x:v>2360</x:v>
      </x:c>
      <x:c r="L1494" s="16" t="str">
        <x:v>Stokta</x:v>
      </x:c>
      <x:c r="M1494" s="16" t="str">
        <x:v>Tek köken/ürün</x:v>
      </x:c>
      <x:c r="N1494" s="16" t="str">
        <x:v>Shopify ürün akışı</x:v>
      </x:c>
      <x:c r="O1494" s="16" t="str">
        <x:v>Yüksek</x:v>
      </x:c>
      <x:c r="P1494" s="19" t="n">
        <x:v>46245</x:v>
      </x:c>
      <x:c r="Q1494" s="20" t="str">
        <x:v>https://theroastroom.co/products/honduras-las-calaveras-natural</x:v>
      </x:c>
      <x:c r="R1494" s="20" t="str">
        <x:v>Öğütüm seçenekleri aynı gramaj ve fiyatta tekilleştirildi.</x:v>
      </x:c>
    </x:row>
    <x:row r="1495" ht="40" customHeight="1">
      <x:c r="A1495" s="16" t="str">
        <x:v>Roast Room</x:v>
      </x:c>
      <x:c r="B1495" s="16" t="str">
        <x:v>İstanbul</x:v>
      </x:c>
      <x:c r="C1495" s="16" t="str">
        <x:v>Doğrulandı</x:v>
      </x:c>
      <x:c r="D1495" s="16" t="str">
        <x:v>Ürün kaydı</x:v>
      </x:c>
      <x:c r="E1495" s="16" t="str">
        <x:v>Indonesia Pagi Nampak / Natural Anaerobic</x:v>
      </x:c>
      <x:c r="F1495" s="16" t="str">
        <x:v>Endonezya</x:v>
      </x:c>
      <x:c r="G1495" s="17" t="n">
        <x:v>250</x:v>
      </x:c>
      <x:c r="H1495" s="16" t="str">
        <x:v>Erişildi</x:v>
      </x:c>
      <x:c r="I1495" s="18" t="n">
        <x:v>810</x:v>
      </x:c>
      <x:c r="J1495" s="18" t="str">
        <x:v>Erişildi</x:v>
      </x:c>
      <x:c r="K1495" s="18" t="n">
        <x:f>IF(AND(ISNUMBER(G1495),ISNUMBER(I1495)),I1495/G1495*1000,"Erişilemedi")</x:f>
        <x:v>3240</x:v>
      </x:c>
      <x:c r="L1495" s="16" t="str">
        <x:v>Stokta</x:v>
      </x:c>
      <x:c r="M1495" s="16" t="str">
        <x:v>Tek köken/ürün</x:v>
      </x:c>
      <x:c r="N1495" s="16" t="str">
        <x:v>Shopify ürün akışı</x:v>
      </x:c>
      <x:c r="O1495" s="16" t="str">
        <x:v>Yüksek</x:v>
      </x:c>
      <x:c r="P1495" s="19" t="n">
        <x:v>46245</x:v>
      </x:c>
      <x:c r="Q1495" s="20" t="str">
        <x:v>https://theroastroom.co/products/indonesia-pagi-nampak-natural-anaerobic</x:v>
      </x:c>
      <x:c r="R1495" s="20" t="str">
        <x:v>Öğütüm seçenekleri aynı gramaj ve fiyatta tekilleştirildi.</x:v>
      </x:c>
    </x:row>
    <x:row r="1496" ht="40" customHeight="1">
      <x:c r="A1496" s="16" t="str">
        <x:v>Roast Room</x:v>
      </x:c>
      <x:c r="B1496" s="16" t="str">
        <x:v>İstanbul</x:v>
      </x:c>
      <x:c r="C1496" s="16" t="str">
        <x:v>Doğrulandı</x:v>
      </x:c>
      <x:c r="D1496" s="16" t="str">
        <x:v>Ürün kaydı</x:v>
      </x:c>
      <x:c r="E1496" s="16" t="str">
        <x:v>Morning Coffee / 18 Adet Kapsül Kahve</x:v>
      </x:c>
      <x:c r="F1496" s="16" t="str">
        <x:v>Guatemala</x:v>
      </x:c>
      <x:c r="G1496" s="17" t="str">
        <x:v>Erişilemedi</x:v>
      </x:c>
      <x:c r="H1496" s="16" t="str">
        <x:v>Erişilemedi</x:v>
      </x:c>
      <x:c r="I1496" s="18" t="n">
        <x:v>500</x:v>
      </x:c>
      <x:c r="J1496" s="18" t="str">
        <x:v>Erişildi</x:v>
      </x:c>
      <x:c r="K1496" s="18" t="str">
        <x:f>IF(AND(ISNUMBER(G1496),ISNUMBER(I1496)),I1496/G1496*1000,"Erişilemedi")</x:f>
        <x:v>Erişilemedi</x:v>
      </x:c>
      <x:c r="L1496" s="16" t="str">
        <x:v>Stokta</x:v>
      </x:c>
      <x:c r="M1496" s="16" t="str">
        <x:v>Kahve ürünü</x:v>
      </x:c>
      <x:c r="N1496" s="16" t="str">
        <x:v>Shopify ürün akışı</x:v>
      </x:c>
      <x:c r="O1496" s="16" t="str">
        <x:v>Orta</x:v>
      </x:c>
      <x:c r="P1496" s="19" t="n">
        <x:v>46245</x:v>
      </x:c>
      <x:c r="Q1496" s="20" t="str">
        <x:v>https://theroastroom.co/products/morning-coffee-18-adet-kapsul-kahve</x:v>
      </x:c>
      <x:c r="R1496" s="20" t="str">
        <x:v>Öğütüm seçenekleri tekilleştirildi.</x:v>
      </x:c>
    </x:row>
    <x:row r="1497" ht="40" customHeight="1">
      <x:c r="A1497" s="16" t="str">
        <x:v>Roast Room</x:v>
      </x:c>
      <x:c r="B1497" s="16" t="str">
        <x:v>İstanbul</x:v>
      </x:c>
      <x:c r="C1497" s="16" t="str">
        <x:v>Doğrulandı</x:v>
      </x:c>
      <x:c r="D1497" s="16" t="str">
        <x:v>Ürün kaydı</x:v>
      </x:c>
      <x:c r="E1497" s="16" t="str">
        <x:v>Morning Coffee / Yıkanmış</x:v>
      </x:c>
      <x:c r="F1497" s="16" t="str">
        <x:v>Guatemala</x:v>
      </x:c>
      <x:c r="G1497" s="17" t="n">
        <x:v>250</x:v>
      </x:c>
      <x:c r="H1497" s="16" t="str">
        <x:v>Erişildi</x:v>
      </x:c>
      <x:c r="I1497" s="18" t="n">
        <x:v>475</x:v>
      </x:c>
      <x:c r="J1497" s="18" t="str">
        <x:v>Erişildi</x:v>
      </x:c>
      <x:c r="K1497" s="18" t="n">
        <x:f>IF(AND(ISNUMBER(G1497),ISNUMBER(I1497)),I1497/G1497*1000,"Erişilemedi")</x:f>
        <x:v>1900</x:v>
      </x:c>
      <x:c r="L1497" s="16" t="str">
        <x:v>Stokta</x:v>
      </x:c>
      <x:c r="M1497" s="16" t="str">
        <x:v>Tek köken/ürün</x:v>
      </x:c>
      <x:c r="N1497" s="16" t="str">
        <x:v>Shopify ürün akışı</x:v>
      </x:c>
      <x:c r="O1497" s="16" t="str">
        <x:v>Yüksek</x:v>
      </x:c>
      <x:c r="P1497" s="19" t="n">
        <x:v>46245</x:v>
      </x:c>
      <x:c r="Q1497" s="20" t="str">
        <x:v>https://theroastroom.co/products/morning-coffee</x:v>
      </x:c>
      <x:c r="R1497" s="20" t="str">
        <x:v>Öğütüm seçenekleri aynı gramaj ve fiyatta tekilleştirildi.</x:v>
      </x:c>
    </x:row>
    <x:row r="1498" ht="40" customHeight="1">
      <x:c r="A1498" s="16" t="str">
        <x:v>Roast Room</x:v>
      </x:c>
      <x:c r="B1498" s="16" t="str">
        <x:v>İstanbul</x:v>
      </x:c>
      <x:c r="C1498" s="16" t="str">
        <x:v>Doğrulandı</x:v>
      </x:c>
      <x:c r="D1498" s="16" t="str">
        <x:v>Ürün kaydı</x:v>
      </x:c>
      <x:c r="E1498" s="16" t="str">
        <x:v>Morning Coffee / Yıkanmış</x:v>
      </x:c>
      <x:c r="F1498" s="16" t="str">
        <x:v>Guatemala</x:v>
      </x:c>
      <x:c r="G1498" s="17" t="n">
        <x:v>1000</x:v>
      </x:c>
      <x:c r="H1498" s="16" t="str">
        <x:v>Erişildi</x:v>
      </x:c>
      <x:c r="I1498" s="18" t="n">
        <x:v>1400</x:v>
      </x:c>
      <x:c r="J1498" s="18" t="str">
        <x:v>Erişildi</x:v>
      </x:c>
      <x:c r="K1498" s="18" t="n">
        <x:f>IF(AND(ISNUMBER(G1498),ISNUMBER(I1498)),I1498/G1498*1000,"Erişilemedi")</x:f>
        <x:v>1400</x:v>
      </x:c>
      <x:c r="L1498" s="16" t="str">
        <x:v>Stokta</x:v>
      </x:c>
      <x:c r="M1498" s="16" t="str">
        <x:v>Tek köken/ürün</x:v>
      </x:c>
      <x:c r="N1498" s="16" t="str">
        <x:v>Shopify ürün akışı</x:v>
      </x:c>
      <x:c r="O1498" s="16" t="str">
        <x:v>Yüksek</x:v>
      </x:c>
      <x:c r="P1498" s="19" t="n">
        <x:v>46245</x:v>
      </x:c>
      <x:c r="Q1498" s="20" t="str">
        <x:v>https://theroastroom.co/products/morning-coffee</x:v>
      </x:c>
      <x:c r="R1498" s="20" t="str">
        <x:v>Öğütüm seçenekleri aynı gramaj ve fiyatta tekilleştirildi.</x:v>
      </x:c>
    </x:row>
    <x:row r="1499" ht="40" customHeight="1">
      <x:c r="A1499" s="16" t="str">
        <x:v>Roast Room</x:v>
      </x:c>
      <x:c r="B1499" s="16" t="str">
        <x:v>İstanbul</x:v>
      </x:c>
      <x:c r="C1499" s="16" t="str">
        <x:v>Doğrulandı</x:v>
      </x:c>
      <x:c r="D1499" s="16" t="str">
        <x:v>Ürün kaydı</x:v>
      </x:c>
      <x:c r="E1499" s="16" t="str">
        <x:v>Ofis Kahvesi 6 x 1kg / Brazil Caramelo / Natural</x:v>
      </x:c>
      <x:c r="F1499" s="16" t="str">
        <x:v>Brezilya</x:v>
      </x:c>
      <x:c r="G1499" s="17" t="n">
        <x:v>1000</x:v>
      </x:c>
      <x:c r="H1499" s="16" t="str">
        <x:v>Erişildi</x:v>
      </x:c>
      <x:c r="I1499" s="18" t="n">
        <x:v>7200</x:v>
      </x:c>
      <x:c r="J1499" s="18" t="str">
        <x:v>Erişildi</x:v>
      </x:c>
      <x:c r="K1499" s="18" t="n">
        <x:f>IF(AND(ISNUMBER(G1499),ISNUMBER(I1499)),I1499/G1499*1000,"Erişilemedi")</x:f>
        <x:v>7200</x:v>
      </x:c>
      <x:c r="L1499" s="16" t="str">
        <x:v>Stokta</x:v>
      </x:c>
      <x:c r="M1499" s="16" t="str">
        <x:v>Tek köken/ürün</x:v>
      </x:c>
      <x:c r="N1499" s="16" t="str">
        <x:v>Shopify ürün akışı</x:v>
      </x:c>
      <x:c r="O1499" s="16" t="str">
        <x:v>Yüksek</x:v>
      </x:c>
      <x:c r="P1499" s="19" t="n">
        <x:v>46245</x:v>
      </x:c>
      <x:c r="Q1499" s="20" t="str">
        <x:v>https://theroastroom.co/products/ofis-kahvesi-6-x-1kg-brazil-caramelo-natural</x:v>
      </x:c>
      <x:c r="R1499" s="20" t="str">
        <x:v>Öğütüm seçenekleri aynı gramaj ve fiyatta tekilleştirildi.</x:v>
      </x:c>
    </x:row>
    <x:row r="1500" ht="40" customHeight="1">
      <x:c r="A1500" s="16" t="str">
        <x:v>Roast Room</x:v>
      </x:c>
      <x:c r="B1500" s="16" t="str">
        <x:v>İstanbul</x:v>
      </x:c>
      <x:c r="C1500" s="16" t="str">
        <x:v>Doğrulandı</x:v>
      </x:c>
      <x:c r="D1500" s="16" t="str">
        <x:v>Ürün kaydı</x:v>
      </x:c>
      <x:c r="E1500" s="16" t="str">
        <x:v>Türk Kahvesi</x:v>
      </x:c>
      <x:c r="F1500" s="16" t="str">
        <x:v>Brezilya</x:v>
      </x:c>
      <x:c r="G1500" s="17" t="n">
        <x:v>250</x:v>
      </x:c>
      <x:c r="H1500" s="16" t="str">
        <x:v>Erişildi</x:v>
      </x:c>
      <x:c r="I1500" s="18" t="n">
        <x:v>495</x:v>
      </x:c>
      <x:c r="J1500" s="18" t="str">
        <x:v>Erişildi</x:v>
      </x:c>
      <x:c r="K1500" s="18" t="n">
        <x:f>IF(AND(ISNUMBER(G1500),ISNUMBER(I1500)),I1500/G1500*1000,"Erişilemedi")</x:f>
        <x:v>1980</x:v>
      </x:c>
      <x:c r="L1500" s="16" t="str">
        <x:v>Stokta</x:v>
      </x:c>
      <x:c r="M1500" s="16" t="str">
        <x:v>Türk kahvesi</x:v>
      </x:c>
      <x:c r="N1500" s="16" t="str">
        <x:v>Shopify ürün akışı</x:v>
      </x:c>
      <x:c r="O1500" s="16" t="str">
        <x:v>Yüksek</x:v>
      </x:c>
      <x:c r="P1500" s="19" t="n">
        <x:v>46245</x:v>
      </x:c>
      <x:c r="Q1500" s="20" t="str">
        <x:v>https://theroastroom.co/products/turk-kahvesi</x:v>
      </x:c>
      <x:c r="R1500" s="20" t="str">
        <x:v>Öğütüm seçenekleri aynı gramaj ve fiyatta tekilleştirildi.</x:v>
      </x:c>
    </x:row>
    <x:row r="1501" ht="40" customHeight="1">
      <x:c r="A1501" s="16" t="str">
        <x:v>Roast Room</x:v>
      </x:c>
      <x:c r="B1501" s="16" t="str">
        <x:v>İstanbul</x:v>
      </x:c>
      <x:c r="C1501" s="16" t="str">
        <x:v>Doğrulandı</x:v>
      </x:c>
      <x:c r="D1501" s="16" t="str">
        <x:v>Ürün kaydı</x:v>
      </x:c>
      <x:c r="E1501" s="16" t="str">
        <x:v>Türk Kahvesi</x:v>
      </x:c>
      <x:c r="F1501" s="16" t="str">
        <x:v>Brezilya</x:v>
      </x:c>
      <x:c r="G1501" s="17" t="n">
        <x:v>1000</x:v>
      </x:c>
      <x:c r="H1501" s="16" t="str">
        <x:v>Erişildi</x:v>
      </x:c>
      <x:c r="I1501" s="18" t="n">
        <x:v>1480</x:v>
      </x:c>
      <x:c r="J1501" s="18" t="str">
        <x:v>Erişildi</x:v>
      </x:c>
      <x:c r="K1501" s="18" t="n">
        <x:f>IF(AND(ISNUMBER(G1501),ISNUMBER(I1501)),I1501/G1501*1000,"Erişilemedi")</x:f>
        <x:v>1480</x:v>
      </x:c>
      <x:c r="L1501" s="16" t="str">
        <x:v>Stokta</x:v>
      </x:c>
      <x:c r="M1501" s="16" t="str">
        <x:v>Türk kahvesi</x:v>
      </x:c>
      <x:c r="N1501" s="16" t="str">
        <x:v>Shopify ürün akışı</x:v>
      </x:c>
      <x:c r="O1501" s="16" t="str">
        <x:v>Yüksek</x:v>
      </x:c>
      <x:c r="P1501" s="19" t="n">
        <x:v>46245</x:v>
      </x:c>
      <x:c r="Q1501" s="20" t="str">
        <x:v>https://theroastroom.co/products/turk-kahvesi</x:v>
      </x:c>
      <x:c r="R1501" s="20" t="str">
        <x:v>Öğütüm seçenekleri aynı gramaj ve fiyatta tekilleştirildi.</x:v>
      </x:c>
    </x:row>
    <x:row r="1502" ht="40" customHeight="1">
      <x:c r="A1502" s="16" t="str">
        <x:v>Roasterlab</x:v>
      </x:c>
      <x:c r="B1502" s="16" t="str">
        <x:v>İstanbul</x:v>
      </x:c>
      <x:c r="C1502" s="16" t="str">
        <x:v>Doğrulandı</x:v>
      </x:c>
      <x:c r="D1502" s="16" t="str">
        <x:v>Katalog takip kaydı</x:v>
      </x:c>
      <x:c r="E1502" s="16" t="str">
        <x:v>Ürün kataloğu — ayrıntılı ürün verisine erişilemedi</x:v>
      </x:c>
      <x:c r="F1502" s="16" t="str">
        <x:v>Erişilemedi</x:v>
      </x:c>
      <x:c r="G1502" s="17" t="str">
        <x:v>Erişilemedi</x:v>
      </x:c>
      <x:c r="H1502" s="16" t="str">
        <x:v>Erişilemedi</x:v>
      </x:c>
      <x:c r="I1502" s="18" t="str">
        <x:v>Erişilemedi</x:v>
      </x:c>
      <x:c r="J1502" s="18" t="str">
        <x:v>Erişilemedi</x:v>
      </x:c>
      <x:c r="K1502" s="18" t="str">
        <x:f>IF(AND(ISNUMBER(G1502),ISNUMBER(I1502)),I1502/G1502*1000,"Erişilemedi")</x:f>
        <x:v>Erişilemedi</x:v>
      </x:c>
      <x:c r="L1502" s="16" t="str">
        <x:v>Erişilemedi</x:v>
      </x:c>
      <x:c r="M1502" s="16" t="str">
        <x:v>Katalog/takip kaydı</x:v>
      </x:c>
      <x:c r="N1502" s="16" t="str">
        <x:v>Mağaza/katalog bağlantısı</x:v>
      </x:c>
      <x:c r="O1502" s="16" t="str">
        <x:v>Takip gerekli</x:v>
      </x:c>
      <x:c r="P1502" s="19" t="n">
        <x:v>46245</x:v>
      </x:c>
      <x:c r="Q1502" s="20" t="str">
        <x:v>https://roasterlab.com.tr/</x:v>
      </x:c>
      <x:c r="R1502" s="20" t="str">
        <x:v>Ürün adı, gramaj ve fiyat birlikte çıkarılamadı. Bağlantı manuel inceleme için korundu.</x:v>
      </x:c>
    </x:row>
    <x:row r="1503" ht="40" customHeight="1">
      <x:c r="A1503" s="16" t="str">
        <x:v>RoasterLab</x:v>
      </x:c>
      <x:c r="B1503" s="16" t="str">
        <x:v>İstanbul</x:v>
      </x:c>
      <x:c r="C1503" s="16" t="str">
        <x:v>Doğrulandı</x:v>
      </x:c>
      <x:c r="D1503" s="16" t="str">
        <x:v>Katalog takip kaydı</x:v>
      </x:c>
      <x:c r="E1503" s="16" t="str">
        <x:v>Ürün kataloğu — ayrıntılı ürün verisine erişilemedi</x:v>
      </x:c>
      <x:c r="F1503" s="16" t="str">
        <x:v>Erişilemedi</x:v>
      </x:c>
      <x:c r="G1503" s="17" t="str">
        <x:v>Erişilemedi</x:v>
      </x:c>
      <x:c r="H1503" s="16" t="str">
        <x:v>Erişilemedi</x:v>
      </x:c>
      <x:c r="I1503" s="18" t="str">
        <x:v>Erişilemedi</x:v>
      </x:c>
      <x:c r="J1503" s="18" t="str">
        <x:v>Erişilemedi</x:v>
      </x:c>
      <x:c r="K1503" s="18" t="str">
        <x:f>IF(AND(ISNUMBER(G1503),ISNUMBER(I1503)),I1503/G1503*1000,"Erişilemedi")</x:f>
        <x:v>Erişilemedi</x:v>
      </x:c>
      <x:c r="L1503" s="16" t="str">
        <x:v>Erişilemedi</x:v>
      </x:c>
      <x:c r="M1503" s="16" t="str">
        <x:v>Katalog/takip kaydı</x:v>
      </x:c>
      <x:c r="N1503" s="16" t="str">
        <x:v>Mağaza/katalog bağlantısı</x:v>
      </x:c>
      <x:c r="O1503" s="16" t="str">
        <x:v>Takip gerekli</x:v>
      </x:c>
      <x:c r="P1503" s="19" t="n">
        <x:v>46245</x:v>
      </x:c>
      <x:c r="Q1503" s="20" t="str">
        <x:v>https://roasterlab.com.tr/</x:v>
      </x:c>
      <x:c r="R1503" s="20" t="str">
        <x:v>Ürün adı, gramaj ve fiyat birlikte çıkarılamadı. Bağlantı manuel inceleme için korundu.</x:v>
      </x:c>
    </x:row>
    <x:row r="1504" ht="40" customHeight="1">
      <x:c r="A1504" s="16" t="str">
        <x:v>Roastery ACME</x:v>
      </x:c>
      <x:c r="B1504" s="16" t="str">
        <x:v>İstanbul</x:v>
      </x:c>
      <x:c r="C1504" s="16" t="str">
        <x:v>Kısmi doğrulama</x:v>
      </x:c>
      <x:c r="D1504" s="16" t="str">
        <x:v>Katalog takip kaydı</x:v>
      </x:c>
      <x:c r="E1504" s="16" t="str">
        <x:v>Ürün kataloğu — ayrıntılı ürün verisine erişilemedi</x:v>
      </x:c>
      <x:c r="F1504" s="16" t="str">
        <x:v>Erişilemedi</x:v>
      </x:c>
      <x:c r="G1504" s="17" t="str">
        <x:v>Erişilemedi</x:v>
      </x:c>
      <x:c r="H1504" s="16" t="str">
        <x:v>Erişilemedi</x:v>
      </x:c>
      <x:c r="I1504" s="18" t="str">
        <x:v>Erişilemedi</x:v>
      </x:c>
      <x:c r="J1504" s="18" t="str">
        <x:v>Erişilemedi</x:v>
      </x:c>
      <x:c r="K1504" s="18" t="str">
        <x:f>IF(AND(ISNUMBER(G1504),ISNUMBER(I1504)),I1504/G1504*1000,"Erişilemedi")</x:f>
        <x:v>Erişilemedi</x:v>
      </x:c>
      <x:c r="L1504" s="16" t="str">
        <x:v>Erişilemedi</x:v>
      </x:c>
      <x:c r="M1504" s="16" t="str">
        <x:v>Katalog/takip kaydı</x:v>
      </x:c>
      <x:c r="N1504" s="16" t="str">
        <x:v>Instagram veya mevcut kaynak</x:v>
      </x:c>
      <x:c r="O1504" s="16" t="str">
        <x:v>Takip gerekli</x:v>
      </x:c>
      <x:c r="P1504" s="19" t="n">
        <x:v>46245</x:v>
      </x:c>
      <x:c r="Q1504" s="20" t="str">
        <x:v>Erişilemedi</x:v>
      </x:c>
      <x:c r="R1504" s="20" t="str">
        <x:v>Ürün adı, gramaj ve fiyat birlikte çıkarılamadı. Bağlantı manuel inceleme için korundu.</x:v>
      </x:c>
    </x:row>
    <x:row r="1505" ht="40" customHeight="1">
      <x:c r="A1505" s="16" t="str">
        <x:v>ROR Cafe &amp; Roastery</x:v>
      </x:c>
      <x:c r="B1505" s="16" t="str">
        <x:v>Ankara</x:v>
      </x:c>
      <x:c r="C1505" s="16" t="str">
        <x:v>Kısmi doğrulama</x:v>
      </x:c>
      <x:c r="D1505" s="16" t="str">
        <x:v>Katalog takip kaydı</x:v>
      </x:c>
      <x:c r="E1505" s="16" t="str">
        <x:v>Ürün kataloğu — ayrıntılı ürün verisine erişilemedi</x:v>
      </x:c>
      <x:c r="F1505" s="16" t="str">
        <x:v>Erişilemedi</x:v>
      </x:c>
      <x:c r="G1505" s="17" t="str">
        <x:v>Erişilemedi</x:v>
      </x:c>
      <x:c r="H1505" s="16" t="str">
        <x:v>Erişilemedi</x:v>
      </x:c>
      <x:c r="I1505" s="18" t="str">
        <x:v>Erişilemedi</x:v>
      </x:c>
      <x:c r="J1505" s="18" t="str">
        <x:v>Erişilemedi</x:v>
      </x:c>
      <x:c r="K1505" s="18" t="str">
        <x:f>IF(AND(ISNUMBER(G1505),ISNUMBER(I1505)),I1505/G1505*1000,"Erişilemedi")</x:f>
        <x:v>Erişilemedi</x:v>
      </x:c>
      <x:c r="L1505" s="16" t="str">
        <x:v>Erişilemedi</x:v>
      </x:c>
      <x:c r="M1505" s="16" t="str">
        <x:v>Katalog/takip kaydı</x:v>
      </x:c>
      <x:c r="N1505" s="16" t="str">
        <x:v>Instagram veya mevcut kaynak</x:v>
      </x:c>
      <x:c r="O1505" s="16" t="str">
        <x:v>Takip gerekli</x:v>
      </x:c>
      <x:c r="P1505" s="19" t="n">
        <x:v>46245</x:v>
      </x:c>
      <x:c r="Q1505" s="20" t="str">
        <x:v>Erişilemedi</x:v>
      </x:c>
      <x:c r="R1505" s="20" t="str">
        <x:v>Ürün adı, gramaj ve fiyat birlikte çıkarılamadı. Bağlantı manuel inceleme için korundu.</x:v>
      </x:c>
    </x:row>
    <x:row r="1506" ht="40" customHeight="1">
      <x:c r="A1506" s="16" t="str">
        <x:v>Rott Coffee</x:v>
      </x:c>
      <x:c r="B1506" s="16" t="str">
        <x:v>Ankara</x:v>
      </x:c>
      <x:c r="C1506" s="16" t="str">
        <x:v>Kısmi doğrulama</x:v>
      </x:c>
      <x:c r="D1506" s="16" t="str">
        <x:v>Katalog takip kaydı</x:v>
      </x:c>
      <x:c r="E1506" s="16" t="str">
        <x:v>Ürün kataloğu — ayrıntılı ürün verisine erişilemedi</x:v>
      </x:c>
      <x:c r="F1506" s="16" t="str">
        <x:v>Erişilemedi</x:v>
      </x:c>
      <x:c r="G1506" s="17" t="str">
        <x:v>Erişilemedi</x:v>
      </x:c>
      <x:c r="H1506" s="16" t="str">
        <x:v>Erişilemedi</x:v>
      </x:c>
      <x:c r="I1506" s="18" t="str">
        <x:v>Erişilemedi</x:v>
      </x:c>
      <x:c r="J1506" s="18" t="str">
        <x:v>Erişilemedi</x:v>
      </x:c>
      <x:c r="K1506" s="18" t="str">
        <x:f>IF(AND(ISNUMBER(G1506),ISNUMBER(I1506)),I1506/G1506*1000,"Erişilemedi")</x:f>
        <x:v>Erişilemedi</x:v>
      </x:c>
      <x:c r="L1506" s="16" t="str">
        <x:v>Erişilemedi</x:v>
      </x:c>
      <x:c r="M1506" s="16" t="str">
        <x:v>Katalog/takip kaydı</x:v>
      </x:c>
      <x:c r="N1506" s="16" t="str">
        <x:v>Instagram veya mevcut kaynak</x:v>
      </x:c>
      <x:c r="O1506" s="16" t="str">
        <x:v>Takip gerekli</x:v>
      </x:c>
      <x:c r="P1506" s="19" t="n">
        <x:v>46245</x:v>
      </x:c>
      <x:c r="Q1506" s="20" t="str">
        <x:v>Erişilemedi</x:v>
      </x:c>
      <x:c r="R1506" s="20" t="str">
        <x:v>Ürün adı, gramaj ve fiyat birlikte çıkarılamadı. Bağlantı manuel inceleme için korundu.</x:v>
      </x:c>
    </x:row>
    <x:row r="1507" ht="40" customHeight="1">
      <x:c r="A1507" s="16" t="str">
        <x:v>Rubber Soul Coffee</x:v>
      </x:c>
      <x:c r="B1507" s="16" t="str">
        <x:v>Ankara</x:v>
      </x:c>
      <x:c r="C1507" s="16" t="str">
        <x:v>Kısmi doğrulama</x:v>
      </x:c>
      <x:c r="D1507" s="16" t="str">
        <x:v>Katalog takip kaydı</x:v>
      </x:c>
      <x:c r="E1507" s="16" t="str">
        <x:v>Ürün kataloğu — ayrıntılı ürün verisine erişilemedi</x:v>
      </x:c>
      <x:c r="F1507" s="16" t="str">
        <x:v>Erişilemedi</x:v>
      </x:c>
      <x:c r="G1507" s="17" t="str">
        <x:v>Erişilemedi</x:v>
      </x:c>
      <x:c r="H1507" s="16" t="str">
        <x:v>Erişilemedi</x:v>
      </x:c>
      <x:c r="I1507" s="18" t="str">
        <x:v>Erişilemedi</x:v>
      </x:c>
      <x:c r="J1507" s="18" t="str">
        <x:v>Erişilemedi</x:v>
      </x:c>
      <x:c r="K1507" s="18" t="str">
        <x:f>IF(AND(ISNUMBER(G1507),ISNUMBER(I1507)),I1507/G1507*1000,"Erişilemedi")</x:f>
        <x:v>Erişilemedi</x:v>
      </x:c>
      <x:c r="L1507" s="16" t="str">
        <x:v>Erişilemedi</x:v>
      </x:c>
      <x:c r="M1507" s="16" t="str">
        <x:v>Katalog/takip kaydı</x:v>
      </x:c>
      <x:c r="N1507" s="16" t="str">
        <x:v>Instagram veya mevcut kaynak</x:v>
      </x:c>
      <x:c r="O1507" s="16" t="str">
        <x:v>Takip gerekli</x:v>
      </x:c>
      <x:c r="P1507" s="19" t="n">
        <x:v>46245</x:v>
      </x:c>
      <x:c r="Q1507" s="20" t="str">
        <x:v>Erişilemedi</x:v>
      </x:c>
      <x:c r="R1507" s="20" t="str">
        <x:v>Ürün adı, gramaj ve fiyat birlikte çıkarılamadı. Bağlantı manuel inceleme için korundu.</x:v>
      </x:c>
    </x:row>
    <x:row r="1508" ht="40" customHeight="1">
      <x:c r="A1508" s="16" t="str">
        <x:v>Rumo Coffee</x:v>
      </x:c>
      <x:c r="B1508" s="16" t="str">
        <x:v>İstanbul</x:v>
      </x:c>
      <x:c r="C1508" s="16" t="str">
        <x:v>Kısmi doğrulama</x:v>
      </x:c>
      <x:c r="D1508" s="16" t="str">
        <x:v>Katalog takip kaydı</x:v>
      </x:c>
      <x:c r="E1508" s="16" t="str">
        <x:v>Ürün kataloğu — ayrıntılı ürün verisine erişilemedi</x:v>
      </x:c>
      <x:c r="F1508" s="16" t="str">
        <x:v>Erişilemedi</x:v>
      </x:c>
      <x:c r="G1508" s="17" t="str">
        <x:v>Erişilemedi</x:v>
      </x:c>
      <x:c r="H1508" s="16" t="str">
        <x:v>Erişilemedi</x:v>
      </x:c>
      <x:c r="I1508" s="18" t="str">
        <x:v>Erişilemedi</x:v>
      </x:c>
      <x:c r="J1508" s="18" t="str">
        <x:v>Erişilemedi</x:v>
      </x:c>
      <x:c r="K1508" s="18" t="str">
        <x:f>IF(AND(ISNUMBER(G1508),ISNUMBER(I1508)),I1508/G1508*1000,"Erişilemedi")</x:f>
        <x:v>Erişilemedi</x:v>
      </x:c>
      <x:c r="L1508" s="16" t="str">
        <x:v>Erişilemedi</x:v>
      </x:c>
      <x:c r="M1508" s="16" t="str">
        <x:v>Katalog/takip kaydı</x:v>
      </x:c>
      <x:c r="N1508" s="16" t="str">
        <x:v>Instagram veya mevcut kaynak</x:v>
      </x:c>
      <x:c r="O1508" s="16" t="str">
        <x:v>Takip gerekli</x:v>
      </x:c>
      <x:c r="P1508" s="19" t="n">
        <x:v>46245</x:v>
      </x:c>
      <x:c r="Q1508" s="20" t="str">
        <x:v>Erişilemedi</x:v>
      </x:c>
      <x:c r="R1508" s="20" t="str">
        <x:v>Ürün adı, gramaj ve fiyat birlikte çıkarılamadı. Bağlantı manuel inceleme için korundu.</x:v>
      </x:c>
    </x:row>
    <x:row r="1509" ht="40" customHeight="1">
      <x:c r="A1509" s="16" t="str">
        <x:v>Sade'ce Kahve</x:v>
      </x:c>
      <x:c r="B1509" s="16" t="str"/>
      <x:c r="C1509" s="16" t="str">
        <x:v>Kısmi doğrulama</x:v>
      </x:c>
      <x:c r="D1509" s="16" t="str">
        <x:v>Katalog takip kaydı</x:v>
      </x:c>
      <x:c r="E1509" s="16" t="str">
        <x:v>Ürün kataloğu — ayrıntılı ürün verisine erişilemedi</x:v>
      </x:c>
      <x:c r="F1509" s="16" t="str">
        <x:v>Erişilemedi</x:v>
      </x:c>
      <x:c r="G1509" s="17" t="str">
        <x:v>Erişilemedi</x:v>
      </x:c>
      <x:c r="H1509" s="16" t="str">
        <x:v>Erişilemedi</x:v>
      </x:c>
      <x:c r="I1509" s="18" t="str">
        <x:v>Erişilemedi</x:v>
      </x:c>
      <x:c r="J1509" s="18" t="str">
        <x:v>Erişilemedi</x:v>
      </x:c>
      <x:c r="K1509" s="18" t="str">
        <x:f>IF(AND(ISNUMBER(G1509),ISNUMBER(I1509)),I1509/G1509*1000,"Erişilemedi")</x:f>
        <x:v>Erişilemedi</x:v>
      </x:c>
      <x:c r="L1509" s="16" t="str">
        <x:v>Erişilemedi</x:v>
      </x:c>
      <x:c r="M1509" s="16" t="str">
        <x:v>Katalog/takip kaydı</x:v>
      </x:c>
      <x:c r="N1509" s="16" t="str">
        <x:v>Instagram veya mevcut kaynak</x:v>
      </x:c>
      <x:c r="O1509" s="16" t="str">
        <x:v>Takip gerekli</x:v>
      </x:c>
      <x:c r="P1509" s="19" t="n">
        <x:v>46245</x:v>
      </x:c>
      <x:c r="Q1509" s="20" t="str">
        <x:v>Erişilemedi</x:v>
      </x:c>
      <x:c r="R1509" s="20" t="str">
        <x:v>Ürün adı, gramaj ve fiyat birlikte çıkarılamadı. Bağlantı manuel inceleme için korundu.</x:v>
      </x:c>
    </x:row>
    <x:row r="1510" ht="40" customHeight="1">
      <x:c r="A1510" s="16" t="str">
        <x:v>Sanal Baharat</x:v>
      </x:c>
      <x:c r="B1510" s="16" t="str"/>
      <x:c r="C1510" s="16" t="str">
        <x:v>Doğrulandı</x:v>
      </x:c>
      <x:c r="D1510" s="16" t="str">
        <x:v>Ürün kaydı</x:v>
      </x:c>
      <x:c r="E1510" s="16" t="str">
        <x:v>Aluminyum Valfli Zipli Kahve Torbası</x:v>
      </x:c>
      <x:c r="F1510" s="16" t="str">
        <x:v>Menşe belirtilmemiş</x:v>
      </x:c>
      <x:c r="G1510" s="17" t="str">
        <x:v>Erişilemedi</x:v>
      </x:c>
      <x:c r="H1510" s="16" t="str">
        <x:v>Erişilemedi</x:v>
      </x:c>
      <x:c r="I1510" s="18" t="n">
        <x:v>131</x:v>
      </x:c>
      <x:c r="J1510" s="18" t="str">
        <x:v>Erişildi</x:v>
      </x:c>
      <x:c r="K1510" s="18" t="str">
        <x:f>IF(AND(ISNUMBER(G1510),ISNUMBER(I1510)),I1510/G1510*1000,"Erişilemedi")</x:f>
        <x:v>Erişilemedi</x:v>
      </x:c>
      <x:c r="L1510" s="16" t="str">
        <x:v>Belirsiz</x:v>
      </x:c>
      <x:c r="M1510" s="16" t="str">
        <x:v>Kahve ürünü</x:v>
      </x:c>
      <x:c r="N1510" s="16" t="str">
        <x:v>Site haritası ürün sayfası</x:v>
      </x:c>
      <x:c r="O1510" s="16" t="str">
        <x:v>Düşük</x:v>
      </x:c>
      <x:c r="P1510" s="19" t="n">
        <x:v>46245</x:v>
      </x:c>
      <x:c r="Q1510" s="20" t="str">
        <x:v>https://www.sanalbaharat.com/urun/aluminyum-valfli-zipli-kahve-torbasi</x:v>
      </x:c>
      <x:c r="R1510" s="20" t="str">
        <x:v>Ürün kimliği korundu; eksik alanlar erişilemedi olarak işaretlenecek.</x:v>
      </x:c>
    </x:row>
    <x:row r="1511" ht="40" customHeight="1">
      <x:c r="A1511" s="16" t="str">
        <x:v>Sanal Baharat</x:v>
      </x:c>
      <x:c r="B1511" s="16" t="str"/>
      <x:c r="C1511" s="16" t="str">
        <x:v>Doğrulandı</x:v>
      </x:c>
      <x:c r="D1511" s="16" t="str">
        <x:v>Ürün kaydı</x:v>
      </x:c>
      <x:c r="E1511" s="16" t="str">
        <x:v>Atom Çayı-Kış Çayı</x:v>
      </x:c>
      <x:c r="F1511" s="16" t="str">
        <x:v>Menşe belirtilmemiş</x:v>
      </x:c>
      <x:c r="G1511" s="17" t="str">
        <x:v>Erişilemedi</x:v>
      </x:c>
      <x:c r="H1511" s="16" t="str">
        <x:v>Erişilemedi</x:v>
      </x:c>
      <x:c r="I1511" s="18" t="n">
        <x:v>131</x:v>
      </x:c>
      <x:c r="J1511" s="18" t="str">
        <x:v>Erişildi</x:v>
      </x:c>
      <x:c r="K1511" s="18" t="str">
        <x:f>IF(AND(ISNUMBER(G1511),ISNUMBER(I1511)),I1511/G1511*1000,"Erişilemedi")</x:f>
        <x:v>Erişilemedi</x:v>
      </x:c>
      <x:c r="L1511" s="16" t="str">
        <x:v>Belirsiz</x:v>
      </x:c>
      <x:c r="M1511" s="16" t="str">
        <x:v>Kahve ürünü</x:v>
      </x:c>
      <x:c r="N1511" s="16" t="str">
        <x:v>Site haritası ürün sayfası</x:v>
      </x:c>
      <x:c r="O1511" s="16" t="str">
        <x:v>Düşük</x:v>
      </x:c>
      <x:c r="P1511" s="19" t="n">
        <x:v>46245</x:v>
      </x:c>
      <x:c r="Q1511" s="20" t="str">
        <x:v>https://www.sanalbaharat.com/urun/atom-cayi-kis-cayi</x:v>
      </x:c>
      <x:c r="R1511" s="20" t="str">
        <x:v>Ürün kimliği korundu; eksik alanlar erişilemedi olarak işaretlenecek.</x:v>
      </x:c>
    </x:row>
    <x:row r="1512" ht="40" customHeight="1">
      <x:c r="A1512" s="16" t="str">
        <x:v>Sanal Baharat</x:v>
      </x:c>
      <x:c r="B1512" s="16" t="str"/>
      <x:c r="C1512" s="16" t="str">
        <x:v>Doğrulandı</x:v>
      </x:c>
      <x:c r="D1512" s="16" t="str">
        <x:v>Ürün kaydı</x:v>
      </x:c>
      <x:c r="E1512" s="16" t="str">
        <x:v>Atom Nane Limon Melisa Çayı</x:v>
      </x:c>
      <x:c r="F1512" s="16" t="str">
        <x:v>Menşe belirtilmemiş</x:v>
      </x:c>
      <x:c r="G1512" s="17" t="str">
        <x:v>Erişilemedi</x:v>
      </x:c>
      <x:c r="H1512" s="16" t="str">
        <x:v>Erişilemedi</x:v>
      </x:c>
      <x:c r="I1512" s="18" t="n">
        <x:v>131</x:v>
      </x:c>
      <x:c r="J1512" s="18" t="str">
        <x:v>Erişildi</x:v>
      </x:c>
      <x:c r="K1512" s="18" t="str">
        <x:f>IF(AND(ISNUMBER(G1512),ISNUMBER(I1512)),I1512/G1512*1000,"Erişilemedi")</x:f>
        <x:v>Erişilemedi</x:v>
      </x:c>
      <x:c r="L1512" s="16" t="str">
        <x:v>Belirsiz</x:v>
      </x:c>
      <x:c r="M1512" s="16" t="str">
        <x:v>Kahve ürünü</x:v>
      </x:c>
      <x:c r="N1512" s="16" t="str">
        <x:v>Site haritası ürün sayfası</x:v>
      </x:c>
      <x:c r="O1512" s="16" t="str">
        <x:v>Düşük</x:v>
      </x:c>
      <x:c r="P1512" s="19" t="n">
        <x:v>46245</x:v>
      </x:c>
      <x:c r="Q1512" s="20" t="str">
        <x:v>https://www.sanalbaharat.com/urun/atom-nane-limon-melisa-cayi</x:v>
      </x:c>
      <x:c r="R1512" s="20" t="str">
        <x:v>Ürün kimliği korundu; eksik alanlar erişilemedi olarak işaretlenecek.</x:v>
      </x:c>
    </x:row>
    <x:row r="1513" ht="40" customHeight="1">
      <x:c r="A1513" s="16" t="str">
        <x:v>Sanal Baharat</x:v>
      </x:c>
      <x:c r="B1513" s="16" t="str"/>
      <x:c r="C1513" s="16" t="str">
        <x:v>Doğrulandı</x:v>
      </x:c>
      <x:c r="D1513" s="16" t="str">
        <x:v>Ürün kaydı</x:v>
      </x:c>
      <x:c r="E1513" s="16" t="str">
        <x:v>Basmati Pirinç 4,5 Kg</x:v>
      </x:c>
      <x:c r="F1513" s="16" t="str">
        <x:v>Menşe belirtilmemiş</x:v>
      </x:c>
      <x:c r="G1513" s="17" t="n">
        <x:v>4500</x:v>
      </x:c>
      <x:c r="H1513" s="16" t="str">
        <x:v>Erişildi</x:v>
      </x:c>
      <x:c r="I1513" s="18" t="n">
        <x:v>131</x:v>
      </x:c>
      <x:c r="J1513" s="18" t="str">
        <x:v>Erişildi</x:v>
      </x:c>
      <x:c r="K1513" s="18" t="n">
        <x:f>IF(AND(ISNUMBER(G1513),ISNUMBER(I1513)),I1513/G1513*1000,"Erişilemedi")</x:f>
        <x:v>29.11111111111111</x:v>
      </x:c>
      <x:c r="L1513" s="16" t="str">
        <x:v>Belirsiz</x:v>
      </x:c>
      <x:c r="M1513" s="16" t="str">
        <x:v>Kahve ürünü</x:v>
      </x:c>
      <x:c r="N1513" s="16" t="str">
        <x:v>Site haritası ürün sayfası</x:v>
      </x:c>
      <x:c r="O1513" s="16" t="str">
        <x:v>Orta</x:v>
      </x:c>
      <x:c r="P1513" s="19" t="n">
        <x:v>46245</x:v>
      </x:c>
      <x:c r="Q1513" s="20" t="str">
        <x:v>https://www.sanalbaharat.com/urun/basmati-pirinc-4-5-kg</x:v>
      </x:c>
      <x:c r="R1513" s="20" t="str">
        <x:v>Ürün kimliği korundu; eksik alanlar erişilemedi olarak işaretlenecek.</x:v>
      </x:c>
    </x:row>
    <x:row r="1514" ht="40" customHeight="1">
      <x:c r="A1514" s="16" t="str">
        <x:v>Sanal Baharat</x:v>
      </x:c>
      <x:c r="B1514" s="16" t="str"/>
      <x:c r="C1514" s="16" t="str">
        <x:v>Doğrulandı</x:v>
      </x:c>
      <x:c r="D1514" s="16" t="str">
        <x:v>Ürün kaydı</x:v>
      </x:c>
      <x:c r="E1514" s="16" t="str">
        <x:v>Blend Kahve Kavrulmuş -Harman</x:v>
      </x:c>
      <x:c r="F1514" s="16" t="str">
        <x:v>Harman – menşe belirtilmemiş</x:v>
      </x:c>
      <x:c r="G1514" s="17" t="str">
        <x:v>Erişilemedi</x:v>
      </x:c>
      <x:c r="H1514" s="16" t="str">
        <x:v>Erişilemedi</x:v>
      </x:c>
      <x:c r="I1514" s="18" t="n">
        <x:v>131</x:v>
      </x:c>
      <x:c r="J1514" s="18" t="str">
        <x:v>Erişildi</x:v>
      </x:c>
      <x:c r="K1514" s="18" t="str">
        <x:f>IF(AND(ISNUMBER(G1514),ISNUMBER(I1514)),I1514/G1514*1000,"Erişilemedi")</x:f>
        <x:v>Erişilemedi</x:v>
      </x:c>
      <x:c r="L1514" s="16" t="str">
        <x:v>Belirsiz</x:v>
      </x:c>
      <x:c r="M1514" s="16" t="str">
        <x:v>Harman</x:v>
      </x:c>
      <x:c r="N1514" s="16" t="str">
        <x:v>Site haritası ürün sayfası</x:v>
      </x:c>
      <x:c r="O1514" s="16" t="str">
        <x:v>Düşük</x:v>
      </x:c>
      <x:c r="P1514" s="19" t="n">
        <x:v>46245</x:v>
      </x:c>
      <x:c r="Q1514" s="20" t="str">
        <x:v>https://www.sanalbaharat.com/urun/blend-harman</x:v>
      </x:c>
      <x:c r="R1514" s="20" t="str">
        <x:v>Ürün kimliği korundu; eksik alanlar erişilemedi olarak işaretlenecek.</x:v>
      </x:c>
    </x:row>
    <x:row r="1515" ht="40" customHeight="1">
      <x:c r="A1515" s="16" t="str">
        <x:v>Sanal Baharat</x:v>
      </x:c>
      <x:c r="B1515" s="16" t="str"/>
      <x:c r="C1515" s="16" t="str">
        <x:v>Doğrulandı</x:v>
      </x:c>
      <x:c r="D1515" s="16" t="str">
        <x:v>Ürün kaydı</x:v>
      </x:c>
      <x:c r="E1515" s="16" t="str">
        <x:v>Chia Tohumu 1 Kg (Ciha-Çia)</x:v>
      </x:c>
      <x:c r="F1515" s="16" t="str">
        <x:v>Menşe belirtilmemiş</x:v>
      </x:c>
      <x:c r="G1515" s="17" t="n">
        <x:v>1000</x:v>
      </x:c>
      <x:c r="H1515" s="16" t="str">
        <x:v>Erişildi</x:v>
      </x:c>
      <x:c r="I1515" s="18" t="n">
        <x:v>131</x:v>
      </x:c>
      <x:c r="J1515" s="18" t="str">
        <x:v>Erişildi</x:v>
      </x:c>
      <x:c r="K1515" s="18" t="n">
        <x:f>IF(AND(ISNUMBER(G1515),ISNUMBER(I1515)),I1515/G1515*1000,"Erişilemedi")</x:f>
        <x:v>131</x:v>
      </x:c>
      <x:c r="L1515" s="16" t="str">
        <x:v>Belirsiz</x:v>
      </x:c>
      <x:c r="M1515" s="16" t="str">
        <x:v>Kahve ürünü</x:v>
      </x:c>
      <x:c r="N1515" s="16" t="str">
        <x:v>Site haritası ürün sayfası</x:v>
      </x:c>
      <x:c r="O1515" s="16" t="str">
        <x:v>Orta</x:v>
      </x:c>
      <x:c r="P1515" s="19" t="n">
        <x:v>46245</x:v>
      </x:c>
      <x:c r="Q1515" s="20" t="str">
        <x:v>https://www.sanalbaharat.com/urun/chia-tohumu-1-kg-ciha-cia</x:v>
      </x:c>
      <x:c r="R1515" s="20" t="str">
        <x:v>Ürün kimliği korundu; eksik alanlar erişilemedi olarak işaretlenecek.</x:v>
      </x:c>
    </x:row>
    <x:row r="1516" ht="40" customHeight="1">
      <x:c r="A1516" s="16" t="str">
        <x:v>Sanal Baharat</x:v>
      </x:c>
      <x:c r="B1516" s="16" t="str"/>
      <x:c r="C1516" s="16" t="str">
        <x:v>Doğrulandı</x:v>
      </x:c>
      <x:c r="D1516" s="16" t="str">
        <x:v>Ürün kaydı</x:v>
      </x:c>
      <x:c r="E1516" s="16" t="str">
        <x:v>Colombia Supremo 15 kg Kav. Kahve Çekirdeği</x:v>
      </x:c>
      <x:c r="F1516" s="16" t="str">
        <x:v>Kolombiya</x:v>
      </x:c>
      <x:c r="G1516" s="17" t="n">
        <x:v>15000</x:v>
      </x:c>
      <x:c r="H1516" s="16" t="str">
        <x:v>Erişildi</x:v>
      </x:c>
      <x:c r="I1516" s="18" t="n">
        <x:v>131</x:v>
      </x:c>
      <x:c r="J1516" s="18" t="str">
        <x:v>Erişildi</x:v>
      </x:c>
      <x:c r="K1516" s="18" t="n">
        <x:f>IF(AND(ISNUMBER(G1516),ISNUMBER(I1516)),I1516/G1516*1000,"Erişilemedi")</x:f>
        <x:v>8.733333333333333</x:v>
      </x:c>
      <x:c r="L1516" s="16" t="str">
        <x:v>Belirsiz</x:v>
      </x:c>
      <x:c r="M1516" s="16" t="str">
        <x:v>Kahve ürünü</x:v>
      </x:c>
      <x:c r="N1516" s="16" t="str">
        <x:v>Site haritası ürün sayfası</x:v>
      </x:c>
      <x:c r="O1516" s="16" t="str">
        <x:v>Orta</x:v>
      </x:c>
      <x:c r="P1516" s="19" t="n">
        <x:v>46245</x:v>
      </x:c>
      <x:c r="Q1516" s="20" t="str">
        <x:v>https://www.sanalbaharat.com/urun/colombia-supremo-15-kg-kav-kahve-cekirdegi-1</x:v>
      </x:c>
      <x:c r="R1516" s="20" t="str">
        <x:v>Ürün kimliği korundu; eksik alanlar erişilemedi olarak işaretlenecek.</x:v>
      </x:c>
    </x:row>
    <x:row r="1517" ht="40" customHeight="1">
      <x:c r="A1517" s="16" t="str">
        <x:v>Sanal Baharat</x:v>
      </x:c>
      <x:c r="B1517" s="16" t="str"/>
      <x:c r="C1517" s="16" t="str">
        <x:v>Doğrulandı</x:v>
      </x:c>
      <x:c r="D1517" s="16" t="str">
        <x:v>Ürün kaydı</x:v>
      </x:c>
      <x:c r="E1517" s="16" t="str">
        <x:v>Colombia Supremo Kahve Kavrulmuş</x:v>
      </x:c>
      <x:c r="F1517" s="16" t="str">
        <x:v>Kolombiya</x:v>
      </x:c>
      <x:c r="G1517" s="17" t="str">
        <x:v>Erişilemedi</x:v>
      </x:c>
      <x:c r="H1517" s="16" t="str">
        <x:v>Erişilemedi</x:v>
      </x:c>
      <x:c r="I1517" s="18" t="n">
        <x:v>131</x:v>
      </x:c>
      <x:c r="J1517" s="18" t="str">
        <x:v>Erişildi</x:v>
      </x:c>
      <x:c r="K1517" s="18" t="str">
        <x:f>IF(AND(ISNUMBER(G1517),ISNUMBER(I1517)),I1517/G1517*1000,"Erişilemedi")</x:f>
        <x:v>Erişilemedi</x:v>
      </x:c>
      <x:c r="L1517" s="16" t="str">
        <x:v>Belirsiz</x:v>
      </x:c>
      <x:c r="M1517" s="16" t="str">
        <x:v>Kahve ürünü</x:v>
      </x:c>
      <x:c r="N1517" s="16" t="str">
        <x:v>Site haritası ürün sayfası</x:v>
      </x:c>
      <x:c r="O1517" s="16" t="str">
        <x:v>Düşük</x:v>
      </x:c>
      <x:c r="P1517" s="19" t="n">
        <x:v>46245</x:v>
      </x:c>
      <x:c r="Q1517" s="20" t="str">
        <x:v>https://www.sanalbaharat.com/urun/colombia-supremo-kahve-kavrulmus</x:v>
      </x:c>
      <x:c r="R1517" s="20" t="str">
        <x:v>Ürün kimliği korundu; eksik alanlar erişilemedi olarak işaretlenecek.</x:v>
      </x:c>
    </x:row>
    <x:row r="1518" ht="40" customHeight="1">
      <x:c r="A1518" s="16" t="str">
        <x:v>Sanal Baharat</x:v>
      </x:c>
      <x:c r="B1518" s="16" t="str"/>
      <x:c r="C1518" s="16" t="str">
        <x:v>Doğrulandı</x:v>
      </x:c>
      <x:c r="D1518" s="16" t="str">
        <x:v>Ürün kaydı</x:v>
      </x:c>
      <x:c r="E1518" s="16" t="str">
        <x:v>Costa Rica Tarrazu</x:v>
      </x:c>
      <x:c r="F1518" s="16" t="str">
        <x:v>Kosta Rika</x:v>
      </x:c>
      <x:c r="G1518" s="17" t="str">
        <x:v>Erişilemedi</x:v>
      </x:c>
      <x:c r="H1518" s="16" t="str">
        <x:v>Erişilemedi</x:v>
      </x:c>
      <x:c r="I1518" s="18" t="n">
        <x:v>131</x:v>
      </x:c>
      <x:c r="J1518" s="18" t="str">
        <x:v>Erişildi</x:v>
      </x:c>
      <x:c r="K1518" s="18" t="str">
        <x:f>IF(AND(ISNUMBER(G1518),ISNUMBER(I1518)),I1518/G1518*1000,"Erişilemedi")</x:f>
        <x:v>Erişilemedi</x:v>
      </x:c>
      <x:c r="L1518" s="16" t="str">
        <x:v>Belirsiz</x:v>
      </x:c>
      <x:c r="M1518" s="16" t="str">
        <x:v>Kahve ürünü</x:v>
      </x:c>
      <x:c r="N1518" s="16" t="str">
        <x:v>Site haritası ürün sayfası</x:v>
      </x:c>
      <x:c r="O1518" s="16" t="str">
        <x:v>Düşük</x:v>
      </x:c>
      <x:c r="P1518" s="19" t="n">
        <x:v>46245</x:v>
      </x:c>
      <x:c r="Q1518" s="20" t="str">
        <x:v>https://www.sanalbaharat.com/urun/costa-rica-arabica-shb-ep</x:v>
      </x:c>
      <x:c r="R1518" s="20" t="str">
        <x:v>Ürün kimliği korundu; eksik alanlar erişilemedi olarak işaretlenecek.</x:v>
      </x:c>
    </x:row>
    <x:row r="1519" ht="40" customHeight="1">
      <x:c r="A1519" s="16" t="str">
        <x:v>Sanal Baharat</x:v>
      </x:c>
      <x:c r="B1519" s="16" t="str"/>
      <x:c r="C1519" s="16" t="str">
        <x:v>Doğrulandı</x:v>
      </x:c>
      <x:c r="D1519" s="16" t="str">
        <x:v>Ürün kaydı</x:v>
      </x:c>
      <x:c r="E1519" s="16" t="str">
        <x:v>Çörekotu 1Kg</x:v>
      </x:c>
      <x:c r="F1519" s="16" t="str">
        <x:v>Menşe belirtilmemiş</x:v>
      </x:c>
      <x:c r="G1519" s="17" t="n">
        <x:v>1000</x:v>
      </x:c>
      <x:c r="H1519" s="16" t="str">
        <x:v>Erişildi</x:v>
      </x:c>
      <x:c r="I1519" s="18" t="n">
        <x:v>131</x:v>
      </x:c>
      <x:c r="J1519" s="18" t="str">
        <x:v>Erişildi</x:v>
      </x:c>
      <x:c r="K1519" s="18" t="n">
        <x:f>IF(AND(ISNUMBER(G1519),ISNUMBER(I1519)),I1519/G1519*1000,"Erişilemedi")</x:f>
        <x:v>131</x:v>
      </x:c>
      <x:c r="L1519" s="16" t="str">
        <x:v>Belirsiz</x:v>
      </x:c>
      <x:c r="M1519" s="16" t="str">
        <x:v>Tek köken/ürün</x:v>
      </x:c>
      <x:c r="N1519" s="16" t="str">
        <x:v>Site haritası + HTML ürün kartı</x:v>
      </x:c>
      <x:c r="O1519" s="16" t="str">
        <x:v>Düşük</x:v>
      </x:c>
      <x:c r="P1519" s="19" t="n">
        <x:v>46245</x:v>
      </x:c>
      <x:c r="Q1519" s="20" t="str">
        <x:v>https://www.sanalbaharat.com/urun/corekotu-1kg</x:v>
      </x:c>
      <x:c r="R1519" s="20" t="str">
        <x:v>Başlık/açıklama ve görünür fiyat deseninden çıkarıldı; manuel örnek kontrolü önerilir.</x:v>
      </x:c>
    </x:row>
    <x:row r="1520" ht="40" customHeight="1">
      <x:c r="A1520" s="16" t="str">
        <x:v>Sanal Baharat</x:v>
      </x:c>
      <x:c r="B1520" s="16" t="str"/>
      <x:c r="C1520" s="16" t="str">
        <x:v>Doğrulandı</x:v>
      </x:c>
      <x:c r="D1520" s="16" t="str">
        <x:v>Ürün kaydı</x:v>
      </x:c>
      <x:c r="E1520" s="16" t="str">
        <x:v>Decaf(Kafeinsiz) Colombia Kavrulmuş Kahve</x:v>
      </x:c>
      <x:c r="F1520" s="16" t="str">
        <x:v>Kolombiya</x:v>
      </x:c>
      <x:c r="G1520" s="17" t="str">
        <x:v>Erişilemedi</x:v>
      </x:c>
      <x:c r="H1520" s="16" t="str">
        <x:v>Erişilemedi</x:v>
      </x:c>
      <x:c r="I1520" s="18" t="n">
        <x:v>0</x:v>
      </x:c>
      <x:c r="J1520" s="18" t="str">
        <x:v>Erişilemedi</x:v>
      </x:c>
      <x:c r="K1520" s="18" t="str">
        <x:f>IF(AND(ISNUMBER(G1520),ISNUMBER(I1520)),I1520/G1520*1000,"Erişilemedi")</x:f>
        <x:v>Erişilemedi</x:v>
      </x:c>
      <x:c r="L1520" s="16" t="str">
        <x:v>Belirsiz</x:v>
      </x:c>
      <x:c r="M1520" s="16" t="str">
        <x:v>Kahve ürünü</x:v>
      </x:c>
      <x:c r="N1520" s="16" t="str">
        <x:v>Site haritası ürün sayfası</x:v>
      </x:c>
      <x:c r="O1520" s="16" t="str">
        <x:v>Düşük</x:v>
      </x:c>
      <x:c r="P1520" s="19" t="n">
        <x:v>46245</x:v>
      </x:c>
      <x:c r="Q1520" s="20" t="str">
        <x:v>https://www.sanalbaharat.com/urun/decaff-colombia-supremo-kavrulmus-kahve</x:v>
      </x:c>
      <x:c r="R1520" s="20" t="str">
        <x:v>Ürün kimliği korundu; eksik alanlar erişilemedi olarak işaretlenecek.</x:v>
      </x:c>
    </x:row>
    <x:row r="1521" ht="40" customHeight="1">
      <x:c r="A1521" s="16" t="str">
        <x:v>Sanal Baharat</x:v>
      </x:c>
      <x:c r="B1521" s="16" t="str"/>
      <x:c r="C1521" s="16" t="str">
        <x:v>Doğrulandı</x:v>
      </x:c>
      <x:c r="D1521" s="16" t="str">
        <x:v>Ürün kaydı</x:v>
      </x:c>
      <x:c r="E1521" s="16" t="str">
        <x:v>Etiyopya Sidamo Gr2 Kavrulmuş Kahve</x:v>
      </x:c>
      <x:c r="F1521" s="16" t="str">
        <x:v>Etiyopya</x:v>
      </x:c>
      <x:c r="G1521" s="17" t="str">
        <x:v>Erişilemedi</x:v>
      </x:c>
      <x:c r="H1521" s="16" t="str">
        <x:v>Erişilemedi</x:v>
      </x:c>
      <x:c r="I1521" s="18" t="n">
        <x:v>131</x:v>
      </x:c>
      <x:c r="J1521" s="18" t="str">
        <x:v>Erişildi</x:v>
      </x:c>
      <x:c r="K1521" s="18" t="str">
        <x:f>IF(AND(ISNUMBER(G1521),ISNUMBER(I1521)),I1521/G1521*1000,"Erişilemedi")</x:f>
        <x:v>Erişilemedi</x:v>
      </x:c>
      <x:c r="L1521" s="16" t="str">
        <x:v>Belirsiz</x:v>
      </x:c>
      <x:c r="M1521" s="16" t="str">
        <x:v>Kahve ürünü</x:v>
      </x:c>
      <x:c r="N1521" s="16" t="str">
        <x:v>Site haritası ürün sayfası</x:v>
      </x:c>
      <x:c r="O1521" s="16" t="str">
        <x:v>Düşük</x:v>
      </x:c>
      <x:c r="P1521" s="19" t="n">
        <x:v>46245</x:v>
      </x:c>
      <x:c r="Q1521" s="20" t="str">
        <x:v>https://www.sanalbaharat.com/urun/etiyopya-sidamo-gr2-kavrulmus-kahve</x:v>
      </x:c>
      <x:c r="R1521" s="20" t="str">
        <x:v>Ürün kimliği korundu; eksik alanlar erişilemedi olarak işaretlenecek.</x:v>
      </x:c>
    </x:row>
    <x:row r="1522" ht="40" customHeight="1">
      <x:c r="A1522" s="16" t="str">
        <x:v>Sanal Baharat</x:v>
      </x:c>
      <x:c r="B1522" s="16" t="str"/>
      <x:c r="C1522" s="16" t="str">
        <x:v>Doğrulandı</x:v>
      </x:c>
      <x:c r="D1522" s="16" t="str">
        <x:v>Ürün kaydı</x:v>
      </x:c>
      <x:c r="E1522" s="16" t="str">
        <x:v>Etiyopya Sidamo Gr4 Kavrulmuş Kahve</x:v>
      </x:c>
      <x:c r="F1522" s="16" t="str">
        <x:v>Etiyopya</x:v>
      </x:c>
      <x:c r="G1522" s="17" t="str">
        <x:v>Erişilemedi</x:v>
      </x:c>
      <x:c r="H1522" s="16" t="str">
        <x:v>Erişilemedi</x:v>
      </x:c>
      <x:c r="I1522" s="18" t="n">
        <x:v>131</x:v>
      </x:c>
      <x:c r="J1522" s="18" t="str">
        <x:v>Erişildi</x:v>
      </x:c>
      <x:c r="K1522" s="18" t="str">
        <x:f>IF(AND(ISNUMBER(G1522),ISNUMBER(I1522)),I1522/G1522*1000,"Erişilemedi")</x:f>
        <x:v>Erişilemedi</x:v>
      </x:c>
      <x:c r="L1522" s="16" t="str">
        <x:v>Belirsiz</x:v>
      </x:c>
      <x:c r="M1522" s="16" t="str">
        <x:v>Kahve ürünü</x:v>
      </x:c>
      <x:c r="N1522" s="16" t="str">
        <x:v>Site haritası ürün sayfası</x:v>
      </x:c>
      <x:c r="O1522" s="16" t="str">
        <x:v>Düşük</x:v>
      </x:c>
      <x:c r="P1522" s="19" t="n">
        <x:v>46245</x:v>
      </x:c>
      <x:c r="Q1522" s="20" t="str">
        <x:v>https://www.sanalbaharat.com/urun/etiyopya-sidamo-gr4-kavrulmus-kahve</x:v>
      </x:c>
      <x:c r="R1522" s="20" t="str">
        <x:v>Ürün kimliği korundu; eksik alanlar erişilemedi olarak işaretlenecek.</x:v>
      </x:c>
    </x:row>
    <x:row r="1523" ht="40" customHeight="1">
      <x:c r="A1523" s="16" t="str">
        <x:v>Sanal Baharat</x:v>
      </x:c>
      <x:c r="B1523" s="16" t="str"/>
      <x:c r="C1523" s="16" t="str">
        <x:v>Doğrulandı</x:v>
      </x:c>
      <x:c r="D1523" s="16" t="str">
        <x:v>Ürün kaydı</x:v>
      </x:c>
      <x:c r="E1523" s="16" t="str">
        <x:v>Etiyopya Yirgacheffe Gr2 Kavr. Kahve</x:v>
      </x:c>
      <x:c r="F1523" s="16" t="str">
        <x:v>Etiyopya</x:v>
      </x:c>
      <x:c r="G1523" s="17" t="str">
        <x:v>Erişilemedi</x:v>
      </x:c>
      <x:c r="H1523" s="16" t="str">
        <x:v>Erişilemedi</x:v>
      </x:c>
      <x:c r="I1523" s="18" t="n">
        <x:v>131</x:v>
      </x:c>
      <x:c r="J1523" s="18" t="str">
        <x:v>Erişildi</x:v>
      </x:c>
      <x:c r="K1523" s="18" t="str">
        <x:f>IF(AND(ISNUMBER(G1523),ISNUMBER(I1523)),I1523/G1523*1000,"Erişilemedi")</x:f>
        <x:v>Erişilemedi</x:v>
      </x:c>
      <x:c r="L1523" s="16" t="str">
        <x:v>Belirsiz</x:v>
      </x:c>
      <x:c r="M1523" s="16" t="str">
        <x:v>Kahve ürünü</x:v>
      </x:c>
      <x:c r="N1523" s="16" t="str">
        <x:v>Site haritası ürün sayfası</x:v>
      </x:c>
      <x:c r="O1523" s="16" t="str">
        <x:v>Düşük</x:v>
      </x:c>
      <x:c r="P1523" s="19" t="n">
        <x:v>46245</x:v>
      </x:c>
      <x:c r="Q1523" s="20" t="str">
        <x:v>https://www.sanalbaharat.com/urun/etiyopya-yirgacheffe-gr1-kavr-kahve</x:v>
      </x:c>
      <x:c r="R1523" s="20" t="str">
        <x:v>Ürün kimliği korundu; eksik alanlar erişilemedi olarak işaretlenecek.</x:v>
      </x:c>
    </x:row>
    <x:row r="1524" ht="40" customHeight="1">
      <x:c r="A1524" s="16" t="str">
        <x:v>Sanal Baharat</x:v>
      </x:c>
      <x:c r="B1524" s="16" t="str"/>
      <x:c r="C1524" s="16" t="str">
        <x:v>Doğrulandı</x:v>
      </x:c>
      <x:c r="D1524" s="16" t="str">
        <x:v>Ürün kaydı</x:v>
      </x:c>
      <x:c r="E1524" s="16" t="str">
        <x:v>Guatemala Antigua 15 kg Kav. Kahve Çekirdeği</x:v>
      </x:c>
      <x:c r="F1524" s="16" t="str">
        <x:v>Guatemala</x:v>
      </x:c>
      <x:c r="G1524" s="17" t="n">
        <x:v>15000</x:v>
      </x:c>
      <x:c r="H1524" s="16" t="str">
        <x:v>Erişildi</x:v>
      </x:c>
      <x:c r="I1524" s="18" t="n">
        <x:v>131</x:v>
      </x:c>
      <x:c r="J1524" s="18" t="str">
        <x:v>Erişildi</x:v>
      </x:c>
      <x:c r="K1524" s="18" t="n">
        <x:f>IF(AND(ISNUMBER(G1524),ISNUMBER(I1524)),I1524/G1524*1000,"Erişilemedi")</x:f>
        <x:v>8.733333333333333</x:v>
      </x:c>
      <x:c r="L1524" s="16" t="str">
        <x:v>Belirsiz</x:v>
      </x:c>
      <x:c r="M1524" s="16" t="str">
        <x:v>Kahve ürünü</x:v>
      </x:c>
      <x:c r="N1524" s="16" t="str">
        <x:v>Site haritası ürün sayfası</x:v>
      </x:c>
      <x:c r="O1524" s="16" t="str">
        <x:v>Orta</x:v>
      </x:c>
      <x:c r="P1524" s="19" t="n">
        <x:v>46245</x:v>
      </x:c>
      <x:c r="Q1524" s="20" t="str">
        <x:v>https://www.sanalbaharat.com/urun/guatemala-antigua-15-kg-kav-kahve-cekirdegi</x:v>
      </x:c>
      <x:c r="R1524" s="20" t="str">
        <x:v>Ürün kimliği korundu; eksik alanlar erişilemedi olarak işaretlenecek.</x:v>
      </x:c>
    </x:row>
    <x:row r="1525" ht="40" customHeight="1">
      <x:c r="A1525" s="16" t="str">
        <x:v>Sanal Baharat</x:v>
      </x:c>
      <x:c r="B1525" s="16" t="str"/>
      <x:c r="C1525" s="16" t="str">
        <x:v>Doğrulandı</x:v>
      </x:c>
      <x:c r="D1525" s="16" t="str">
        <x:v>Ürün kaydı</x:v>
      </x:c>
      <x:c r="E1525" s="16" t="str">
        <x:v>Guatemala Arabica</x:v>
      </x:c>
      <x:c r="F1525" s="16" t="str">
        <x:v>Guatemala</x:v>
      </x:c>
      <x:c r="G1525" s="17" t="str">
        <x:v>Erişilemedi</x:v>
      </x:c>
      <x:c r="H1525" s="16" t="str">
        <x:v>Erişilemedi</x:v>
      </x:c>
      <x:c r="I1525" s="18" t="n">
        <x:v>131</x:v>
      </x:c>
      <x:c r="J1525" s="18" t="str">
        <x:v>Erişildi</x:v>
      </x:c>
      <x:c r="K1525" s="18" t="str">
        <x:f>IF(AND(ISNUMBER(G1525),ISNUMBER(I1525)),I1525/G1525*1000,"Erişilemedi")</x:f>
        <x:v>Erişilemedi</x:v>
      </x:c>
      <x:c r="L1525" s="16" t="str">
        <x:v>Belirsiz</x:v>
      </x:c>
      <x:c r="M1525" s="16" t="str">
        <x:v>Kahve ürünü</x:v>
      </x:c>
      <x:c r="N1525" s="16" t="str">
        <x:v>Site haritası ürün sayfası</x:v>
      </x:c>
      <x:c r="O1525" s="16" t="str">
        <x:v>Düşük</x:v>
      </x:c>
      <x:c r="P1525" s="19" t="n">
        <x:v>46245</x:v>
      </x:c>
      <x:c r="Q1525" s="20" t="str">
        <x:v>https://www.sanalbaharat.com/urun/guatemala-arabica-1kg</x:v>
      </x:c>
      <x:c r="R1525" s="20" t="str">
        <x:v>Ürün kimliği korundu; eksik alanlar erişilemedi olarak işaretlenecek.</x:v>
      </x:c>
    </x:row>
    <x:row r="1526" ht="40" customHeight="1">
      <x:c r="A1526" s="16" t="str">
        <x:v>Sanal Baharat</x:v>
      </x:c>
      <x:c r="B1526" s="16" t="str"/>
      <x:c r="C1526" s="16" t="str">
        <x:v>Doğrulandı</x:v>
      </x:c>
      <x:c r="D1526" s="16" t="str">
        <x:v>Ürün kaydı</x:v>
      </x:c>
      <x:c r="E1526" s="16" t="str">
        <x:v>Guatemala Arabica 15 kg Kav. Kahve Çekirdeği</x:v>
      </x:c>
      <x:c r="F1526" s="16" t="str">
        <x:v>Guatemala</x:v>
      </x:c>
      <x:c r="G1526" s="17" t="n">
        <x:v>15000</x:v>
      </x:c>
      <x:c r="H1526" s="16" t="str">
        <x:v>Erişildi</x:v>
      </x:c>
      <x:c r="I1526" s="18" t="n">
        <x:v>131</x:v>
      </x:c>
      <x:c r="J1526" s="18" t="str">
        <x:v>Erişildi</x:v>
      </x:c>
      <x:c r="K1526" s="18" t="n">
        <x:f>IF(AND(ISNUMBER(G1526),ISNUMBER(I1526)),I1526/G1526*1000,"Erişilemedi")</x:f>
        <x:v>8.733333333333333</x:v>
      </x:c>
      <x:c r="L1526" s="16" t="str">
        <x:v>Belirsiz</x:v>
      </x:c>
      <x:c r="M1526" s="16" t="str">
        <x:v>Kahve ürünü</x:v>
      </x:c>
      <x:c r="N1526" s="16" t="str">
        <x:v>Site haritası ürün sayfası</x:v>
      </x:c>
      <x:c r="O1526" s="16" t="str">
        <x:v>Orta</x:v>
      </x:c>
      <x:c r="P1526" s="19" t="n">
        <x:v>46245</x:v>
      </x:c>
      <x:c r="Q1526" s="20" t="str">
        <x:v>https://www.sanalbaharat.com/urun/guatemala-arabica-15-kg-kav-kahve-cekirdegi</x:v>
      </x:c>
      <x:c r="R1526" s="20" t="str">
        <x:v>Ürün kimliği korundu; eksik alanlar erişilemedi olarak işaretlenecek.</x:v>
      </x:c>
    </x:row>
    <x:row r="1527" ht="40" customHeight="1">
      <x:c r="A1527" s="16" t="str">
        <x:v>Sanal Baharat</x:v>
      </x:c>
      <x:c r="B1527" s="16" t="str"/>
      <x:c r="C1527" s="16" t="str">
        <x:v>Doğrulandı</x:v>
      </x:c>
      <x:c r="D1527" s="16" t="str">
        <x:v>Ürün kaydı</x:v>
      </x:c>
      <x:c r="E1527" s="16" t="str">
        <x:v>Hibisküs - Kerkede 500GR</x:v>
      </x:c>
      <x:c r="F1527" s="16" t="str">
        <x:v>Menşe belirtilmemiş</x:v>
      </x:c>
      <x:c r="G1527" s="17" t="n">
        <x:v>500</x:v>
      </x:c>
      <x:c r="H1527" s="16" t="str">
        <x:v>Erişildi</x:v>
      </x:c>
      <x:c r="I1527" s="18" t="n">
        <x:v>131</x:v>
      </x:c>
      <x:c r="J1527" s="18" t="str">
        <x:v>Erişildi</x:v>
      </x:c>
      <x:c r="K1527" s="18" t="n">
        <x:f>IF(AND(ISNUMBER(G1527),ISNUMBER(I1527)),I1527/G1527*1000,"Erişilemedi")</x:f>
        <x:v>262</x:v>
      </x:c>
      <x:c r="L1527" s="16" t="str">
        <x:v>Belirsiz</x:v>
      </x:c>
      <x:c r="M1527" s="16" t="str">
        <x:v>Tek köken/ürün</x:v>
      </x:c>
      <x:c r="N1527" s="16" t="str">
        <x:v>Site haritası + HTML ürün kartı</x:v>
      </x:c>
      <x:c r="O1527" s="16" t="str">
        <x:v>Düşük</x:v>
      </x:c>
      <x:c r="P1527" s="19" t="n">
        <x:v>46245</x:v>
      </x:c>
      <x:c r="Q1527" s="20" t="str">
        <x:v>https://www.sanalbaharat.com/urun/hibiskus-kerkede-1kg</x:v>
      </x:c>
      <x:c r="R1527" s="20" t="str">
        <x:v>Başlık/açıklama ve görünür fiyat deseninden çıkarıldı; manuel örnek kontrolü önerilir.</x:v>
      </x:c>
    </x:row>
    <x:row r="1528" ht="40" customHeight="1">
      <x:c r="A1528" s="16" t="str">
        <x:v>Sanal Baharat</x:v>
      </x:c>
      <x:c r="B1528" s="16" t="str"/>
      <x:c r="C1528" s="16" t="str">
        <x:v>Doğrulandı</x:v>
      </x:c>
      <x:c r="D1528" s="16" t="str">
        <x:v>Ürün kaydı</x:v>
      </x:c>
      <x:c r="E1528" s="16" t="str">
        <x:v>Himalaya Tuzu 1 Kg</x:v>
      </x:c>
      <x:c r="F1528" s="16" t="str">
        <x:v>Menşe belirtilmemiş</x:v>
      </x:c>
      <x:c r="G1528" s="17" t="n">
        <x:v>1000</x:v>
      </x:c>
      <x:c r="H1528" s="16" t="str">
        <x:v>Erişildi</x:v>
      </x:c>
      <x:c r="I1528" s="18" t="n">
        <x:v>131</x:v>
      </x:c>
      <x:c r="J1528" s="18" t="str">
        <x:v>Erişildi</x:v>
      </x:c>
      <x:c r="K1528" s="18" t="n">
        <x:f>IF(AND(ISNUMBER(G1528),ISNUMBER(I1528)),I1528/G1528*1000,"Erişilemedi")</x:f>
        <x:v>131</x:v>
      </x:c>
      <x:c r="L1528" s="16" t="str">
        <x:v>Belirsiz</x:v>
      </x:c>
      <x:c r="M1528" s="16" t="str">
        <x:v>Kahve ürünü</x:v>
      </x:c>
      <x:c r="N1528" s="16" t="str">
        <x:v>Site haritası ürün sayfası</x:v>
      </x:c>
      <x:c r="O1528" s="16" t="str">
        <x:v>Orta</x:v>
      </x:c>
      <x:c r="P1528" s="19" t="n">
        <x:v>46245</x:v>
      </x:c>
      <x:c r="Q1528" s="20" t="str">
        <x:v>https://www.sanalbaharat.com/urun/himalaya-tuzu-1-kg</x:v>
      </x:c>
      <x:c r="R1528" s="20" t="str">
        <x:v>Ürün kimliği korundu; eksik alanlar erişilemedi olarak işaretlenecek.</x:v>
      </x:c>
    </x:row>
    <x:row r="1529" ht="40" customHeight="1">
      <x:c r="A1529" s="16" t="str">
        <x:v>Sanal Baharat</x:v>
      </x:c>
      <x:c r="B1529" s="16" t="str"/>
      <x:c r="C1529" s="16" t="str">
        <x:v>Doğrulandı</x:v>
      </x:c>
      <x:c r="D1529" s="16" t="str">
        <x:v>Ürün kaydı</x:v>
      </x:c>
      <x:c r="E1529" s="16" t="str">
        <x:v>Kahve Çekirdek Blend 15kg-Harman</x:v>
      </x:c>
      <x:c r="F1529" s="16" t="str">
        <x:v>Harman – menşe belirtilmemiş</x:v>
      </x:c>
      <x:c r="G1529" s="17" t="n">
        <x:v>15000</x:v>
      </x:c>
      <x:c r="H1529" s="16" t="str">
        <x:v>Erişildi</x:v>
      </x:c>
      <x:c r="I1529" s="18" t="n">
        <x:v>131</x:v>
      </x:c>
      <x:c r="J1529" s="18" t="str">
        <x:v>Erişildi</x:v>
      </x:c>
      <x:c r="K1529" s="18" t="n">
        <x:f>IF(AND(ISNUMBER(G1529),ISNUMBER(I1529)),I1529/G1529*1000,"Erişilemedi")</x:f>
        <x:v>8.733333333333333</x:v>
      </x:c>
      <x:c r="L1529" s="16" t="str">
        <x:v>Belirsiz</x:v>
      </x:c>
      <x:c r="M1529" s="16" t="str">
        <x:v>Harman</x:v>
      </x:c>
      <x:c r="N1529" s="16" t="str">
        <x:v>Site haritası + HTML ürün kartı</x:v>
      </x:c>
      <x:c r="O1529" s="16" t="str">
        <x:v>Düşük</x:v>
      </x:c>
      <x:c r="P1529" s="19" t="n">
        <x:v>46245</x:v>
      </x:c>
      <x:c r="Q1529" s="20" t="str">
        <x:v>https://www.sanalbaharat.com/urun/yeni-harman-15-kg</x:v>
      </x:c>
      <x:c r="R1529" s="20" t="str">
        <x:v>Başlık/açıklama ve görünür fiyat deseninden çıkarıldı; manuel örnek kontrolü önerilir.</x:v>
      </x:c>
    </x:row>
    <x:row r="1530" ht="40" customHeight="1">
      <x:c r="A1530" s="16" t="str">
        <x:v>Sanal Baharat</x:v>
      </x:c>
      <x:c r="B1530" s="16" t="str"/>
      <x:c r="C1530" s="16" t="str">
        <x:v>Doğrulandı</x:v>
      </x:c>
      <x:c r="D1530" s="16" t="str">
        <x:v>Ürün kaydı</x:v>
      </x:c>
      <x:c r="E1530" s="16" t="str">
        <x:v>Kahve Çekirdek Gurme Blend</x:v>
      </x:c>
      <x:c r="F1530" s="16" t="str">
        <x:v>Harman – menşe belirtilmemiş</x:v>
      </x:c>
      <x:c r="G1530" s="17" t="str">
        <x:v>Erişilemedi</x:v>
      </x:c>
      <x:c r="H1530" s="16" t="str">
        <x:v>Erişilemedi</x:v>
      </x:c>
      <x:c r="I1530" s="18" t="n">
        <x:v>131</x:v>
      </x:c>
      <x:c r="J1530" s="18" t="str">
        <x:v>Erişildi</x:v>
      </x:c>
      <x:c r="K1530" s="18" t="str">
        <x:f>IF(AND(ISNUMBER(G1530),ISNUMBER(I1530)),I1530/G1530*1000,"Erişilemedi")</x:f>
        <x:v>Erişilemedi</x:v>
      </x:c>
      <x:c r="L1530" s="16" t="str">
        <x:v>Belirsiz</x:v>
      </x:c>
      <x:c r="M1530" s="16" t="str">
        <x:v>Harman</x:v>
      </x:c>
      <x:c r="N1530" s="16" t="str">
        <x:v>Site haritası ürün sayfası</x:v>
      </x:c>
      <x:c r="O1530" s="16" t="str">
        <x:v>Düşük</x:v>
      </x:c>
      <x:c r="P1530" s="19" t="n">
        <x:v>46245</x:v>
      </x:c>
      <x:c r="Q1530" s="20" t="str">
        <x:v>https://www.sanalbaharat.com/urun/kahve-cekirdek-gurme-blend</x:v>
      </x:c>
      <x:c r="R1530" s="20" t="str">
        <x:v>Ürün kimliği korundu; eksik alanlar erişilemedi olarak işaretlenecek.</x:v>
      </x:c>
    </x:row>
    <x:row r="1531" ht="40" customHeight="1">
      <x:c r="A1531" s="16" t="str">
        <x:v>Sanal Baharat</x:v>
      </x:c>
      <x:c r="B1531" s="16" t="str"/>
      <x:c r="C1531" s="16" t="str">
        <x:v>Doğrulandı</x:v>
      </x:c>
      <x:c r="D1531" s="16" t="str">
        <x:v>Ürün kaydı</x:v>
      </x:c>
      <x:c r="E1531" s="16" t="str">
        <x:v>Kahve Çekirdek Gurme Blend 15kg</x:v>
      </x:c>
      <x:c r="F1531" s="16" t="str">
        <x:v>Harman – menşe belirtilmemiş</x:v>
      </x:c>
      <x:c r="G1531" s="17" t="n">
        <x:v>15000</x:v>
      </x:c>
      <x:c r="H1531" s="16" t="str">
        <x:v>Erişildi</x:v>
      </x:c>
      <x:c r="I1531" s="18" t="n">
        <x:v>131</x:v>
      </x:c>
      <x:c r="J1531" s="18" t="str">
        <x:v>Erişildi</x:v>
      </x:c>
      <x:c r="K1531" s="18" t="n">
        <x:f>IF(AND(ISNUMBER(G1531),ISNUMBER(I1531)),I1531/G1531*1000,"Erişilemedi")</x:f>
        <x:v>8.733333333333333</x:v>
      </x:c>
      <x:c r="L1531" s="16" t="str">
        <x:v>Belirsiz</x:v>
      </x:c>
      <x:c r="M1531" s="16" t="str">
        <x:v>Harman</x:v>
      </x:c>
      <x:c r="N1531" s="16" t="str">
        <x:v>Site haritası ürün sayfası</x:v>
      </x:c>
      <x:c r="O1531" s="16" t="str">
        <x:v>Orta</x:v>
      </x:c>
      <x:c r="P1531" s="19" t="n">
        <x:v>46245</x:v>
      </x:c>
      <x:c r="Q1531" s="20" t="str">
        <x:v>https://www.sanalbaharat.com/urun/kahve-cekirdek-blend-15kg-harman</x:v>
      </x:c>
      <x:c r="R1531" s="20" t="str">
        <x:v>Ürün kimliği korundu; eksik alanlar erişilemedi olarak işaretlenecek.</x:v>
      </x:c>
    </x:row>
    <x:row r="1532" ht="40" customHeight="1">
      <x:c r="A1532" s="16" t="str">
        <x:v>Sanal Baharat</x:v>
      </x:c>
      <x:c r="B1532" s="16" t="str"/>
      <x:c r="C1532" s="16" t="str">
        <x:v>Doğrulandı</x:v>
      </x:c>
      <x:c r="D1532" s="16" t="str">
        <x:v>Ürün kaydı</x:v>
      </x:c>
      <x:c r="E1532" s="16" t="str">
        <x:v>Kahve Etiyopya Djimmah 15 kg</x:v>
      </x:c>
      <x:c r="F1532" s="16" t="str">
        <x:v>Etiyopya</x:v>
      </x:c>
      <x:c r="G1532" s="17" t="n">
        <x:v>15000</x:v>
      </x:c>
      <x:c r="H1532" s="16" t="str">
        <x:v>Erişildi</x:v>
      </x:c>
      <x:c r="I1532" s="18" t="n">
        <x:v>131</x:v>
      </x:c>
      <x:c r="J1532" s="18" t="str">
        <x:v>Erişildi</x:v>
      </x:c>
      <x:c r="K1532" s="18" t="n">
        <x:f>IF(AND(ISNUMBER(G1532),ISNUMBER(I1532)),I1532/G1532*1000,"Erişilemedi")</x:f>
        <x:v>8.733333333333333</x:v>
      </x:c>
      <x:c r="L1532" s="16" t="str">
        <x:v>Belirsiz</x:v>
      </x:c>
      <x:c r="M1532" s="16" t="str">
        <x:v>Kahve ürünü</x:v>
      </x:c>
      <x:c r="N1532" s="16" t="str">
        <x:v>Site haritası ürün sayfası</x:v>
      </x:c>
      <x:c r="O1532" s="16" t="str">
        <x:v>Orta</x:v>
      </x:c>
      <x:c r="P1532" s="19" t="n">
        <x:v>46245</x:v>
      </x:c>
      <x:c r="Q1532" s="20" t="str">
        <x:v>https://www.sanalbaharat.com/urun/kahve-etiyopya-djimmah-15-kg</x:v>
      </x:c>
      <x:c r="R1532" s="20" t="str">
        <x:v>Ürün kimliği korundu; eksik alanlar erişilemedi olarak işaretlenecek.</x:v>
      </x:c>
    </x:row>
    <x:row r="1533" ht="40" customHeight="1">
      <x:c r="A1533" s="16" t="str">
        <x:v>Sanal Baharat</x:v>
      </x:c>
      <x:c r="B1533" s="16" t="str"/>
      <x:c r="C1533" s="16" t="str">
        <x:v>Doğrulandı</x:v>
      </x:c>
      <x:c r="D1533" s="16" t="str">
        <x:v>Ürün kaydı</x:v>
      </x:c>
      <x:c r="E1533" s="16" t="str">
        <x:v>Kahve Etiyopya Djimmah Kavrulmuş Kahve</x:v>
      </x:c>
      <x:c r="F1533" s="16" t="str">
        <x:v>Etiyopya</x:v>
      </x:c>
      <x:c r="G1533" s="17" t="str">
        <x:v>Erişilemedi</x:v>
      </x:c>
      <x:c r="H1533" s="16" t="str">
        <x:v>Erişilemedi</x:v>
      </x:c>
      <x:c r="I1533" s="18" t="n">
        <x:v>131</x:v>
      </x:c>
      <x:c r="J1533" s="18" t="str">
        <x:v>Erişildi</x:v>
      </x:c>
      <x:c r="K1533" s="18" t="str">
        <x:f>IF(AND(ISNUMBER(G1533),ISNUMBER(I1533)),I1533/G1533*1000,"Erişilemedi")</x:f>
        <x:v>Erişilemedi</x:v>
      </x:c>
      <x:c r="L1533" s="16" t="str">
        <x:v>Belirsiz</x:v>
      </x:c>
      <x:c r="M1533" s="16" t="str">
        <x:v>Kahve ürünü</x:v>
      </x:c>
      <x:c r="N1533" s="16" t="str">
        <x:v>Site haritası ürün sayfası</x:v>
      </x:c>
      <x:c r="O1533" s="16" t="str">
        <x:v>Düşük</x:v>
      </x:c>
      <x:c r="P1533" s="19" t="n">
        <x:v>46245</x:v>
      </x:c>
      <x:c r="Q1533" s="20" t="str">
        <x:v>https://www.sanalbaharat.com/urun/kahve-etiyopya-djimmah</x:v>
      </x:c>
      <x:c r="R1533" s="20" t="str">
        <x:v>Ürün kimliği korundu; eksik alanlar erişilemedi olarak işaretlenecek.</x:v>
      </x:c>
    </x:row>
    <x:row r="1534" ht="40" customHeight="1">
      <x:c r="A1534" s="16" t="str">
        <x:v>Sanal Baharat</x:v>
      </x:c>
      <x:c r="B1534" s="16" t="str"/>
      <x:c r="C1534" s="16" t="str">
        <x:v>Doğrulandı</x:v>
      </x:c>
      <x:c r="D1534" s="16" t="str">
        <x:v>Ürün kaydı</x:v>
      </x:c>
      <x:c r="E1534" s="16" t="str">
        <x:v>Kahve Etiyopya Sidamo Gr4 15 kg</x:v>
      </x:c>
      <x:c r="F1534" s="16" t="str">
        <x:v>Etiyopya</x:v>
      </x:c>
      <x:c r="G1534" s="17" t="n">
        <x:v>15000</x:v>
      </x:c>
      <x:c r="H1534" s="16" t="str">
        <x:v>Erişildi</x:v>
      </x:c>
      <x:c r="I1534" s="18" t="n">
        <x:v>131</x:v>
      </x:c>
      <x:c r="J1534" s="18" t="str">
        <x:v>Erişildi</x:v>
      </x:c>
      <x:c r="K1534" s="18" t="n">
        <x:f>IF(AND(ISNUMBER(G1534),ISNUMBER(I1534)),I1534/G1534*1000,"Erişilemedi")</x:f>
        <x:v>8.733333333333333</x:v>
      </x:c>
      <x:c r="L1534" s="16" t="str">
        <x:v>Belirsiz</x:v>
      </x:c>
      <x:c r="M1534" s="16" t="str">
        <x:v>Kahve ürünü</x:v>
      </x:c>
      <x:c r="N1534" s="16" t="str">
        <x:v>Site haritası ürün sayfası</x:v>
      </x:c>
      <x:c r="O1534" s="16" t="str">
        <x:v>Orta</x:v>
      </x:c>
      <x:c r="P1534" s="19" t="n">
        <x:v>46245</x:v>
      </x:c>
      <x:c r="Q1534" s="20" t="str">
        <x:v>https://www.sanalbaharat.com/urun/kahve-etiyopya-sidamo-gr4-15-kg</x:v>
      </x:c>
      <x:c r="R1534" s="20" t="str">
        <x:v>Ürün kimliği korundu; eksik alanlar erişilemedi olarak işaretlenecek.</x:v>
      </x:c>
    </x:row>
    <x:row r="1535" ht="40" customHeight="1">
      <x:c r="A1535" s="16" t="str">
        <x:v>Sanal Baharat</x:v>
      </x:c>
      <x:c r="B1535" s="16" t="str"/>
      <x:c r="C1535" s="16" t="str">
        <x:v>Doğrulandı</x:v>
      </x:c>
      <x:c r="D1535" s="16" t="str">
        <x:v>Ürün kaydı</x:v>
      </x:c>
      <x:c r="E1535" s="16" t="str">
        <x:v>Kakule 1 Kg</x:v>
      </x:c>
      <x:c r="F1535" s="16" t="str">
        <x:v>Menşe belirtilmemiş</x:v>
      </x:c>
      <x:c r="G1535" s="17" t="n">
        <x:v>1000</x:v>
      </x:c>
      <x:c r="H1535" s="16" t="str">
        <x:v>Erişildi</x:v>
      </x:c>
      <x:c r="I1535" s="18" t="n">
        <x:v>131</x:v>
      </x:c>
      <x:c r="J1535" s="18" t="str">
        <x:v>Erişildi</x:v>
      </x:c>
      <x:c r="K1535" s="18" t="n">
        <x:f>IF(AND(ISNUMBER(G1535),ISNUMBER(I1535)),I1535/G1535*1000,"Erişilemedi")</x:f>
        <x:v>131</x:v>
      </x:c>
      <x:c r="L1535" s="16" t="str">
        <x:v>Belirsiz</x:v>
      </x:c>
      <x:c r="M1535" s="16" t="str">
        <x:v>Tek köken/ürün</x:v>
      </x:c>
      <x:c r="N1535" s="16" t="str">
        <x:v>Site haritası + HTML ürün kartı</x:v>
      </x:c>
      <x:c r="O1535" s="16" t="str">
        <x:v>Düşük</x:v>
      </x:c>
      <x:c r="P1535" s="19" t="n">
        <x:v>46245</x:v>
      </x:c>
      <x:c r="Q1535" s="20" t="str">
        <x:v>https://www.sanalbaharat.com/urun/kakule-1-kg</x:v>
      </x:c>
      <x:c r="R1535" s="20" t="str">
        <x:v>Başlık/açıklama ve görünür fiyat deseninden çıkarıldı; manuel örnek kontrolü önerilir.</x:v>
      </x:c>
    </x:row>
    <x:row r="1536" ht="40" customHeight="1">
      <x:c r="A1536" s="16" t="str">
        <x:v>Sanal Baharat</x:v>
      </x:c>
      <x:c r="B1536" s="16" t="str"/>
      <x:c r="C1536" s="16" t="str">
        <x:v>Doğrulandı</x:v>
      </x:c>
      <x:c r="D1536" s="16" t="str">
        <x:v>Ürün kaydı</x:v>
      </x:c>
      <x:c r="E1536" s="16" t="str">
        <x:v>Kakule 1 Kg</x:v>
      </x:c>
      <x:c r="F1536" s="16" t="str">
        <x:v>Menşe belirtilmemiş</x:v>
      </x:c>
      <x:c r="G1536" s="17" t="n">
        <x:v>1000</x:v>
      </x:c>
      <x:c r="H1536" s="16" t="str">
        <x:v>Erişildi</x:v>
      </x:c>
      <x:c r="I1536" s="18" t="n">
        <x:v>0</x:v>
      </x:c>
      <x:c r="J1536" s="18" t="str">
        <x:v>Erişilemedi</x:v>
      </x:c>
      <x:c r="K1536" s="18" t="n">
        <x:f>IF(AND(ISNUMBER(G1536),ISNUMBER(I1536)),I1536/G1536*1000,"Erişilemedi")</x:f>
        <x:v>0</x:v>
      </x:c>
      <x:c r="L1536" s="16" t="str">
        <x:v>Belirsiz</x:v>
      </x:c>
      <x:c r="M1536" s="16" t="str">
        <x:v>Kahve ürünü</x:v>
      </x:c>
      <x:c r="N1536" s="16" t="str">
        <x:v>Site haritası ürün sayfası</x:v>
      </x:c>
      <x:c r="O1536" s="16" t="str">
        <x:v>Düşük</x:v>
      </x:c>
      <x:c r="P1536" s="19" t="n">
        <x:v>46245</x:v>
      </x:c>
      <x:c r="Q1536" s="20" t="str">
        <x:v>https://www.sanalbaharat.com/urun/kakule-1-kg</x:v>
      </x:c>
      <x:c r="R1536" s="20" t="str">
        <x:v>Ürün kimliği korundu; eksik alanlar erişilemedi olarak işaretlenecek.</x:v>
      </x:c>
    </x:row>
    <x:row r="1537" ht="40" customHeight="1">
      <x:c r="A1537" s="16" t="str">
        <x:v>Sanal Baharat</x:v>
      </x:c>
      <x:c r="B1537" s="16" t="str"/>
      <x:c r="C1537" s="16" t="str">
        <x:v>Doğrulandı</x:v>
      </x:c>
      <x:c r="D1537" s="16" t="str">
        <x:v>Ürün kaydı</x:v>
      </x:c>
      <x:c r="E1537" s="16" t="str">
        <x:v>Karabiber Tane 1 Kg</x:v>
      </x:c>
      <x:c r="F1537" s="16" t="str">
        <x:v>Menşe belirtilmemiş</x:v>
      </x:c>
      <x:c r="G1537" s="17" t="n">
        <x:v>1000</x:v>
      </x:c>
      <x:c r="H1537" s="16" t="str">
        <x:v>Erişildi</x:v>
      </x:c>
      <x:c r="I1537" s="18" t="n">
        <x:v>131</x:v>
      </x:c>
      <x:c r="J1537" s="18" t="str">
        <x:v>Erişildi</x:v>
      </x:c>
      <x:c r="K1537" s="18" t="n">
        <x:f>IF(AND(ISNUMBER(G1537),ISNUMBER(I1537)),I1537/G1537*1000,"Erişilemedi")</x:f>
        <x:v>131</x:v>
      </x:c>
      <x:c r="L1537" s="16" t="str">
        <x:v>Belirsiz</x:v>
      </x:c>
      <x:c r="M1537" s="16" t="str">
        <x:v>Tek köken/ürün</x:v>
      </x:c>
      <x:c r="N1537" s="16" t="str">
        <x:v>Site haritası + HTML ürün kartı</x:v>
      </x:c>
      <x:c r="O1537" s="16" t="str">
        <x:v>Düşük</x:v>
      </x:c>
      <x:c r="P1537" s="19" t="n">
        <x:v>46245</x:v>
      </x:c>
      <x:c r="Q1537" s="20" t="str">
        <x:v>https://www.sanalbaharat.com/urun/karabiber-tane-1-kg</x:v>
      </x:c>
      <x:c r="R1537" s="20" t="str">
        <x:v>Başlık/açıklama ve görünür fiyat deseninden çıkarıldı; manuel örnek kontrolü önerilir.</x:v>
      </x:c>
    </x:row>
    <x:row r="1538" ht="40" customHeight="1">
      <x:c r="A1538" s="16" t="str">
        <x:v>Sanal Baharat</x:v>
      </x:c>
      <x:c r="B1538" s="16" t="str"/>
      <x:c r="C1538" s="16" t="str">
        <x:v>Doğrulandı</x:v>
      </x:c>
      <x:c r="D1538" s="16" t="str">
        <x:v>Ürün kaydı</x:v>
      </x:c>
      <x:c r="E1538" s="16" t="str">
        <x:v>Karabiber Toz 1 Kg</x:v>
      </x:c>
      <x:c r="F1538" s="16" t="str">
        <x:v>Menşe belirtilmemiş</x:v>
      </x:c>
      <x:c r="G1538" s="17" t="n">
        <x:v>1000</x:v>
      </x:c>
      <x:c r="H1538" s="16" t="str">
        <x:v>Erişildi</x:v>
      </x:c>
      <x:c r="I1538" s="18" t="n">
        <x:v>131</x:v>
      </x:c>
      <x:c r="J1538" s="18" t="str">
        <x:v>Erişildi</x:v>
      </x:c>
      <x:c r="K1538" s="18" t="n">
        <x:f>IF(AND(ISNUMBER(G1538),ISNUMBER(I1538)),I1538/G1538*1000,"Erişilemedi")</x:f>
        <x:v>131</x:v>
      </x:c>
      <x:c r="L1538" s="16" t="str">
        <x:v>Belirsiz</x:v>
      </x:c>
      <x:c r="M1538" s="16" t="str">
        <x:v>Tek köken/ürün</x:v>
      </x:c>
      <x:c r="N1538" s="16" t="str">
        <x:v>Site haritası + HTML ürün kartı</x:v>
      </x:c>
      <x:c r="O1538" s="16" t="str">
        <x:v>Düşük</x:v>
      </x:c>
      <x:c r="P1538" s="19" t="n">
        <x:v>46245</x:v>
      </x:c>
      <x:c r="Q1538" s="20" t="str">
        <x:v>https://www.sanalbaharat.com/urun/karabiber-toz-1-kg</x:v>
      </x:c>
      <x:c r="R1538" s="20" t="str">
        <x:v>Başlık/açıklama ve görünür fiyat deseninden çıkarıldı; manuel örnek kontrolü önerilir.</x:v>
      </x:c>
    </x:row>
    <x:row r="1539" ht="40" customHeight="1">
      <x:c r="A1539" s="16" t="str">
        <x:v>Sanal Baharat</x:v>
      </x:c>
      <x:c r="B1539" s="16" t="str"/>
      <x:c r="C1539" s="16" t="str">
        <x:v>Doğrulandı</x:v>
      </x:c>
      <x:c r="D1539" s="16" t="str">
        <x:v>Ürün kaydı</x:v>
      </x:c>
      <x:c r="E1539" s="16" t="str">
        <x:v>Karabiber Toz 1 Kg</x:v>
      </x:c>
      <x:c r="F1539" s="16" t="str">
        <x:v>Menşe belirtilmemiş</x:v>
      </x:c>
      <x:c r="G1539" s="17" t="n">
        <x:v>1000</x:v>
      </x:c>
      <x:c r="H1539" s="16" t="str">
        <x:v>Erişildi</x:v>
      </x:c>
      <x:c r="I1539" s="18" t="n">
        <x:v>0</x:v>
      </x:c>
      <x:c r="J1539" s="18" t="str">
        <x:v>Erişilemedi</x:v>
      </x:c>
      <x:c r="K1539" s="18" t="n">
        <x:f>IF(AND(ISNUMBER(G1539),ISNUMBER(I1539)),I1539/G1539*1000,"Erişilemedi")</x:f>
        <x:v>0</x:v>
      </x:c>
      <x:c r="L1539" s="16" t="str">
        <x:v>Belirsiz</x:v>
      </x:c>
      <x:c r="M1539" s="16" t="str">
        <x:v>Kahve ürünü</x:v>
      </x:c>
      <x:c r="N1539" s="16" t="str">
        <x:v>Site haritası ürün sayfası</x:v>
      </x:c>
      <x:c r="O1539" s="16" t="str">
        <x:v>Düşük</x:v>
      </x:c>
      <x:c r="P1539" s="19" t="n">
        <x:v>46245</x:v>
      </x:c>
      <x:c r="Q1539" s="20" t="str">
        <x:v>https://www.sanalbaharat.com/urun/karabiber-toz-1-kg</x:v>
      </x:c>
      <x:c r="R1539" s="20" t="str">
        <x:v>Ürün kimliği korundu; eksik alanlar erişilemedi olarak işaretlenecek.</x:v>
      </x:c>
    </x:row>
    <x:row r="1540" ht="40" customHeight="1">
      <x:c r="A1540" s="16" t="str">
        <x:v>Sanal Baharat</x:v>
      </x:c>
      <x:c r="B1540" s="16" t="str"/>
      <x:c r="C1540" s="16" t="str">
        <x:v>Doğrulandı</x:v>
      </x:c>
      <x:c r="D1540" s="16" t="str">
        <x:v>Ürün kaydı</x:v>
      </x:c>
      <x:c r="E1540" s="16" t="str">
        <x:v>Karanfil 1 Kg</x:v>
      </x:c>
      <x:c r="F1540" s="16" t="str">
        <x:v>Menşe belirtilmemiş</x:v>
      </x:c>
      <x:c r="G1540" s="17" t="n">
        <x:v>1000</x:v>
      </x:c>
      <x:c r="H1540" s="16" t="str">
        <x:v>Erişildi</x:v>
      </x:c>
      <x:c r="I1540" s="18" t="n">
        <x:v>131</x:v>
      </x:c>
      <x:c r="J1540" s="18" t="str">
        <x:v>Erişildi</x:v>
      </x:c>
      <x:c r="K1540" s="18" t="n">
        <x:f>IF(AND(ISNUMBER(G1540),ISNUMBER(I1540)),I1540/G1540*1000,"Erişilemedi")</x:f>
        <x:v>131</x:v>
      </x:c>
      <x:c r="L1540" s="16" t="str">
        <x:v>Belirsiz</x:v>
      </x:c>
      <x:c r="M1540" s="16" t="str">
        <x:v>Tek köken/ürün</x:v>
      </x:c>
      <x:c r="N1540" s="16" t="str">
        <x:v>Site haritası + HTML ürün kartı</x:v>
      </x:c>
      <x:c r="O1540" s="16" t="str">
        <x:v>Düşük</x:v>
      </x:c>
      <x:c r="P1540" s="19" t="n">
        <x:v>46245</x:v>
      </x:c>
      <x:c r="Q1540" s="20" t="str">
        <x:v>https://www.sanalbaharat.com/urun/karanfil-1-kg</x:v>
      </x:c>
      <x:c r="R1540" s="20" t="str">
        <x:v>Başlık/açıklama ve görünür fiyat deseninden çıkarıldı; manuel örnek kontrolü önerilir.</x:v>
      </x:c>
    </x:row>
    <x:row r="1541" ht="40" customHeight="1">
      <x:c r="A1541" s="16" t="str">
        <x:v>Sanal Baharat</x:v>
      </x:c>
      <x:c r="B1541" s="16" t="str"/>
      <x:c r="C1541" s="16" t="str">
        <x:v>Doğrulandı</x:v>
      </x:c>
      <x:c r="D1541" s="16" t="str">
        <x:v>Ürün kaydı</x:v>
      </x:c>
      <x:c r="E1541" s="16" t="str">
        <x:v>Karanfil 1 Kg</x:v>
      </x:c>
      <x:c r="F1541" s="16" t="str">
        <x:v>Menşe belirtilmemiş</x:v>
      </x:c>
      <x:c r="G1541" s="17" t="n">
        <x:v>1000</x:v>
      </x:c>
      <x:c r="H1541" s="16" t="str">
        <x:v>Erişildi</x:v>
      </x:c>
      <x:c r="I1541" s="18" t="n">
        <x:v>0</x:v>
      </x:c>
      <x:c r="J1541" s="18" t="str">
        <x:v>Erişilemedi</x:v>
      </x:c>
      <x:c r="K1541" s="18" t="n">
        <x:f>IF(AND(ISNUMBER(G1541),ISNUMBER(I1541)),I1541/G1541*1000,"Erişilemedi")</x:f>
        <x:v>0</x:v>
      </x:c>
      <x:c r="L1541" s="16" t="str">
        <x:v>Belirsiz</x:v>
      </x:c>
      <x:c r="M1541" s="16" t="str">
        <x:v>Kahve ürünü</x:v>
      </x:c>
      <x:c r="N1541" s="16" t="str">
        <x:v>Site haritası ürün sayfası</x:v>
      </x:c>
      <x:c r="O1541" s="16" t="str">
        <x:v>Düşük</x:v>
      </x:c>
      <x:c r="P1541" s="19" t="n">
        <x:v>46245</x:v>
      </x:c>
      <x:c r="Q1541" s="20" t="str">
        <x:v>https://www.sanalbaharat.com/urun/karanfil-1-kg</x:v>
      </x:c>
      <x:c r="R1541" s="20" t="str">
        <x:v>Ürün kimliği korundu; eksik alanlar erişilemedi olarak işaretlenecek.</x:v>
      </x:c>
    </x:row>
    <x:row r="1542" ht="40" customHeight="1">
      <x:c r="A1542" s="16" t="str">
        <x:v>Sanal Baharat</x:v>
      </x:c>
      <x:c r="B1542" s="16" t="str"/>
      <x:c r="C1542" s="16" t="str">
        <x:v>Doğrulandı</x:v>
      </x:c>
      <x:c r="D1542" s="16" t="str">
        <x:v>Ürün kaydı</x:v>
      </x:c>
      <x:c r="E1542" s="16" t="str">
        <x:v>Karanfil 10 Kg Koli</x:v>
      </x:c>
      <x:c r="F1542" s="16" t="str">
        <x:v>Menşe belirtilmemiş</x:v>
      </x:c>
      <x:c r="G1542" s="17" t="n">
        <x:v>10000</x:v>
      </x:c>
      <x:c r="H1542" s="16" t="str">
        <x:v>Erişildi</x:v>
      </x:c>
      <x:c r="I1542" s="18" t="n">
        <x:v>131</x:v>
      </x:c>
      <x:c r="J1542" s="18" t="str">
        <x:v>Erişildi</x:v>
      </x:c>
      <x:c r="K1542" s="18" t="n">
        <x:f>IF(AND(ISNUMBER(G1542),ISNUMBER(I1542)),I1542/G1542*1000,"Erişilemedi")</x:f>
        <x:v>13.100000000000001</x:v>
      </x:c>
      <x:c r="L1542" s="16" t="str">
        <x:v>Belirsiz</x:v>
      </x:c>
      <x:c r="M1542" s="16" t="str">
        <x:v>Tek köken/ürün</x:v>
      </x:c>
      <x:c r="N1542" s="16" t="str">
        <x:v>Site haritası + HTML ürün kartı</x:v>
      </x:c>
      <x:c r="O1542" s="16" t="str">
        <x:v>Düşük</x:v>
      </x:c>
      <x:c r="P1542" s="19" t="n">
        <x:v>46245</x:v>
      </x:c>
      <x:c r="Q1542" s="20" t="str">
        <x:v>https://www.sanalbaharat.com/urun/karanfil-10-kg-koli</x:v>
      </x:c>
      <x:c r="R1542" s="20" t="str">
        <x:v>Başlık/açıklama ve görünür fiyat deseninden çıkarıldı; manuel örnek kontrolü önerilir.</x:v>
      </x:c>
    </x:row>
    <x:row r="1543" ht="40" customHeight="1">
      <x:c r="A1543" s="16" t="str">
        <x:v>Sanal Baharat</x:v>
      </x:c>
      <x:c r="B1543" s="16" t="str"/>
      <x:c r="C1543" s="16" t="str">
        <x:v>Doğrulandı</x:v>
      </x:c>
      <x:c r="D1543" s="16" t="str">
        <x:v>Ürün kaydı</x:v>
      </x:c>
      <x:c r="E1543" s="16" t="str">
        <x:v>Karbonat-Besin Türü 2,5KG</x:v>
      </x:c>
      <x:c r="F1543" s="16" t="str">
        <x:v>Menşe belirtilmemiş</x:v>
      </x:c>
      <x:c r="G1543" s="17" t="n">
        <x:v>2500</x:v>
      </x:c>
      <x:c r="H1543" s="16" t="str">
        <x:v>Erişildi</x:v>
      </x:c>
      <x:c r="I1543" s="18" t="n">
        <x:v>131</x:v>
      </x:c>
      <x:c r="J1543" s="18" t="str">
        <x:v>Erişildi</x:v>
      </x:c>
      <x:c r="K1543" s="18" t="n">
        <x:f>IF(AND(ISNUMBER(G1543),ISNUMBER(I1543)),I1543/G1543*1000,"Erişilemedi")</x:f>
        <x:v>52.400000000000006</x:v>
      </x:c>
      <x:c r="L1543" s="16" t="str">
        <x:v>Belirsiz</x:v>
      </x:c>
      <x:c r="M1543" s="16" t="str">
        <x:v>Kahve ürünü</x:v>
      </x:c>
      <x:c r="N1543" s="16" t="str">
        <x:v>Site haritası ürün sayfası</x:v>
      </x:c>
      <x:c r="O1543" s="16" t="str">
        <x:v>Orta</x:v>
      </x:c>
      <x:c r="P1543" s="19" t="n">
        <x:v>46245</x:v>
      </x:c>
      <x:c r="Q1543" s="20" t="str">
        <x:v>https://www.sanalbaharat.com/urun/karbonat-besin-turu-2-5kg</x:v>
      </x:c>
      <x:c r="R1543" s="20" t="str">
        <x:v>Ürün kimliği korundu; eksik alanlar erişilemedi olarak işaretlenecek.</x:v>
      </x:c>
    </x:row>
    <x:row r="1544" ht="40" customHeight="1">
      <x:c r="A1544" s="16" t="str">
        <x:v>Sanal Baharat</x:v>
      </x:c>
      <x:c r="B1544" s="16" t="str"/>
      <x:c r="C1544" s="16" t="str">
        <x:v>Doğrulandı</x:v>
      </x:c>
      <x:c r="D1544" s="16" t="str">
        <x:v>Ürün kaydı</x:v>
      </x:c>
      <x:c r="E1544" s="16" t="str">
        <x:v>Kavrulmuş Karabuğday (Greçka) 1 KG</x:v>
      </x:c>
      <x:c r="F1544" s="16" t="str">
        <x:v>Menşe belirtilmemiş</x:v>
      </x:c>
      <x:c r="G1544" s="17" t="n">
        <x:v>1000</x:v>
      </x:c>
      <x:c r="H1544" s="16" t="str">
        <x:v>Erişildi</x:v>
      </x:c>
      <x:c r="I1544" s="18" t="n">
        <x:v>0</x:v>
      </x:c>
      <x:c r="J1544" s="18" t="str">
        <x:v>Erişilemedi</x:v>
      </x:c>
      <x:c r="K1544" s="18" t="n">
        <x:f>IF(AND(ISNUMBER(G1544),ISNUMBER(I1544)),I1544/G1544*1000,"Erişilemedi")</x:f>
        <x:v>0</x:v>
      </x:c>
      <x:c r="L1544" s="16" t="str">
        <x:v>Belirsiz</x:v>
      </x:c>
      <x:c r="M1544" s="16" t="str">
        <x:v>Kahve ürünü</x:v>
      </x:c>
      <x:c r="N1544" s="16" t="str">
        <x:v>Site haritası ürün sayfası</x:v>
      </x:c>
      <x:c r="O1544" s="16" t="str">
        <x:v>Düşük</x:v>
      </x:c>
      <x:c r="P1544" s="19" t="n">
        <x:v>46245</x:v>
      </x:c>
      <x:c r="Q1544" s="20" t="str">
        <x:v>https://www.sanalbaharat.com/urun/karabugday-grecka</x:v>
      </x:c>
      <x:c r="R1544" s="20" t="str">
        <x:v>Ürün kimliği korundu; eksik alanlar erişilemedi olarak işaretlenecek.</x:v>
      </x:c>
    </x:row>
    <x:row r="1545" ht="40" customHeight="1">
      <x:c r="A1545" s="16" t="str">
        <x:v>Sanal Baharat</x:v>
      </x:c>
      <x:c r="B1545" s="16" t="str"/>
      <x:c r="C1545" s="16" t="str">
        <x:v>Doğrulandı</x:v>
      </x:c>
      <x:c r="D1545" s="16" t="str">
        <x:v>Ürün kaydı</x:v>
      </x:c>
      <x:c r="E1545" s="16" t="str">
        <x:v>Kaynar Çayı</x:v>
      </x:c>
      <x:c r="F1545" s="16" t="str">
        <x:v>Menşe belirtilmemiş</x:v>
      </x:c>
      <x:c r="G1545" s="17" t="str">
        <x:v>Erişilemedi</x:v>
      </x:c>
      <x:c r="H1545" s="16" t="str">
        <x:v>Erişilemedi</x:v>
      </x:c>
      <x:c r="I1545" s="18" t="n">
        <x:v>131</x:v>
      </x:c>
      <x:c r="J1545" s="18" t="str">
        <x:v>Erişildi</x:v>
      </x:c>
      <x:c r="K1545" s="18" t="str">
        <x:f>IF(AND(ISNUMBER(G1545),ISNUMBER(I1545)),I1545/G1545*1000,"Erişilemedi")</x:f>
        <x:v>Erişilemedi</x:v>
      </x:c>
      <x:c r="L1545" s="16" t="str">
        <x:v>Belirsiz</x:v>
      </x:c>
      <x:c r="M1545" s="16" t="str">
        <x:v>Kahve ürünü</x:v>
      </x:c>
      <x:c r="N1545" s="16" t="str">
        <x:v>Site haritası ürün sayfası</x:v>
      </x:c>
      <x:c r="O1545" s="16" t="str">
        <x:v>Düşük</x:v>
      </x:c>
      <x:c r="P1545" s="19" t="n">
        <x:v>46245</x:v>
      </x:c>
      <x:c r="Q1545" s="20" t="str">
        <x:v>https://www.sanalbaharat.com/urun/kaynar-cayi</x:v>
      </x:c>
      <x:c r="R1545" s="20" t="str">
        <x:v>Ürün kimliği korundu; eksik alanlar erişilemedi olarak işaretlenecek.</x:v>
      </x:c>
    </x:row>
    <x:row r="1546" ht="40" customHeight="1">
      <x:c r="A1546" s="16" t="str">
        <x:v>Sanal Baharat</x:v>
      </x:c>
      <x:c r="B1546" s="16" t="str"/>
      <x:c r="C1546" s="16" t="str">
        <x:v>Doğrulandı</x:v>
      </x:c>
      <x:c r="D1546" s="16" t="str">
        <x:v>Ürün kaydı</x:v>
      </x:c>
      <x:c r="E1546" s="16" t="str">
        <x:v>Kenya Arabica AA TOP AROMA Kavrulmuş Kahve</x:v>
      </x:c>
      <x:c r="F1546" s="16" t="str">
        <x:v>Kenya</x:v>
      </x:c>
      <x:c r="G1546" s="17" t="str">
        <x:v>Erişilemedi</x:v>
      </x:c>
      <x:c r="H1546" s="16" t="str">
        <x:v>Erişilemedi</x:v>
      </x:c>
      <x:c r="I1546" s="18" t="n">
        <x:v>0</x:v>
      </x:c>
      <x:c r="J1546" s="18" t="str">
        <x:v>Erişilemedi</x:v>
      </x:c>
      <x:c r="K1546" s="18" t="str">
        <x:f>IF(AND(ISNUMBER(G1546),ISNUMBER(I1546)),I1546/G1546*1000,"Erişilemedi")</x:f>
        <x:v>Erişilemedi</x:v>
      </x:c>
      <x:c r="L1546" s="16" t="str">
        <x:v>Belirsiz</x:v>
      </x:c>
      <x:c r="M1546" s="16" t="str">
        <x:v>Kahve ürünü</x:v>
      </x:c>
      <x:c r="N1546" s="16" t="str">
        <x:v>Site haritası ürün sayfası</x:v>
      </x:c>
      <x:c r="O1546" s="16" t="str">
        <x:v>Düşük</x:v>
      </x:c>
      <x:c r="P1546" s="19" t="n">
        <x:v>46245</x:v>
      </x:c>
      <x:c r="Q1546" s="20" t="str">
        <x:v>https://www.sanalbaharat.com/urun/kahve-kenya-arabica-aa-plus</x:v>
      </x:c>
      <x:c r="R1546" s="20" t="str">
        <x:v>Ürün kimliği korundu; eksik alanlar erişilemedi olarak işaretlenecek.</x:v>
      </x:c>
    </x:row>
    <x:row r="1547" ht="40" customHeight="1">
      <x:c r="A1547" s="16" t="str">
        <x:v>Sanal Baharat</x:v>
      </x:c>
      <x:c r="B1547" s="16" t="str"/>
      <x:c r="C1547" s="16" t="str">
        <x:v>Doğrulandı</x:v>
      </x:c>
      <x:c r="D1547" s="16" t="str">
        <x:v>Ürün kaydı</x:v>
      </x:c>
      <x:c r="E1547" s="16" t="str">
        <x:v>Kenya Natural Kavrulmuş Kahve</x:v>
      </x:c>
      <x:c r="F1547" s="16" t="str">
        <x:v>Kenya</x:v>
      </x:c>
      <x:c r="G1547" s="17" t="str">
        <x:v>Erişilemedi</x:v>
      </x:c>
      <x:c r="H1547" s="16" t="str">
        <x:v>Erişilemedi</x:v>
      </x:c>
      <x:c r="I1547" s="18" t="n">
        <x:v>131</x:v>
      </x:c>
      <x:c r="J1547" s="18" t="str">
        <x:v>Erişildi</x:v>
      </x:c>
      <x:c r="K1547" s="18" t="str">
        <x:f>IF(AND(ISNUMBER(G1547),ISNUMBER(I1547)),I1547/G1547*1000,"Erişilemedi")</x:f>
        <x:v>Erişilemedi</x:v>
      </x:c>
      <x:c r="L1547" s="16" t="str">
        <x:v>Belirsiz</x:v>
      </x:c>
      <x:c r="M1547" s="16" t="str">
        <x:v>Kahve ürünü</x:v>
      </x:c>
      <x:c r="N1547" s="16" t="str">
        <x:v>Site haritası ürün sayfası</x:v>
      </x:c>
      <x:c r="O1547" s="16" t="str">
        <x:v>Düşük</x:v>
      </x:c>
      <x:c r="P1547" s="19" t="n">
        <x:v>46245</x:v>
      </x:c>
      <x:c r="Q1547" s="20" t="str">
        <x:v>https://www.sanalbaharat.com/urun/kenya-natural-kavrulmus-kahve</x:v>
      </x:c>
      <x:c r="R1547" s="20" t="str">
        <x:v>Ürün kimliği korundu; eksik alanlar erişilemedi olarak işaretlenecek.</x:v>
      </x:c>
    </x:row>
    <x:row r="1548" ht="40" customHeight="1">
      <x:c r="A1548" s="16" t="str">
        <x:v>Sanal Baharat</x:v>
      </x:c>
      <x:c r="B1548" s="16" t="str"/>
      <x:c r="C1548" s="16" t="str">
        <x:v>Doğrulandı</x:v>
      </x:c>
      <x:c r="D1548" s="16" t="str">
        <x:v>Ürün kaydı</x:v>
      </x:c>
      <x:c r="E1548" s="16" t="str">
        <x:v>Keten Tohumu 1 Kg</x:v>
      </x:c>
      <x:c r="F1548" s="16" t="str">
        <x:v>Menşe belirtilmemiş</x:v>
      </x:c>
      <x:c r="G1548" s="17" t="n">
        <x:v>1000</x:v>
      </x:c>
      <x:c r="H1548" s="16" t="str">
        <x:v>Erişildi</x:v>
      </x:c>
      <x:c r="I1548" s="18" t="n">
        <x:v>131</x:v>
      </x:c>
      <x:c r="J1548" s="18" t="str">
        <x:v>Erişildi</x:v>
      </x:c>
      <x:c r="K1548" s="18" t="n">
        <x:f>IF(AND(ISNUMBER(G1548),ISNUMBER(I1548)),I1548/G1548*1000,"Erişilemedi")</x:f>
        <x:v>131</x:v>
      </x:c>
      <x:c r="L1548" s="16" t="str">
        <x:v>Belirsiz</x:v>
      </x:c>
      <x:c r="M1548" s="16" t="str">
        <x:v>Tek köken/ürün</x:v>
      </x:c>
      <x:c r="N1548" s="16" t="str">
        <x:v>Site haritası + HTML ürün kartı</x:v>
      </x:c>
      <x:c r="O1548" s="16" t="str">
        <x:v>Düşük</x:v>
      </x:c>
      <x:c r="P1548" s="19" t="n">
        <x:v>46245</x:v>
      </x:c>
      <x:c r="Q1548" s="20" t="str">
        <x:v>https://www.sanalbaharat.com/urun/keten-tohumu-1-kg</x:v>
      </x:c>
      <x:c r="R1548" s="20" t="str">
        <x:v>Başlık/açıklama ve görünür fiyat deseninden çıkarıldı; manuel örnek kontrolü önerilir.</x:v>
      </x:c>
    </x:row>
    <x:row r="1549" ht="40" customHeight="1">
      <x:c r="A1549" s="16" t="str">
        <x:v>Sanal Baharat</x:v>
      </x:c>
      <x:c r="B1549" s="16" t="str"/>
      <x:c r="C1549" s="16" t="str">
        <x:v>Doğrulandı</x:v>
      </x:c>
      <x:c r="D1549" s="16" t="str">
        <x:v>Ürün kaydı</x:v>
      </x:c>
      <x:c r="E1549" s="16" t="str">
        <x:v>Keten Tohumu 25 Kg</x:v>
      </x:c>
      <x:c r="F1549" s="16" t="str">
        <x:v>Menşe belirtilmemiş</x:v>
      </x:c>
      <x:c r="G1549" s="17" t="n">
        <x:v>25000</x:v>
      </x:c>
      <x:c r="H1549" s="16" t="str">
        <x:v>Erişildi</x:v>
      </x:c>
      <x:c r="I1549" s="18" t="n">
        <x:v>131</x:v>
      </x:c>
      <x:c r="J1549" s="18" t="str">
        <x:v>Erişildi</x:v>
      </x:c>
      <x:c r="K1549" s="18" t="n">
        <x:f>IF(AND(ISNUMBER(G1549),ISNUMBER(I1549)),I1549/G1549*1000,"Erişilemedi")</x:f>
        <x:v>5.24</x:v>
      </x:c>
      <x:c r="L1549" s="16" t="str">
        <x:v>Belirsiz</x:v>
      </x:c>
      <x:c r="M1549" s="16" t="str">
        <x:v>Tek köken/ürün</x:v>
      </x:c>
      <x:c r="N1549" s="16" t="str">
        <x:v>Site haritası + HTML ürün kartı</x:v>
      </x:c>
      <x:c r="O1549" s="16" t="str">
        <x:v>Düşük</x:v>
      </x:c>
      <x:c r="P1549" s="19" t="n">
        <x:v>46245</x:v>
      </x:c>
      <x:c r="Q1549" s="20" t="str">
        <x:v>https://www.sanalbaharat.com/urun/keten-tohumu-25-kg</x:v>
      </x:c>
      <x:c r="R1549" s="20" t="str">
        <x:v>Başlık/açıklama ve görünür fiyat deseninden çıkarıldı; manuel örnek kontrolü önerilir.</x:v>
      </x:c>
    </x:row>
    <x:row r="1550" ht="40" customHeight="1">
      <x:c r="A1550" s="16" t="str">
        <x:v>Sanal Baharat</x:v>
      </x:c>
      <x:c r="B1550" s="16" t="str"/>
      <x:c r="C1550" s="16" t="str">
        <x:v>Doğrulandı</x:v>
      </x:c>
      <x:c r="D1550" s="16" t="str">
        <x:v>Ürün kaydı</x:v>
      </x:c>
      <x:c r="E1550" s="16" t="str">
        <x:v>Kırmızı Gingseng Çayı</x:v>
      </x:c>
      <x:c r="F1550" s="16" t="str">
        <x:v>Menşe belirtilmemiş</x:v>
      </x:c>
      <x:c r="G1550" s="17" t="str">
        <x:v>Erişilemedi</x:v>
      </x:c>
      <x:c r="H1550" s="16" t="str">
        <x:v>Erişilemedi</x:v>
      </x:c>
      <x:c r="I1550" s="18" t="n">
        <x:v>131</x:v>
      </x:c>
      <x:c r="J1550" s="18" t="str">
        <x:v>Erişildi</x:v>
      </x:c>
      <x:c r="K1550" s="18" t="str">
        <x:f>IF(AND(ISNUMBER(G1550),ISNUMBER(I1550)),I1550/G1550*1000,"Erişilemedi")</x:f>
        <x:v>Erişilemedi</x:v>
      </x:c>
      <x:c r="L1550" s="16" t="str">
        <x:v>Belirsiz</x:v>
      </x:c>
      <x:c r="M1550" s="16" t="str">
        <x:v>Kahve ürünü</x:v>
      </x:c>
      <x:c r="N1550" s="16" t="str">
        <x:v>Site haritası ürün sayfası</x:v>
      </x:c>
      <x:c r="O1550" s="16" t="str">
        <x:v>Düşük</x:v>
      </x:c>
      <x:c r="P1550" s="19" t="n">
        <x:v>46245</x:v>
      </x:c>
      <x:c r="Q1550" s="20" t="str">
        <x:v>https://www.sanalbaharat.com/urun/kirmizi-gingseng-cayi</x:v>
      </x:c>
      <x:c r="R1550" s="20" t="str">
        <x:v>Ürün kimliği korundu; eksik alanlar erişilemedi olarak işaretlenecek.</x:v>
      </x:c>
    </x:row>
    <x:row r="1551" ht="40" customHeight="1">
      <x:c r="A1551" s="16" t="str">
        <x:v>Sanal Baharat</x:v>
      </x:c>
      <x:c r="B1551" s="16" t="str"/>
      <x:c r="C1551" s="16" t="str">
        <x:v>Doğrulandı</x:v>
      </x:c>
      <x:c r="D1551" s="16" t="str">
        <x:v>Ürün kaydı</x:v>
      </x:c>
      <x:c r="E1551" s="16" t="str">
        <x:v>Kimyon toz 1 Kg</x:v>
      </x:c>
      <x:c r="F1551" s="16" t="str">
        <x:v>Menşe belirtilmemiş</x:v>
      </x:c>
      <x:c r="G1551" s="17" t="n">
        <x:v>1000</x:v>
      </x:c>
      <x:c r="H1551" s="16" t="str">
        <x:v>Erişildi</x:v>
      </x:c>
      <x:c r="I1551" s="18" t="n">
        <x:v>131</x:v>
      </x:c>
      <x:c r="J1551" s="18" t="str">
        <x:v>Erişildi</x:v>
      </x:c>
      <x:c r="K1551" s="18" t="n">
        <x:f>IF(AND(ISNUMBER(G1551),ISNUMBER(I1551)),I1551/G1551*1000,"Erişilemedi")</x:f>
        <x:v>131</x:v>
      </x:c>
      <x:c r="L1551" s="16" t="str">
        <x:v>Belirsiz</x:v>
      </x:c>
      <x:c r="M1551" s="16" t="str">
        <x:v>Tek köken/ürün</x:v>
      </x:c>
      <x:c r="N1551" s="16" t="str">
        <x:v>Site haritası + HTML ürün kartı</x:v>
      </x:c>
      <x:c r="O1551" s="16" t="str">
        <x:v>Düşük</x:v>
      </x:c>
      <x:c r="P1551" s="19" t="n">
        <x:v>46245</x:v>
      </x:c>
      <x:c r="Q1551" s="20" t="str">
        <x:v>https://www.sanalbaharat.com/urun/kimyon-toz-1-kg</x:v>
      </x:c>
      <x:c r="R1551" s="20" t="str">
        <x:v>Başlık/açıklama ve görünür fiyat deseninden çıkarıldı; manuel örnek kontrolü önerilir.</x:v>
      </x:c>
    </x:row>
    <x:row r="1552" ht="40" customHeight="1">
      <x:c r="A1552" s="16" t="str">
        <x:v>Sanal Baharat</x:v>
      </x:c>
      <x:c r="B1552" s="16" t="str"/>
      <x:c r="C1552" s="16" t="str">
        <x:v>Doğrulandı</x:v>
      </x:c>
      <x:c r="D1552" s="16" t="str">
        <x:v>Ürün kaydı</x:v>
      </x:c>
      <x:c r="E1552" s="16" t="str">
        <x:v>Kinoa Beyaz 1 Kg</x:v>
      </x:c>
      <x:c r="F1552" s="16" t="str">
        <x:v>Menşe belirtilmemiş</x:v>
      </x:c>
      <x:c r="G1552" s="17" t="n">
        <x:v>1000</x:v>
      </x:c>
      <x:c r="H1552" s="16" t="str">
        <x:v>Erişildi</x:v>
      </x:c>
      <x:c r="I1552" s="18" t="n">
        <x:v>131</x:v>
      </x:c>
      <x:c r="J1552" s="18" t="str">
        <x:v>Erişildi</x:v>
      </x:c>
      <x:c r="K1552" s="18" t="n">
        <x:f>IF(AND(ISNUMBER(G1552),ISNUMBER(I1552)),I1552/G1552*1000,"Erişilemedi")</x:f>
        <x:v>131</x:v>
      </x:c>
      <x:c r="L1552" s="16" t="str">
        <x:v>Belirsiz</x:v>
      </x:c>
      <x:c r="M1552" s="16" t="str">
        <x:v>Kahve ürünü</x:v>
      </x:c>
      <x:c r="N1552" s="16" t="str">
        <x:v>Site haritası ürün sayfası</x:v>
      </x:c>
      <x:c r="O1552" s="16" t="str">
        <x:v>Orta</x:v>
      </x:c>
      <x:c r="P1552" s="19" t="n">
        <x:v>46245</x:v>
      </x:c>
      <x:c r="Q1552" s="20" t="str">
        <x:v>https://www.sanalbaharat.com/urun/kinoa-beyaz-1-kg</x:v>
      </x:c>
      <x:c r="R1552" s="20" t="str">
        <x:v>Ürün kimliği korundu; eksik alanlar erişilemedi olarak işaretlenecek.</x:v>
      </x:c>
    </x:row>
    <x:row r="1553" ht="40" customHeight="1">
      <x:c r="A1553" s="16" t="str">
        <x:v>Sanal Baharat</x:v>
      </x:c>
      <x:c r="B1553" s="16" t="str"/>
      <x:c r="C1553" s="16" t="str">
        <x:v>Doğrulandı</x:v>
      </x:c>
      <x:c r="D1553" s="16" t="str">
        <x:v>Ürün kaydı</x:v>
      </x:c>
      <x:c r="E1553" s="16" t="str">
        <x:v>Kuru Kahve - Arabica (Türk Kahvesi)</x:v>
      </x:c>
      <x:c r="F1553" s="16" t="str">
        <x:v>Menşe belirtilmemiş</x:v>
      </x:c>
      <x:c r="G1553" s="17" t="str">
        <x:v>Erişilemedi</x:v>
      </x:c>
      <x:c r="H1553" s="16" t="str">
        <x:v>Erişilemedi</x:v>
      </x:c>
      <x:c r="I1553" s="18" t="n">
        <x:v>131</x:v>
      </x:c>
      <x:c r="J1553" s="18" t="str">
        <x:v>Erişildi</x:v>
      </x:c>
      <x:c r="K1553" s="18" t="str">
        <x:f>IF(AND(ISNUMBER(G1553),ISNUMBER(I1553)),I1553/G1553*1000,"Erişilemedi")</x:f>
        <x:v>Erişilemedi</x:v>
      </x:c>
      <x:c r="L1553" s="16" t="str">
        <x:v>Belirsiz</x:v>
      </x:c>
      <x:c r="M1553" s="16" t="str">
        <x:v>Kahve ürünü</x:v>
      </x:c>
      <x:c r="N1553" s="16" t="str">
        <x:v>Site haritası ürün sayfası</x:v>
      </x:c>
      <x:c r="O1553" s="16" t="str">
        <x:v>Düşük</x:v>
      </x:c>
      <x:c r="P1553" s="19" t="n">
        <x:v>46245</x:v>
      </x:c>
      <x:c r="Q1553" s="20" t="str">
        <x:v>https://www.sanalbaharat.com/urun/kuru-kahve-ogutulmus-arabica-turk-kahvesi</x:v>
      </x:c>
      <x:c r="R1553" s="20" t="str">
        <x:v>Ürün kimliği korundu; eksik alanlar erişilemedi olarak işaretlenecek.</x:v>
      </x:c>
    </x:row>
    <x:row r="1554" ht="40" customHeight="1">
      <x:c r="A1554" s="16" t="str">
        <x:v>Sanal Baharat</x:v>
      </x:c>
      <x:c r="B1554" s="16" t="str"/>
      <x:c r="C1554" s="16" t="str">
        <x:v>Doğrulandı</x:v>
      </x:c>
      <x:c r="D1554" s="16" t="str">
        <x:v>Ürün kaydı</x:v>
      </x:c>
      <x:c r="E1554" s="16" t="str">
        <x:v>Kuru Kahve Öğütülmüş 15 KG-Arabica (Türk Kahvesi)</x:v>
      </x:c>
      <x:c r="F1554" s="16" t="str">
        <x:v>Menşe belirtilmemiş</x:v>
      </x:c>
      <x:c r="G1554" s="17" t="n">
        <x:v>15000</x:v>
      </x:c>
      <x:c r="H1554" s="16" t="str">
        <x:v>Erişildi</x:v>
      </x:c>
      <x:c r="I1554" s="18" t="n">
        <x:v>131</x:v>
      </x:c>
      <x:c r="J1554" s="18" t="str">
        <x:v>Erişildi</x:v>
      </x:c>
      <x:c r="K1554" s="18" t="n">
        <x:f>IF(AND(ISNUMBER(G1554),ISNUMBER(I1554)),I1554/G1554*1000,"Erişilemedi")</x:f>
        <x:v>8.733333333333333</x:v>
      </x:c>
      <x:c r="L1554" s="16" t="str">
        <x:v>Belirsiz</x:v>
      </x:c>
      <x:c r="M1554" s="16" t="str">
        <x:v>Tek köken/ürün</x:v>
      </x:c>
      <x:c r="N1554" s="16" t="str">
        <x:v>Site haritası + HTML ürün kartı</x:v>
      </x:c>
      <x:c r="O1554" s="16" t="str">
        <x:v>Düşük</x:v>
      </x:c>
      <x:c r="P1554" s="19" t="n">
        <x:v>46245</x:v>
      </x:c>
      <x:c r="Q1554" s="20" t="str">
        <x:v>https://www.sanalbaharat.com/urun/kuru-kahve-ogutulmus-15-kg-arabica-turk-kahvesi</x:v>
      </x:c>
      <x:c r="R1554" s="20" t="str">
        <x:v>Başlık/açıklama ve görünür fiyat deseninden çıkarıldı; manuel örnek kontrolü önerilir.</x:v>
      </x:c>
    </x:row>
    <x:row r="1555" ht="40" customHeight="1">
      <x:c r="A1555" s="16" t="str">
        <x:v>Sanal Baharat</x:v>
      </x:c>
      <x:c r="B1555" s="16" t="str"/>
      <x:c r="C1555" s="16" t="str">
        <x:v>Doğrulandı</x:v>
      </x:c>
      <x:c r="D1555" s="16" t="str">
        <x:v>Ürün kaydı</x:v>
      </x:c>
      <x:c r="E1555" s="16" t="str">
        <x:v>LOBAS Nar Ekşisi Özü 340 GR</x:v>
      </x:c>
      <x:c r="F1555" s="16" t="str">
        <x:v>Menşe belirtilmemiş</x:v>
      </x:c>
      <x:c r="G1555" s="17" t="n">
        <x:v>340</x:v>
      </x:c>
      <x:c r="H1555" s="16" t="str">
        <x:v>Erişildi</x:v>
      </x:c>
      <x:c r="I1555" s="18" t="n">
        <x:v>131</x:v>
      </x:c>
      <x:c r="J1555" s="18" t="str">
        <x:v>Erişildi</x:v>
      </x:c>
      <x:c r="K1555" s="18" t="n">
        <x:f>IF(AND(ISNUMBER(G1555),ISNUMBER(I1555)),I1555/G1555*1000,"Erişilemedi")</x:f>
        <x:v>385.29411764705884</x:v>
      </x:c>
      <x:c r="L1555" s="16" t="str">
        <x:v>Belirsiz</x:v>
      </x:c>
      <x:c r="M1555" s="16" t="str">
        <x:v>Kahve ürünü</x:v>
      </x:c>
      <x:c r="N1555" s="16" t="str">
        <x:v>Site haritası ürün sayfası</x:v>
      </x:c>
      <x:c r="O1555" s="16" t="str">
        <x:v>Orta</x:v>
      </x:c>
      <x:c r="P1555" s="19" t="n">
        <x:v>46245</x:v>
      </x:c>
      <x:c r="Q1555" s="20" t="str">
        <x:v>https://www.sanalbaharat.com/urun/lobas-nar-eksisi-ozu-340-gr</x:v>
      </x:c>
      <x:c r="R1555" s="20" t="str">
        <x:v>Ürün kimliği korundu; eksik alanlar erişilemedi olarak işaretlenecek.</x:v>
      </x:c>
    </x:row>
    <x:row r="1556" ht="40" customHeight="1">
      <x:c r="A1556" s="16" t="str">
        <x:v>Sanal Baharat</x:v>
      </x:c>
      <x:c r="B1556" s="16" t="str"/>
      <x:c r="C1556" s="16" t="str">
        <x:v>Doğrulandı</x:v>
      </x:c>
      <x:c r="D1556" s="16" t="str">
        <x:v>Ürün kaydı</x:v>
      </x:c>
      <x:c r="E1556" s="16" t="str">
        <x:v>Mexico SHG Ep Arabica</x:v>
      </x:c>
      <x:c r="F1556" s="16" t="str">
        <x:v>Meksika</x:v>
      </x:c>
      <x:c r="G1556" s="17" t="str">
        <x:v>Erişilemedi</x:v>
      </x:c>
      <x:c r="H1556" s="16" t="str">
        <x:v>Erişilemedi</x:v>
      </x:c>
      <x:c r="I1556" s="18" t="n">
        <x:v>131</x:v>
      </x:c>
      <x:c r="J1556" s="18" t="str">
        <x:v>Erişildi</x:v>
      </x:c>
      <x:c r="K1556" s="18" t="str">
        <x:f>IF(AND(ISNUMBER(G1556),ISNUMBER(I1556)),I1556/G1556*1000,"Erişilemedi")</x:f>
        <x:v>Erişilemedi</x:v>
      </x:c>
      <x:c r="L1556" s="16" t="str">
        <x:v>Belirsiz</x:v>
      </x:c>
      <x:c r="M1556" s="16" t="str">
        <x:v>Kahve ürünü</x:v>
      </x:c>
      <x:c r="N1556" s="16" t="str">
        <x:v>Site haritası ürün sayfası</x:v>
      </x:c>
      <x:c r="O1556" s="16" t="str">
        <x:v>Düşük</x:v>
      </x:c>
      <x:c r="P1556" s="19" t="n">
        <x:v>46245</x:v>
      </x:c>
      <x:c r="Q1556" s="20" t="str">
        <x:v>https://www.sanalbaharat.com/urun/mexico-arabica</x:v>
      </x:c>
      <x:c r="R1556" s="20" t="str">
        <x:v>Ürün kimliği korundu; eksik alanlar erişilemedi olarak işaretlenecek.</x:v>
      </x:c>
    </x:row>
    <x:row r="1557" ht="40" customHeight="1">
      <x:c r="A1557" s="16" t="str">
        <x:v>Sanal Baharat</x:v>
      </x:c>
      <x:c r="B1557" s="16" t="str"/>
      <x:c r="C1557" s="16" t="str">
        <x:v>Doğrulandı</x:v>
      </x:c>
      <x:c r="D1557" s="16" t="str">
        <x:v>Ürün kaydı</x:v>
      </x:c>
      <x:c r="E1557" s="16" t="str">
        <x:v>Nicaragua SHB EP AAA Arabica Kavrulmuş Kahve</x:v>
      </x:c>
      <x:c r="F1557" s="16" t="str">
        <x:v>Nikaragua</x:v>
      </x:c>
      <x:c r="G1557" s="17" t="str">
        <x:v>Erişilemedi</x:v>
      </x:c>
      <x:c r="H1557" s="16" t="str">
        <x:v>Erişilemedi</x:v>
      </x:c>
      <x:c r="I1557" s="18" t="n">
        <x:v>0</x:v>
      </x:c>
      <x:c r="J1557" s="18" t="str">
        <x:v>Erişilemedi</x:v>
      </x:c>
      <x:c r="K1557" s="18" t="str">
        <x:f>IF(AND(ISNUMBER(G1557),ISNUMBER(I1557)),I1557/G1557*1000,"Erişilemedi")</x:f>
        <x:v>Erişilemedi</x:v>
      </x:c>
      <x:c r="L1557" s="16" t="str">
        <x:v>Belirsiz</x:v>
      </x:c>
      <x:c r="M1557" s="16" t="str">
        <x:v>Kahve ürünü</x:v>
      </x:c>
      <x:c r="N1557" s="16" t="str">
        <x:v>Site haritası ürün sayfası</x:v>
      </x:c>
      <x:c r="O1557" s="16" t="str">
        <x:v>Düşük</x:v>
      </x:c>
      <x:c r="P1557" s="19" t="n">
        <x:v>46245</x:v>
      </x:c>
      <x:c r="Q1557" s="20" t="str">
        <x:v>https://www.sanalbaharat.com/urun/nicaragua-shb-ep-arabica</x:v>
      </x:c>
      <x:c r="R1557" s="20" t="str">
        <x:v>Ürün kimliği korundu; eksik alanlar erişilemedi olarak işaretlenecek.</x:v>
      </x:c>
    </x:row>
    <x:row r="1558" ht="40" customHeight="1">
      <x:c r="A1558" s="16" t="str">
        <x:v>Sanal Baharat</x:v>
      </x:c>
      <x:c r="B1558" s="16" t="str"/>
      <x:c r="C1558" s="16" t="str">
        <x:v>Doğrulandı</x:v>
      </x:c>
      <x:c r="D1558" s="16" t="str">
        <x:v>Ürün kaydı</x:v>
      </x:c>
      <x:c r="E1558" s="16" t="str">
        <x:v>Nohut Unu 1 Kg</x:v>
      </x:c>
      <x:c r="F1558" s="16" t="str">
        <x:v>Menşe belirtilmemiş</x:v>
      </x:c>
      <x:c r="G1558" s="17" t="n">
        <x:v>1000</x:v>
      </x:c>
      <x:c r="H1558" s="16" t="str">
        <x:v>Erişildi</x:v>
      </x:c>
      <x:c r="I1558" s="18" t="n">
        <x:v>0</x:v>
      </x:c>
      <x:c r="J1558" s="18" t="str">
        <x:v>Erişilemedi</x:v>
      </x:c>
      <x:c r="K1558" s="18" t="n">
        <x:f>IF(AND(ISNUMBER(G1558),ISNUMBER(I1558)),I1558/G1558*1000,"Erişilemedi")</x:f>
        <x:v>0</x:v>
      </x:c>
      <x:c r="L1558" s="16" t="str">
        <x:v>Belirsiz</x:v>
      </x:c>
      <x:c r="M1558" s="16" t="str">
        <x:v>Kahve ürünü</x:v>
      </x:c>
      <x:c r="N1558" s="16" t="str">
        <x:v>Site haritası ürün sayfası</x:v>
      </x:c>
      <x:c r="O1558" s="16" t="str">
        <x:v>Düşük</x:v>
      </x:c>
      <x:c r="P1558" s="19" t="n">
        <x:v>46245</x:v>
      </x:c>
      <x:c r="Q1558" s="20" t="str">
        <x:v>https://www.sanalbaharat.com/urun/nohut-unu-1-kg</x:v>
      </x:c>
      <x:c r="R1558" s="20" t="str">
        <x:v>Ürün kimliği korundu; eksik alanlar erişilemedi olarak işaretlenecek.</x:v>
      </x:c>
    </x:row>
    <x:row r="1559" ht="40" customHeight="1">
      <x:c r="A1559" s="16" t="str">
        <x:v>Sanal Baharat</x:v>
      </x:c>
      <x:c r="B1559" s="16" t="str"/>
      <x:c r="C1559" s="16" t="str">
        <x:v>Doğrulandı</x:v>
      </x:c>
      <x:c r="D1559" s="16" t="str">
        <x:v>Ürün kaydı</x:v>
      </x:c>
      <x:c r="E1559" s="16" t="str">
        <x:v>Phin Filtre</x:v>
      </x:c>
      <x:c r="F1559" s="16" t="str">
        <x:v>Menşe belirtilmemiş</x:v>
      </x:c>
      <x:c r="G1559" s="17" t="str">
        <x:v>Erişilemedi</x:v>
      </x:c>
      <x:c r="H1559" s="16" t="str">
        <x:v>Erişilemedi</x:v>
      </x:c>
      <x:c r="I1559" s="18" t="n">
        <x:v>131</x:v>
      </x:c>
      <x:c r="J1559" s="18" t="str">
        <x:v>Erişildi</x:v>
      </x:c>
      <x:c r="K1559" s="18" t="str">
        <x:f>IF(AND(ISNUMBER(G1559),ISNUMBER(I1559)),I1559/G1559*1000,"Erişilemedi")</x:f>
        <x:v>Erişilemedi</x:v>
      </x:c>
      <x:c r="L1559" s="16" t="str">
        <x:v>Belirsiz</x:v>
      </x:c>
      <x:c r="M1559" s="16" t="str">
        <x:v>Kahve ürünü</x:v>
      </x:c>
      <x:c r="N1559" s="16" t="str">
        <x:v>Site haritası ürün sayfası</x:v>
      </x:c>
      <x:c r="O1559" s="16" t="str">
        <x:v>Düşük</x:v>
      </x:c>
      <x:c r="P1559" s="19" t="n">
        <x:v>46245</x:v>
      </x:c>
      <x:c r="Q1559" s="20" t="str">
        <x:v>https://www.sanalbaharat.com/urun/phin-filtre</x:v>
      </x:c>
      <x:c r="R1559" s="20" t="str">
        <x:v>Ürün kimliği korundu; eksik alanlar erişilemedi olarak işaretlenecek.</x:v>
      </x:c>
    </x:row>
    <x:row r="1560" ht="40" customHeight="1">
      <x:c r="A1560" s="16" t="str">
        <x:v>Sanal Baharat</x:v>
      </x:c>
      <x:c r="B1560" s="16" t="str"/>
      <x:c r="C1560" s="16" t="str">
        <x:v>Doğrulandı</x:v>
      </x:c>
      <x:c r="D1560" s="16" t="str">
        <x:v>Ürün kaydı</x:v>
      </x:c>
      <x:c r="E1560" s="16" t="str">
        <x:v>Robusta Kahve Kavrulmuş</x:v>
      </x:c>
      <x:c r="F1560" s="16" t="str">
        <x:v>Menşe belirtilmemiş</x:v>
      </x:c>
      <x:c r="G1560" s="17" t="str">
        <x:v>Erişilemedi</x:v>
      </x:c>
      <x:c r="H1560" s="16" t="str">
        <x:v>Erişilemedi</x:v>
      </x:c>
      <x:c r="I1560" s="18" t="n">
        <x:v>131</x:v>
      </x:c>
      <x:c r="J1560" s="18" t="str">
        <x:v>Erişildi</x:v>
      </x:c>
      <x:c r="K1560" s="18" t="str">
        <x:f>IF(AND(ISNUMBER(G1560),ISNUMBER(I1560)),I1560/G1560*1000,"Erişilemedi")</x:f>
        <x:v>Erişilemedi</x:v>
      </x:c>
      <x:c r="L1560" s="16" t="str">
        <x:v>Belirsiz</x:v>
      </x:c>
      <x:c r="M1560" s="16" t="str">
        <x:v>Kahve ürünü</x:v>
      </x:c>
      <x:c r="N1560" s="16" t="str">
        <x:v>Site haritası ürün sayfası</x:v>
      </x:c>
      <x:c r="O1560" s="16" t="str">
        <x:v>Düşük</x:v>
      </x:c>
      <x:c r="P1560" s="19" t="n">
        <x:v>46245</x:v>
      </x:c>
      <x:c r="Q1560" s="20" t="str">
        <x:v>https://www.sanalbaharat.com/urun/robusta-kahve-kavrulmus</x:v>
      </x:c>
      <x:c r="R1560" s="20" t="str">
        <x:v>Ürün kimliği korundu; eksik alanlar erişilemedi olarak işaretlenecek.</x:v>
      </x:c>
    </x:row>
    <x:row r="1561" ht="40" customHeight="1">
      <x:c r="A1561" s="16" t="str">
        <x:v>Sanal Baharat</x:v>
      </x:c>
      <x:c r="B1561" s="16" t="str"/>
      <x:c r="C1561" s="16" t="str">
        <x:v>Doğrulandı</x:v>
      </x:c>
      <x:c r="D1561" s="16" t="str">
        <x:v>Ürün kaydı</x:v>
      </x:c>
      <x:c r="E1561" s="16" t="str">
        <x:v>Sumatra Gayo Gr1 Kahve Kavrulmuş</x:v>
      </x:c>
      <x:c r="F1561" s="16" t="str">
        <x:v>Endonezya</x:v>
      </x:c>
      <x:c r="G1561" s="17" t="str">
        <x:v>Erişilemedi</x:v>
      </x:c>
      <x:c r="H1561" s="16" t="str">
        <x:v>Erişilemedi</x:v>
      </x:c>
      <x:c r="I1561" s="18" t="n">
        <x:v>131</x:v>
      </x:c>
      <x:c r="J1561" s="18" t="str">
        <x:v>Erişildi</x:v>
      </x:c>
      <x:c r="K1561" s="18" t="str">
        <x:f>IF(AND(ISNUMBER(G1561),ISNUMBER(I1561)),I1561/G1561*1000,"Erişilemedi")</x:f>
        <x:v>Erişilemedi</x:v>
      </x:c>
      <x:c r="L1561" s="16" t="str">
        <x:v>Belirsiz</x:v>
      </x:c>
      <x:c r="M1561" s="16" t="str">
        <x:v>Kahve ürünü</x:v>
      </x:c>
      <x:c r="N1561" s="16" t="str">
        <x:v>Site haritası ürün sayfası</x:v>
      </x:c>
      <x:c r="O1561" s="16" t="str">
        <x:v>Düşük</x:v>
      </x:c>
      <x:c r="P1561" s="19" t="n">
        <x:v>46245</x:v>
      </x:c>
      <x:c r="Q1561" s="20" t="str">
        <x:v>https://www.sanalbaharat.com/urun/sumatra-mandheling-kahve-cekirdegi-kavrulmus</x:v>
      </x:c>
      <x:c r="R1561" s="20" t="str">
        <x:v>Ürün kimliği korundu; eksik alanlar erişilemedi olarak işaretlenecek.</x:v>
      </x:c>
    </x:row>
    <x:row r="1562" ht="40" customHeight="1">
      <x:c r="A1562" s="16" t="str">
        <x:v>Sanal Baharat</x:v>
      </x:c>
      <x:c r="B1562" s="16" t="str"/>
      <x:c r="C1562" s="16" t="str">
        <x:v>Doğrulandı</x:v>
      </x:c>
      <x:c r="D1562" s="16" t="str">
        <x:v>Ürün kaydı</x:v>
      </x:c>
      <x:c r="E1562" s="16" t="str">
        <x:v>Tanzania Arabica AA Washed Kavrulmuş kahve</x:v>
      </x:c>
      <x:c r="F1562" s="16" t="str">
        <x:v>Tanzanya</x:v>
      </x:c>
      <x:c r="G1562" s="17" t="str">
        <x:v>Erişilemedi</x:v>
      </x:c>
      <x:c r="H1562" s="16" t="str">
        <x:v>Erişilemedi</x:v>
      </x:c>
      <x:c r="I1562" s="18" t="n">
        <x:v>131</x:v>
      </x:c>
      <x:c r="J1562" s="18" t="str">
        <x:v>Erişildi</x:v>
      </x:c>
      <x:c r="K1562" s="18" t="str">
        <x:f>IF(AND(ISNUMBER(G1562),ISNUMBER(I1562)),I1562/G1562*1000,"Erişilemedi")</x:f>
        <x:v>Erişilemedi</x:v>
      </x:c>
      <x:c r="L1562" s="16" t="str">
        <x:v>Belirsiz</x:v>
      </x:c>
      <x:c r="M1562" s="16" t="str">
        <x:v>Kahve ürünü</x:v>
      </x:c>
      <x:c r="N1562" s="16" t="str">
        <x:v>Site haritası ürün sayfası</x:v>
      </x:c>
      <x:c r="O1562" s="16" t="str">
        <x:v>Düşük</x:v>
      </x:c>
      <x:c r="P1562" s="19" t="n">
        <x:v>46245</x:v>
      </x:c>
      <x:c r="Q1562" s="20" t="str">
        <x:v>https://www.sanalbaharat.com/urun/kahve-tanzania-arabica-aa</x:v>
      </x:c>
      <x:c r="R1562" s="20" t="str">
        <x:v>Ürün kimliği korundu; eksik alanlar erişilemedi olarak işaretlenecek.</x:v>
      </x:c>
    </x:row>
    <x:row r="1563" ht="40" customHeight="1">
      <x:c r="A1563" s="16" t="str">
        <x:v>Sanal Baharat</x:v>
      </x:c>
      <x:c r="B1563" s="16" t="str"/>
      <x:c r="C1563" s="16" t="str">
        <x:v>Doğrulandı</x:v>
      </x:c>
      <x:c r="D1563" s="16" t="str">
        <x:v>Ürün kaydı</x:v>
      </x:c>
      <x:c r="E1563" s="16" t="str">
        <x:v>Tarçın Parmak (Kesik)</x:v>
      </x:c>
      <x:c r="F1563" s="16" t="str">
        <x:v>Menşe belirtilmemiş</x:v>
      </x:c>
      <x:c r="G1563" s="17" t="str">
        <x:v>Erişilemedi</x:v>
      </x:c>
      <x:c r="H1563" s="16" t="str">
        <x:v>Erişilemedi</x:v>
      </x:c>
      <x:c r="I1563" s="18" t="n">
        <x:v>131</x:v>
      </x:c>
      <x:c r="J1563" s="18" t="str">
        <x:v>Erişildi</x:v>
      </x:c>
      <x:c r="K1563" s="18" t="str">
        <x:f>IF(AND(ISNUMBER(G1563),ISNUMBER(I1563)),I1563/G1563*1000,"Erişilemedi")</x:f>
        <x:v>Erişilemedi</x:v>
      </x:c>
      <x:c r="L1563" s="16" t="str">
        <x:v>Belirsiz</x:v>
      </x:c>
      <x:c r="M1563" s="16" t="str">
        <x:v>Kahve ürünü</x:v>
      </x:c>
      <x:c r="N1563" s="16" t="str">
        <x:v>Site haritası ürün sayfası</x:v>
      </x:c>
      <x:c r="O1563" s="16" t="str">
        <x:v>Düşük</x:v>
      </x:c>
      <x:c r="P1563" s="19" t="n">
        <x:v>46245</x:v>
      </x:c>
      <x:c r="Q1563" s="20" t="str">
        <x:v>https://www.sanalbaharat.com/urun/tarcin-parmak-kesik</x:v>
      </x:c>
      <x:c r="R1563" s="20" t="str">
        <x:v>Ürün kimliği korundu; eksik alanlar erişilemedi olarak işaretlenecek.</x:v>
      </x:c>
    </x:row>
    <x:row r="1564" ht="40" customHeight="1">
      <x:c r="A1564" s="16" t="str">
        <x:v>Sanal Baharat</x:v>
      </x:c>
      <x:c r="B1564" s="16" t="str"/>
      <x:c r="C1564" s="16" t="str">
        <x:v>Doğrulandı</x:v>
      </x:c>
      <x:c r="D1564" s="16" t="str">
        <x:v>Ürün kaydı</x:v>
      </x:c>
      <x:c r="E1564" s="16" t="str">
        <x:v>Tarçın Toz 1 Kg</x:v>
      </x:c>
      <x:c r="F1564" s="16" t="str">
        <x:v>Menşe belirtilmemiş</x:v>
      </x:c>
      <x:c r="G1564" s="17" t="n">
        <x:v>1000</x:v>
      </x:c>
      <x:c r="H1564" s="16" t="str">
        <x:v>Erişildi</x:v>
      </x:c>
      <x:c r="I1564" s="18" t="n">
        <x:v>0</x:v>
      </x:c>
      <x:c r="J1564" s="18" t="str">
        <x:v>Erişilemedi</x:v>
      </x:c>
      <x:c r="K1564" s="18" t="n">
        <x:f>IF(AND(ISNUMBER(G1564),ISNUMBER(I1564)),I1564/G1564*1000,"Erişilemedi")</x:f>
        <x:v>0</x:v>
      </x:c>
      <x:c r="L1564" s="16" t="str">
        <x:v>Belirsiz</x:v>
      </x:c>
      <x:c r="M1564" s="16" t="str">
        <x:v>Kahve ürünü</x:v>
      </x:c>
      <x:c r="N1564" s="16" t="str">
        <x:v>Site haritası ürün sayfası</x:v>
      </x:c>
      <x:c r="O1564" s="16" t="str">
        <x:v>Düşük</x:v>
      </x:c>
      <x:c r="P1564" s="19" t="n">
        <x:v>46245</x:v>
      </x:c>
      <x:c r="Q1564" s="20" t="str">
        <x:v>https://www.sanalbaharat.com/urun/tarcin-toz-1-kg</x:v>
      </x:c>
      <x:c r="R1564" s="20" t="str">
        <x:v>Ürün kimliği korundu; eksik alanlar erişilemedi olarak işaretlenecek.</x:v>
      </x:c>
    </x:row>
    <x:row r="1565" ht="40" customHeight="1">
      <x:c r="A1565" s="16" t="str">
        <x:v>Sanal Baharat</x:v>
      </x:c>
      <x:c r="B1565" s="16" t="str"/>
      <x:c r="C1565" s="16" t="str">
        <x:v>Doğrulandı</x:v>
      </x:c>
      <x:c r="D1565" s="16" t="str">
        <x:v>Ürün kaydı</x:v>
      </x:c>
      <x:c r="E1565" s="16" t="str">
        <x:v>Tarçın Toz 25 Kg</x:v>
      </x:c>
      <x:c r="F1565" s="16" t="str">
        <x:v>Menşe belirtilmemiş</x:v>
      </x:c>
      <x:c r="G1565" s="17" t="n">
        <x:v>25000</x:v>
      </x:c>
      <x:c r="H1565" s="16" t="str">
        <x:v>Erişildi</x:v>
      </x:c>
      <x:c r="I1565" s="18" t="n">
        <x:v>131</x:v>
      </x:c>
      <x:c r="J1565" s="18" t="str">
        <x:v>Erişildi</x:v>
      </x:c>
      <x:c r="K1565" s="18" t="n">
        <x:f>IF(AND(ISNUMBER(G1565),ISNUMBER(I1565)),I1565/G1565*1000,"Erişilemedi")</x:f>
        <x:v>5.24</x:v>
      </x:c>
      <x:c r="L1565" s="16" t="str">
        <x:v>Belirsiz</x:v>
      </x:c>
      <x:c r="M1565" s="16" t="str">
        <x:v>Tek köken/ürün</x:v>
      </x:c>
      <x:c r="N1565" s="16" t="str">
        <x:v>Site haritası + HTML ürün kartı</x:v>
      </x:c>
      <x:c r="O1565" s="16" t="str">
        <x:v>Düşük</x:v>
      </x:c>
      <x:c r="P1565" s="19" t="n">
        <x:v>46245</x:v>
      </x:c>
      <x:c r="Q1565" s="20" t="str">
        <x:v>https://www.sanalbaharat.com/urun/tarcin-toz-25-kg</x:v>
      </x:c>
      <x:c r="R1565" s="20" t="str">
        <x:v>Başlık/açıklama ve görünür fiyat deseninden çıkarıldı; manuel örnek kontrolü önerilir.</x:v>
      </x:c>
    </x:row>
    <x:row r="1566" ht="40" customHeight="1">
      <x:c r="A1566" s="16" t="str">
        <x:v>Sanal Baharat</x:v>
      </x:c>
      <x:c r="B1566" s="16" t="str"/>
      <x:c r="C1566" s="16" t="str">
        <x:v>Doğrulandı</x:v>
      </x:c>
      <x:c r="D1566" s="16" t="str">
        <x:v>Ürün kaydı</x:v>
      </x:c>
      <x:c r="E1566" s="16" t="str">
        <x:v>Yağlı Hindistan Cevizi 1 Kg</x:v>
      </x:c>
      <x:c r="F1566" s="16" t="str">
        <x:v>Hindistan</x:v>
      </x:c>
      <x:c r="G1566" s="17" t="n">
        <x:v>1000</x:v>
      </x:c>
      <x:c r="H1566" s="16" t="str">
        <x:v>Erişildi</x:v>
      </x:c>
      <x:c r="I1566" s="18" t="n">
        <x:v>131</x:v>
      </x:c>
      <x:c r="J1566" s="18" t="str">
        <x:v>Erişildi</x:v>
      </x:c>
      <x:c r="K1566" s="18" t="n">
        <x:f>IF(AND(ISNUMBER(G1566),ISNUMBER(I1566)),I1566/G1566*1000,"Erişilemedi")</x:f>
        <x:v>131</x:v>
      </x:c>
      <x:c r="L1566" s="16" t="str">
        <x:v>Belirsiz</x:v>
      </x:c>
      <x:c r="M1566" s="16" t="str">
        <x:v>Tek köken/ürün</x:v>
      </x:c>
      <x:c r="N1566" s="16" t="str">
        <x:v>Site haritası + HTML ürün kartı</x:v>
      </x:c>
      <x:c r="O1566" s="16" t="str">
        <x:v>Düşük</x:v>
      </x:c>
      <x:c r="P1566" s="19" t="n">
        <x:v>46245</x:v>
      </x:c>
      <x:c r="Q1566" s="20" t="str">
        <x:v>https://www.sanalbaharat.com/urun/yagli-hindistan-cevizi-1-kg</x:v>
      </x:c>
      <x:c r="R1566" s="20" t="str">
        <x:v>Başlık/açıklama ve görünür fiyat deseninden çıkarıldı; manuel örnek kontrolü önerilir.</x:v>
      </x:c>
    </x:row>
    <x:row r="1567" ht="40" customHeight="1">
      <x:c r="A1567" s="16" t="str">
        <x:v>Sanal Baharat</x:v>
      </x:c>
      <x:c r="B1567" s="16" t="str"/>
      <x:c r="C1567" s="16" t="str">
        <x:v>Doğrulandı</x:v>
      </x:c>
      <x:c r="D1567" s="16" t="str">
        <x:v>Ürün kaydı</x:v>
      </x:c>
      <x:c r="E1567" s="16" t="str">
        <x:v>Yağsız Hindistan Cevizi 1 Kg</x:v>
      </x:c>
      <x:c r="F1567" s="16" t="str">
        <x:v>Hindistan</x:v>
      </x:c>
      <x:c r="G1567" s="17" t="n">
        <x:v>1000</x:v>
      </x:c>
      <x:c r="H1567" s="16" t="str">
        <x:v>Erişildi</x:v>
      </x:c>
      <x:c r="I1567" s="18" t="n">
        <x:v>131</x:v>
      </x:c>
      <x:c r="J1567" s="18" t="str">
        <x:v>Erişildi</x:v>
      </x:c>
      <x:c r="K1567" s="18" t="n">
        <x:f>IF(AND(ISNUMBER(G1567),ISNUMBER(I1567)),I1567/G1567*1000,"Erişilemedi")</x:f>
        <x:v>131</x:v>
      </x:c>
      <x:c r="L1567" s="16" t="str">
        <x:v>Belirsiz</x:v>
      </x:c>
      <x:c r="M1567" s="16" t="str">
        <x:v>Tek köken/ürün</x:v>
      </x:c>
      <x:c r="N1567" s="16" t="str">
        <x:v>Site haritası + HTML ürün kartı</x:v>
      </x:c>
      <x:c r="O1567" s="16" t="str">
        <x:v>Düşük</x:v>
      </x:c>
      <x:c r="P1567" s="19" t="n">
        <x:v>46245</x:v>
      </x:c>
      <x:c r="Q1567" s="20" t="str">
        <x:v>https://www.sanalbaharat.com/urun/yagsiz-hindistan-cevizi-1-kg-ince</x:v>
      </x:c>
      <x:c r="R1567" s="20" t="str">
        <x:v>Başlık/açıklama ve görünür fiyat deseninden çıkarıldı; manuel örnek kontrolü önerilir.</x:v>
      </x:c>
    </x:row>
    <x:row r="1568" ht="40" customHeight="1">
      <x:c r="A1568" s="16" t="str">
        <x:v>Sanal Baharat</x:v>
      </x:c>
      <x:c r="B1568" s="16" t="str"/>
      <x:c r="C1568" s="16" t="str">
        <x:v>Doğrulandı</x:v>
      </x:c>
      <x:c r="D1568" s="16" t="str">
        <x:v>Ürün kaydı</x:v>
      </x:c>
      <x:c r="E1568" s="16" t="str">
        <x:v>Zencefil (TANE) 1 Kg</x:v>
      </x:c>
      <x:c r="F1568" s="16" t="str">
        <x:v>Menşe belirtilmemiş</x:v>
      </x:c>
      <x:c r="G1568" s="17" t="n">
        <x:v>1000</x:v>
      </x:c>
      <x:c r="H1568" s="16" t="str">
        <x:v>Erişildi</x:v>
      </x:c>
      <x:c r="I1568" s="18" t="n">
        <x:v>131</x:v>
      </x:c>
      <x:c r="J1568" s="18" t="str">
        <x:v>Erişildi</x:v>
      </x:c>
      <x:c r="K1568" s="18" t="n">
        <x:f>IF(AND(ISNUMBER(G1568),ISNUMBER(I1568)),I1568/G1568*1000,"Erişilemedi")</x:f>
        <x:v>131</x:v>
      </x:c>
      <x:c r="L1568" s="16" t="str">
        <x:v>Belirsiz</x:v>
      </x:c>
      <x:c r="M1568" s="16" t="str">
        <x:v>Tek köken/ürün</x:v>
      </x:c>
      <x:c r="N1568" s="16" t="str">
        <x:v>Site haritası + HTML ürün kartı</x:v>
      </x:c>
      <x:c r="O1568" s="16" t="str">
        <x:v>Düşük</x:v>
      </x:c>
      <x:c r="P1568" s="19" t="n">
        <x:v>46245</x:v>
      </x:c>
      <x:c r="Q1568" s="20" t="str">
        <x:v>https://www.sanalbaharat.com/urun/zencefil-1-kg</x:v>
      </x:c>
      <x:c r="R1568" s="20" t="str">
        <x:v>Başlık/açıklama ve görünür fiyat deseninden çıkarıldı; manuel örnek kontrolü önerilir.</x:v>
      </x:c>
    </x:row>
    <x:row r="1569" ht="40" customHeight="1">
      <x:c r="A1569" s="16" t="str">
        <x:v>Sanal Baharat</x:v>
      </x:c>
      <x:c r="B1569" s="16" t="str"/>
      <x:c r="C1569" s="16" t="str">
        <x:v>Doğrulandı</x:v>
      </x:c>
      <x:c r="D1569" s="16" t="str">
        <x:v>Ürün kaydı</x:v>
      </x:c>
      <x:c r="E1569" s="16" t="str">
        <x:v>Zencefil Toz 1 kg</x:v>
      </x:c>
      <x:c r="F1569" s="16" t="str">
        <x:v>Menşe belirtilmemiş</x:v>
      </x:c>
      <x:c r="G1569" s="17" t="n">
        <x:v>1000</x:v>
      </x:c>
      <x:c r="H1569" s="16" t="str">
        <x:v>Erişildi</x:v>
      </x:c>
      <x:c r="I1569" s="18" t="n">
        <x:v>0</x:v>
      </x:c>
      <x:c r="J1569" s="18" t="str">
        <x:v>Erişilemedi</x:v>
      </x:c>
      <x:c r="K1569" s="18" t="n">
        <x:f>IF(AND(ISNUMBER(G1569),ISNUMBER(I1569)),I1569/G1569*1000,"Erişilemedi")</x:f>
        <x:v>0</x:v>
      </x:c>
      <x:c r="L1569" s="16" t="str">
        <x:v>Belirsiz</x:v>
      </x:c>
      <x:c r="M1569" s="16" t="str">
        <x:v>Kahve ürünü</x:v>
      </x:c>
      <x:c r="N1569" s="16" t="str">
        <x:v>Site haritası ürün sayfası</x:v>
      </x:c>
      <x:c r="O1569" s="16" t="str">
        <x:v>Düşük</x:v>
      </x:c>
      <x:c r="P1569" s="19" t="n">
        <x:v>46245</x:v>
      </x:c>
      <x:c r="Q1569" s="20" t="str">
        <x:v>https://www.sanalbaharat.com/urun/zencefil-toz-1-kg</x:v>
      </x:c>
      <x:c r="R1569" s="20" t="str">
        <x:v>Ürün kimliği korundu; eksik alanlar erişilemedi olarak işaretlenecek.</x:v>
      </x:c>
    </x:row>
    <x:row r="1570" ht="40" customHeight="1">
      <x:c r="A1570" s="16" t="str">
        <x:v>Sanal Baharat</x:v>
      </x:c>
      <x:c r="B1570" s="16" t="str"/>
      <x:c r="C1570" s="16" t="str">
        <x:v>Doğrulandı</x:v>
      </x:c>
      <x:c r="D1570" s="16" t="str">
        <x:v>Ürün kaydı</x:v>
      </x:c>
      <x:c r="E1570" s="16" t="str">
        <x:v>Zerdeçal (TANE) 1 Kg</x:v>
      </x:c>
      <x:c r="F1570" s="16" t="str">
        <x:v>Menşe belirtilmemiş</x:v>
      </x:c>
      <x:c r="G1570" s="17" t="n">
        <x:v>1000</x:v>
      </x:c>
      <x:c r="H1570" s="16" t="str">
        <x:v>Erişildi</x:v>
      </x:c>
      <x:c r="I1570" s="18" t="n">
        <x:v>131</x:v>
      </x:c>
      <x:c r="J1570" s="18" t="str">
        <x:v>Erişildi</x:v>
      </x:c>
      <x:c r="K1570" s="18" t="n">
        <x:f>IF(AND(ISNUMBER(G1570),ISNUMBER(I1570)),I1570/G1570*1000,"Erişilemedi")</x:f>
        <x:v>131</x:v>
      </x:c>
      <x:c r="L1570" s="16" t="str">
        <x:v>Belirsiz</x:v>
      </x:c>
      <x:c r="M1570" s="16" t="str">
        <x:v>Tek köken/ürün</x:v>
      </x:c>
      <x:c r="N1570" s="16" t="str">
        <x:v>Site haritası + HTML ürün kartı</x:v>
      </x:c>
      <x:c r="O1570" s="16" t="str">
        <x:v>Düşük</x:v>
      </x:c>
      <x:c r="P1570" s="19" t="n">
        <x:v>46245</x:v>
      </x:c>
      <x:c r="Q1570" s="20" t="str">
        <x:v>https://www.sanalbaharat.com/urun/zerdecal-1-kg</x:v>
      </x:c>
      <x:c r="R1570" s="20" t="str">
        <x:v>Başlık/açıklama ve görünür fiyat deseninden çıkarıldı; manuel örnek kontrolü önerilir.</x:v>
      </x:c>
    </x:row>
    <x:row r="1571" ht="40" customHeight="1">
      <x:c r="A1571" s="16" t="str">
        <x:v>Sanal Baharat</x:v>
      </x:c>
      <x:c r="B1571" s="16" t="str"/>
      <x:c r="C1571" s="16" t="str">
        <x:v>Doğrulandı</x:v>
      </x:c>
      <x:c r="D1571" s="16" t="str">
        <x:v>Ürün kaydı</x:v>
      </x:c>
      <x:c r="E1571" s="16" t="str">
        <x:v>Zerdeçal (TANE) 1 Kg</x:v>
      </x:c>
      <x:c r="F1571" s="16" t="str">
        <x:v>Menşe belirtilmemiş</x:v>
      </x:c>
      <x:c r="G1571" s="17" t="n">
        <x:v>1000</x:v>
      </x:c>
      <x:c r="H1571" s="16" t="str">
        <x:v>Erişildi</x:v>
      </x:c>
      <x:c r="I1571" s="18" t="n">
        <x:v>0</x:v>
      </x:c>
      <x:c r="J1571" s="18" t="str">
        <x:v>Erişilemedi</x:v>
      </x:c>
      <x:c r="K1571" s="18" t="n">
        <x:f>IF(AND(ISNUMBER(G1571),ISNUMBER(I1571)),I1571/G1571*1000,"Erişilemedi")</x:f>
        <x:v>0</x:v>
      </x:c>
      <x:c r="L1571" s="16" t="str">
        <x:v>Belirsiz</x:v>
      </x:c>
      <x:c r="M1571" s="16" t="str">
        <x:v>Kahve ürünü</x:v>
      </x:c>
      <x:c r="N1571" s="16" t="str">
        <x:v>Site haritası ürün sayfası</x:v>
      </x:c>
      <x:c r="O1571" s="16" t="str">
        <x:v>Düşük</x:v>
      </x:c>
      <x:c r="P1571" s="19" t="n">
        <x:v>46245</x:v>
      </x:c>
      <x:c r="Q1571" s="20" t="str">
        <x:v>https://www.sanalbaharat.com/urun/zerdecal-1-kg</x:v>
      </x:c>
      <x:c r="R1571" s="20" t="str">
        <x:v>Ürün kimliği korundu; eksik alanlar erişilemedi olarak işaretlenecek.</x:v>
      </x:c>
    </x:row>
    <x:row r="1572" ht="40" customHeight="1">
      <x:c r="A1572" s="16" t="str">
        <x:v>Sanal Baharat</x:v>
      </x:c>
      <x:c r="B1572" s="16" t="str"/>
      <x:c r="C1572" s="16" t="str">
        <x:v>Doğrulandı</x:v>
      </x:c>
      <x:c r="D1572" s="16" t="str">
        <x:v>Ürün kaydı</x:v>
      </x:c>
      <x:c r="E1572" s="16" t="str">
        <x:v>Zerdeçal Toz 1 Kg</x:v>
      </x:c>
      <x:c r="F1572" s="16" t="str">
        <x:v>Menşe belirtilmemiş</x:v>
      </x:c>
      <x:c r="G1572" s="17" t="n">
        <x:v>1000</x:v>
      </x:c>
      <x:c r="H1572" s="16" t="str">
        <x:v>Erişildi</x:v>
      </x:c>
      <x:c r="I1572" s="18" t="n">
        <x:v>131</x:v>
      </x:c>
      <x:c r="J1572" s="18" t="str">
        <x:v>Erişildi</x:v>
      </x:c>
      <x:c r="K1572" s="18" t="n">
        <x:f>IF(AND(ISNUMBER(G1572),ISNUMBER(I1572)),I1572/G1572*1000,"Erişilemedi")</x:f>
        <x:v>131</x:v>
      </x:c>
      <x:c r="L1572" s="16" t="str">
        <x:v>Belirsiz</x:v>
      </x:c>
      <x:c r="M1572" s="16" t="str">
        <x:v>Tek köken/ürün</x:v>
      </x:c>
      <x:c r="N1572" s="16" t="str">
        <x:v>Site haritası + HTML ürün kartı</x:v>
      </x:c>
      <x:c r="O1572" s="16" t="str">
        <x:v>Düşük</x:v>
      </x:c>
      <x:c r="P1572" s="19" t="n">
        <x:v>46245</x:v>
      </x:c>
      <x:c r="Q1572" s="20" t="str">
        <x:v>https://www.sanalbaharat.com/urun/zerdecal-toz-1-kg</x:v>
      </x:c>
      <x:c r="R1572" s="20" t="str">
        <x:v>Başlık/açıklama ve görünür fiyat deseninden çıkarıldı; manuel örnek kontrolü önerilir.</x:v>
      </x:c>
    </x:row>
    <x:row r="1573" ht="40" customHeight="1">
      <x:c r="A1573" s="16" t="str">
        <x:v>Sanal Baharat</x:v>
      </x:c>
      <x:c r="B1573" s="16" t="str"/>
      <x:c r="C1573" s="16" t="str">
        <x:v>Doğrulandı</x:v>
      </x:c>
      <x:c r="D1573" s="16" t="str">
        <x:v>Ürün kaydı</x:v>
      </x:c>
      <x:c r="E1573" s="16" t="str">
        <x:v>Zeytinyağlı Defne Sabunu 4'lÜ</x:v>
      </x:c>
      <x:c r="F1573" s="16" t="str">
        <x:v>Menşe belirtilmemiş</x:v>
      </x:c>
      <x:c r="G1573" s="17" t="str">
        <x:v>Erişilemedi</x:v>
      </x:c>
      <x:c r="H1573" s="16" t="str">
        <x:v>Erişilemedi</x:v>
      </x:c>
      <x:c r="I1573" s="18" t="n">
        <x:v>131</x:v>
      </x:c>
      <x:c r="J1573" s="18" t="str">
        <x:v>Erişildi</x:v>
      </x:c>
      <x:c r="K1573" s="18" t="str">
        <x:f>IF(AND(ISNUMBER(G1573),ISNUMBER(I1573)),I1573/G1573*1000,"Erişilemedi")</x:f>
        <x:v>Erişilemedi</x:v>
      </x:c>
      <x:c r="L1573" s="16" t="str">
        <x:v>Belirsiz</x:v>
      </x:c>
      <x:c r="M1573" s="16" t="str">
        <x:v>Kahve ürünü</x:v>
      </x:c>
      <x:c r="N1573" s="16" t="str">
        <x:v>Site haritası ürün sayfası</x:v>
      </x:c>
      <x:c r="O1573" s="16" t="str">
        <x:v>Düşük</x:v>
      </x:c>
      <x:c r="P1573" s="19" t="n">
        <x:v>46245</x:v>
      </x:c>
      <x:c r="Q1573" s="20" t="str">
        <x:v>https://www.sanalbaharat.com/urun/zeytinyagli-defne-sabunu-4-lu</x:v>
      </x:c>
      <x:c r="R1573" s="20" t="str">
        <x:v>Ürün kimliği korundu; eksik alanlar erişilemedi olarak işaretlenecek.</x:v>
      </x:c>
    </x:row>
    <x:row r="1574" ht="40" customHeight="1">
      <x:c r="A1574" s="16" t="str">
        <x:v>Schiller Kaffeerösterei</x:v>
      </x:c>
      <x:c r="B1574" s="16" t="str">
        <x:v>Antalya</x:v>
      </x:c>
      <x:c r="C1574" s="16" t="str">
        <x:v>Kısmi doğrulama</x:v>
      </x:c>
      <x:c r="D1574" s="16" t="str">
        <x:v>Katalog takip kaydı</x:v>
      </x:c>
      <x:c r="E1574" s="16" t="str">
        <x:v>Ürün kataloğu — ayrıntılı ürün verisine erişilemedi</x:v>
      </x:c>
      <x:c r="F1574" s="16" t="str">
        <x:v>Erişilemedi</x:v>
      </x:c>
      <x:c r="G1574" s="17" t="str">
        <x:v>Erişilemedi</x:v>
      </x:c>
      <x:c r="H1574" s="16" t="str">
        <x:v>Erişilemedi</x:v>
      </x:c>
      <x:c r="I1574" s="18" t="str">
        <x:v>Erişilemedi</x:v>
      </x:c>
      <x:c r="J1574" s="18" t="str">
        <x:v>Erişilemedi</x:v>
      </x:c>
      <x:c r="K1574" s="18" t="str">
        <x:f>IF(AND(ISNUMBER(G1574),ISNUMBER(I1574)),I1574/G1574*1000,"Erişilemedi")</x:f>
        <x:v>Erişilemedi</x:v>
      </x:c>
      <x:c r="L1574" s="16" t="str">
        <x:v>Erişilemedi</x:v>
      </x:c>
      <x:c r="M1574" s="16" t="str">
        <x:v>Katalog/takip kaydı</x:v>
      </x:c>
      <x:c r="N1574" s="16" t="str">
        <x:v>Instagram veya mevcut kaynak</x:v>
      </x:c>
      <x:c r="O1574" s="16" t="str">
        <x:v>Takip gerekli</x:v>
      </x:c>
      <x:c r="P1574" s="19" t="n">
        <x:v>46245</x:v>
      </x:c>
      <x:c r="Q1574" s="20" t="str">
        <x:v>Erişilemedi</x:v>
      </x:c>
      <x:c r="R1574" s="20" t="str">
        <x:v>Ürün adı, gramaj ve fiyat birlikte çıkarılamadı. Bağlantı manuel inceleme için korundu.</x:v>
      </x:c>
    </x:row>
    <x:row r="1575" ht="40" customHeight="1">
      <x:c r="A1575" s="16" t="str">
        <x:v>Sedirkent Coffee</x:v>
      </x:c>
      <x:c r="B1575" s="16" t="str"/>
      <x:c r="C1575" s="16" t="str">
        <x:v>Doğrulandı</x:v>
      </x:c>
      <x:c r="D1575" s="16" t="str">
        <x:v>Katalog takip kaydı</x:v>
      </x:c>
      <x:c r="E1575" s="16" t="str">
        <x:v>Ürün kataloğu — ayrıntılı ürün verisine erişilemedi</x:v>
      </x:c>
      <x:c r="F1575" s="16" t="str">
        <x:v>Erişilemedi</x:v>
      </x:c>
      <x:c r="G1575" s="17" t="str">
        <x:v>Erişilemedi</x:v>
      </x:c>
      <x:c r="H1575" s="16" t="str">
        <x:v>Erişilemedi</x:v>
      </x:c>
      <x:c r="I1575" s="18" t="str">
        <x:v>Erişilemedi</x:v>
      </x:c>
      <x:c r="J1575" s="18" t="str">
        <x:v>Erişilemedi</x:v>
      </x:c>
      <x:c r="K1575" s="18" t="str">
        <x:f>IF(AND(ISNUMBER(G1575),ISNUMBER(I1575)),I1575/G1575*1000,"Erişilemedi")</x:f>
        <x:v>Erişilemedi</x:v>
      </x:c>
      <x:c r="L1575" s="16" t="str">
        <x:v>Erişilemedi</x:v>
      </x:c>
      <x:c r="M1575" s="16" t="str">
        <x:v>Katalog/takip kaydı</x:v>
      </x:c>
      <x:c r="N1575" s="16" t="str">
        <x:v>Mağaza/katalog bağlantısı</x:v>
      </x:c>
      <x:c r="O1575" s="16" t="str">
        <x:v>Takip gerekli</x:v>
      </x:c>
      <x:c r="P1575" s="19" t="n">
        <x:v>46245</x:v>
      </x:c>
      <x:c r="Q1575" s="20" t="str">
        <x:v>https://www.sedirkent.com.tr/</x:v>
      </x:c>
      <x:c r="R1575" s="20" t="str">
        <x:v>Ürün adı, gramaj ve fiyat birlikte çıkarılamadı. Bağlantı manuel inceleme için korundu.</x:v>
      </x:c>
    </x:row>
    <x:row r="1576" ht="40" customHeight="1">
      <x:c r="A1576" s="16" t="str">
        <x:v>Selamlique İstanbul</x:v>
      </x:c>
      <x:c r="B1576" s="16" t="str">
        <x:v>İstanbul</x:v>
      </x:c>
      <x:c r="C1576" s="16" t="str">
        <x:v>Kısmi doğrulama</x:v>
      </x:c>
      <x:c r="D1576" s="16" t="str">
        <x:v>Katalog takip kaydı</x:v>
      </x:c>
      <x:c r="E1576" s="16" t="str">
        <x:v>Ürün kataloğu — ayrıntılı ürün verisine erişilemedi</x:v>
      </x:c>
      <x:c r="F1576" s="16" t="str">
        <x:v>Erişilemedi</x:v>
      </x:c>
      <x:c r="G1576" s="17" t="str">
        <x:v>Erişilemedi</x:v>
      </x:c>
      <x:c r="H1576" s="16" t="str">
        <x:v>Erişilemedi</x:v>
      </x:c>
      <x:c r="I1576" s="18" t="str">
        <x:v>Erişilemedi</x:v>
      </x:c>
      <x:c r="J1576" s="18" t="str">
        <x:v>Erişilemedi</x:v>
      </x:c>
      <x:c r="K1576" s="18" t="str">
        <x:f>IF(AND(ISNUMBER(G1576),ISNUMBER(I1576)),I1576/G1576*1000,"Erişilemedi")</x:f>
        <x:v>Erişilemedi</x:v>
      </x:c>
      <x:c r="L1576" s="16" t="str">
        <x:v>Erişilemedi</x:v>
      </x:c>
      <x:c r="M1576" s="16" t="str">
        <x:v>Katalog/takip kaydı</x:v>
      </x:c>
      <x:c r="N1576" s="16" t="str">
        <x:v>Instagram veya mevcut kaynak</x:v>
      </x:c>
      <x:c r="O1576" s="16" t="str">
        <x:v>Takip gerekli</x:v>
      </x:c>
      <x:c r="P1576" s="19" t="n">
        <x:v>46245</x:v>
      </x:c>
      <x:c r="Q1576" s="20" t="str">
        <x:v>Erişilemedi</x:v>
      </x:c>
      <x:c r="R1576" s="20" t="str">
        <x:v>Ürün adı, gramaj ve fiyat birlikte çıkarılamadı. Bağlantı manuel inceleme için korundu.</x:v>
      </x:c>
    </x:row>
    <x:row r="1577" ht="40" customHeight="1">
      <x:c r="A1577" s="16" t="str">
        <x:v>Sezy Coffee</x:v>
      </x:c>
      <x:c r="B1577" s="16" t="str">
        <x:v>Ankara</x:v>
      </x:c>
      <x:c r="C1577" s="16" t="str">
        <x:v>Kısmi doğrulama</x:v>
      </x:c>
      <x:c r="D1577" s="16" t="str">
        <x:v>Ürün kaydı</x:v>
      </x:c>
      <x:c r="E1577" s="16" t="str">
        <x:v>Hario Cafe Press U 300 mL</x:v>
      </x:c>
      <x:c r="F1577" s="16" t="str">
        <x:v>Menşe belirtilmemiş</x:v>
      </x:c>
      <x:c r="G1577" s="17" t="str">
        <x:v>Erişilemedi</x:v>
      </x:c>
      <x:c r="H1577" s="16" t="str">
        <x:v>Erişilemedi</x:v>
      </x:c>
      <x:c r="I1577" s="18" t="n">
        <x:v>2200</x:v>
      </x:c>
      <x:c r="J1577" s="18" t="str">
        <x:v>Erişildi</x:v>
      </x:c>
      <x:c r="K1577" s="18" t="str">
        <x:f>IF(AND(ISNUMBER(G1577),ISNUMBER(I1577)),I1577/G1577*1000,"Erişilemedi")</x:f>
        <x:v>Erişilemedi</x:v>
      </x:c>
      <x:c r="L1577" s="16" t="str">
        <x:v>Stokta</x:v>
      </x:c>
      <x:c r="M1577" s="16" t="str">
        <x:v>Kahve ürünü</x:v>
      </x:c>
      <x:c r="N1577" s="16" t="str">
        <x:v>WooCommerce Store API</x:v>
      </x:c>
      <x:c r="O1577" s="16" t="str">
        <x:v>Orta</x:v>
      </x:c>
      <x:c r="P1577" s="19" t="n">
        <x:v>46245</x:v>
      </x:c>
      <x:c r="Q1577" s="20" t="str">
        <x:v>https://sezycoffee.com/urun/hario-cafe-press-u-300-ml/</x:v>
      </x:c>
      <x:c r="R1577" s="20" t="str">
        <x:v>Fiyat veya gramaj eksik olsa da ürün korundu.</x:v>
      </x:c>
    </x:row>
    <x:row r="1578" ht="40" customHeight="1">
      <x:c r="A1578" s="16" t="str">
        <x:v>Sezy Coffee</x:v>
      </x:c>
      <x:c r="B1578" s="16" t="str">
        <x:v>Ankara</x:v>
      </x:c>
      <x:c r="C1578" s="16" t="str">
        <x:v>Kısmi doğrulama</x:v>
      </x:c>
      <x:c r="D1578" s="16" t="str">
        <x:v>Ürün kaydı</x:v>
      </x:c>
      <x:c r="E1578" s="16" t="str">
        <x:v>Hario Cafe Press U 600 mL</x:v>
      </x:c>
      <x:c r="F1578" s="16" t="str">
        <x:v>Menşe belirtilmemiş</x:v>
      </x:c>
      <x:c r="G1578" s="17" t="str">
        <x:v>Erişilemedi</x:v>
      </x:c>
      <x:c r="H1578" s="16" t="str">
        <x:v>Erişilemedi</x:v>
      </x:c>
      <x:c r="I1578" s="18" t="n">
        <x:v>2600</x:v>
      </x:c>
      <x:c r="J1578" s="18" t="str">
        <x:v>Erişildi</x:v>
      </x:c>
      <x:c r="K1578" s="18" t="str">
        <x:f>IF(AND(ISNUMBER(G1578),ISNUMBER(I1578)),I1578/G1578*1000,"Erişilemedi")</x:f>
        <x:v>Erişilemedi</x:v>
      </x:c>
      <x:c r="L1578" s="16" t="str">
        <x:v>Stokta</x:v>
      </x:c>
      <x:c r="M1578" s="16" t="str">
        <x:v>Kahve ürünü</x:v>
      </x:c>
      <x:c r="N1578" s="16" t="str">
        <x:v>WooCommerce Store API</x:v>
      </x:c>
      <x:c r="O1578" s="16" t="str">
        <x:v>Orta</x:v>
      </x:c>
      <x:c r="P1578" s="19" t="n">
        <x:v>46245</x:v>
      </x:c>
      <x:c r="Q1578" s="20" t="str">
        <x:v>https://sezycoffee.com/urun/hario-cafe-press-u-600-ml/</x:v>
      </x:c>
      <x:c r="R1578" s="20" t="str">
        <x:v>Fiyat veya gramaj eksik olsa da ürün korundu.</x:v>
      </x:c>
    </x:row>
    <x:row r="1579" ht="40" customHeight="1">
      <x:c r="A1579" s="16" t="str">
        <x:v>Sezy Coffee</x:v>
      </x:c>
      <x:c r="B1579" s="16" t="str">
        <x:v>Ankara</x:v>
      </x:c>
      <x:c r="C1579" s="16" t="str">
        <x:v>Kısmi doğrulama</x:v>
      </x:c>
      <x:c r="D1579" s="16" t="str">
        <x:v>Ürün kaydı</x:v>
      </x:c>
      <x:c r="E1579" s="16" t="str">
        <x:v>Hario Soğuk Demleme Sürahisi “Kahverengi”</x:v>
      </x:c>
      <x:c r="F1579" s="16" t="str">
        <x:v>Menşe belirtilmemiş</x:v>
      </x:c>
      <x:c r="G1579" s="17" t="n">
        <x:v>80</x:v>
      </x:c>
      <x:c r="H1579" s="16" t="str">
        <x:v>Erişildi</x:v>
      </x:c>
      <x:c r="I1579" s="18" t="n">
        <x:v>2200</x:v>
      </x:c>
      <x:c r="J1579" s="18" t="str">
        <x:v>Erişildi</x:v>
      </x:c>
      <x:c r="K1579" s="18" t="n">
        <x:f>IF(AND(ISNUMBER(G1579),ISNUMBER(I1579)),I1579/G1579*1000,"Erişilemedi")</x:f>
        <x:v>27500</x:v>
      </x:c>
      <x:c r="L1579" s="16" t="str">
        <x:v>Stokta</x:v>
      </x:c>
      <x:c r="M1579" s="16" t="str">
        <x:v>Tek köken/ürün</x:v>
      </x:c>
      <x:c r="N1579" s="16" t="str">
        <x:v>WooCommerce Store API</x:v>
      </x:c>
      <x:c r="O1579" s="16" t="str">
        <x:v>Yüksek</x:v>
      </x:c>
      <x:c r="P1579" s="19" t="n">
        <x:v>46245</x:v>
      </x:c>
      <x:c r="Q1579" s="20" t="str">
        <x:v>https://sezycoffee.com/urun/hario-soguk-demleme-surahisi-kahverengi/</x:v>
      </x:c>
      <x:c r="R1579" s="20" t="str">
        <x:v>Başlık/açıklamada açık gramaj bulunan aktif ürün.</x:v>
      </x:c>
    </x:row>
    <x:row r="1580" ht="40" customHeight="1">
      <x:c r="A1580" s="16" t="str">
        <x:v>Sezy Coffee</x:v>
      </x:c>
      <x:c r="B1580" s="16" t="str">
        <x:v>Ankara</x:v>
      </x:c>
      <x:c r="C1580" s="16" t="str">
        <x:v>Kısmi doğrulama</x:v>
      </x:c>
      <x:c r="D1580" s="16" t="str">
        <x:v>Ürün kaydı</x:v>
      </x:c>
      <x:c r="E1580" s="16" t="str">
        <x:v>Hario Syphon Filtre Bezi ( TCA – 2/3/5 )</x:v>
      </x:c>
      <x:c r="F1580" s="16" t="str">
        <x:v>Menşe belirtilmemiş</x:v>
      </x:c>
      <x:c r="G1580" s="17" t="str">
        <x:v>Erişilemedi</x:v>
      </x:c>
      <x:c r="H1580" s="16" t="str">
        <x:v>Erişilemedi</x:v>
      </x:c>
      <x:c r="I1580" s="18" t="n">
        <x:v>690</x:v>
      </x:c>
      <x:c r="J1580" s="18" t="str">
        <x:v>Erişildi</x:v>
      </x:c>
      <x:c r="K1580" s="18" t="str">
        <x:f>IF(AND(ISNUMBER(G1580),ISNUMBER(I1580)),I1580/G1580*1000,"Erişilemedi")</x:f>
        <x:v>Erişilemedi</x:v>
      </x:c>
      <x:c r="L1580" s="16" t="str">
        <x:v>Stokta</x:v>
      </x:c>
      <x:c r="M1580" s="16" t="str">
        <x:v>Kahve ürünü</x:v>
      </x:c>
      <x:c r="N1580" s="16" t="str">
        <x:v>WooCommerce Store API</x:v>
      </x:c>
      <x:c r="O1580" s="16" t="str">
        <x:v>Orta</x:v>
      </x:c>
      <x:c r="P1580" s="19" t="n">
        <x:v>46245</x:v>
      </x:c>
      <x:c r="Q1580" s="20" t="str">
        <x:v>https://sezycoffee.com/urun/hario-syphon-filtre-bezi/</x:v>
      </x:c>
      <x:c r="R1580" s="20" t="str">
        <x:v>Fiyat veya gramaj eksik olsa da ürün korundu.</x:v>
      </x:c>
    </x:row>
    <x:row r="1581" ht="40" customHeight="1">
      <x:c r="A1581" s="16" t="str">
        <x:v>Sezy Coffee</x:v>
      </x:c>
      <x:c r="B1581" s="16" t="str">
        <x:v>Ankara</x:v>
      </x:c>
      <x:c r="C1581" s="16" t="str">
        <x:v>Kısmi doğrulama</x:v>
      </x:c>
      <x:c r="D1581" s="16" t="str">
        <x:v>Ürün kaydı</x:v>
      </x:c>
      <x:c r="E1581" s="16" t="str">
        <x:v>Hario V60 Ölçü Kaşığı</x:v>
      </x:c>
      <x:c r="F1581" s="16" t="str">
        <x:v>Menşe belirtilmemiş</x:v>
      </x:c>
      <x:c r="G1581" s="17" t="n">
        <x:v>12</x:v>
      </x:c>
      <x:c r="H1581" s="16" t="str">
        <x:v>Erişildi</x:v>
      </x:c>
      <x:c r="I1581" s="18" t="n">
        <x:v>750</x:v>
      </x:c>
      <x:c r="J1581" s="18" t="str">
        <x:v>Erişildi</x:v>
      </x:c>
      <x:c r="K1581" s="18" t="n">
        <x:f>IF(AND(ISNUMBER(G1581),ISNUMBER(I1581)),I1581/G1581*1000,"Erişilemedi")</x:f>
        <x:v>62500</x:v>
      </x:c>
      <x:c r="L1581" s="16" t="str">
        <x:v>Stokta</x:v>
      </x:c>
      <x:c r="M1581" s="16" t="str">
        <x:v>Tek köken/ürün</x:v>
      </x:c>
      <x:c r="N1581" s="16" t="str">
        <x:v>WooCommerce Store API</x:v>
      </x:c>
      <x:c r="O1581" s="16" t="str">
        <x:v>Yüksek</x:v>
      </x:c>
      <x:c r="P1581" s="19" t="n">
        <x:v>46245</x:v>
      </x:c>
      <x:c r="Q1581" s="20" t="str">
        <x:v>https://sezycoffee.com/urun/hario-v60-olcu-kasigi/</x:v>
      </x:c>
      <x:c r="R1581" s="20" t="str">
        <x:v>Başlık/açıklamada açık gramaj bulunan aktif ürün.</x:v>
      </x:c>
    </x:row>
    <x:row r="1582" ht="40" customHeight="1">
      <x:c r="A1582" s="16" t="str">
        <x:v>Shazel</x:v>
      </x:c>
      <x:c r="B1582" s="16" t="str">
        <x:v>Gaziantep</x:v>
      </x:c>
      <x:c r="C1582" s="16" t="str">
        <x:v>Kısmi doğrulama</x:v>
      </x:c>
      <x:c r="D1582" s="16" t="str">
        <x:v>Katalog takip kaydı</x:v>
      </x:c>
      <x:c r="E1582" s="16" t="str">
        <x:v>Ürün kataloğu — ayrıntılı ürün verisine erişilemedi</x:v>
      </x:c>
      <x:c r="F1582" s="16" t="str">
        <x:v>Erişilemedi</x:v>
      </x:c>
      <x:c r="G1582" s="17" t="str">
        <x:v>Erişilemedi</x:v>
      </x:c>
      <x:c r="H1582" s="16" t="str">
        <x:v>Erişilemedi</x:v>
      </x:c>
      <x:c r="I1582" s="18" t="str">
        <x:v>Erişilemedi</x:v>
      </x:c>
      <x:c r="J1582" s="18" t="str">
        <x:v>Erişilemedi</x:v>
      </x:c>
      <x:c r="K1582" s="18" t="str">
        <x:f>IF(AND(ISNUMBER(G1582),ISNUMBER(I1582)),I1582/G1582*1000,"Erişilemedi")</x:f>
        <x:v>Erişilemedi</x:v>
      </x:c>
      <x:c r="L1582" s="16" t="str">
        <x:v>Erişilemedi</x:v>
      </x:c>
      <x:c r="M1582" s="16" t="str">
        <x:v>Katalog/takip kaydı</x:v>
      </x:c>
      <x:c r="N1582" s="16" t="str">
        <x:v>Instagram veya mevcut kaynak</x:v>
      </x:c>
      <x:c r="O1582" s="16" t="str">
        <x:v>Takip gerekli</x:v>
      </x:c>
      <x:c r="P1582" s="19" t="n">
        <x:v>46245</x:v>
      </x:c>
      <x:c r="Q1582" s="20" t="str">
        <x:v>Erişilemedi</x:v>
      </x:c>
      <x:c r="R1582" s="20" t="str">
        <x:v>Ürün adı, gramaj ve fiyat birlikte çıkarılamadı. Bağlantı manuel inceleme için korundu.</x:v>
      </x:c>
    </x:row>
    <x:row r="1583" ht="40" customHeight="1">
      <x:c r="A1583" s="16" t="str">
        <x:v>Spada Coffee</x:v>
      </x:c>
      <x:c r="B1583" s="16" t="str">
        <x:v>İstanbul</x:v>
      </x:c>
      <x:c r="C1583" s="16" t="str">
        <x:v>Kısmi doğrulama</x:v>
      </x:c>
      <x:c r="D1583" s="16" t="str">
        <x:v>Ürün kaydı</x:v>
      </x:c>
      <x:c r="E1583" s="16" t="str">
        <x:v>Brezilya Jorge Takahashi - Bean To Bar Çikolata 45gr</x:v>
      </x:c>
      <x:c r="F1583" s="16" t="str">
        <x:v>Brezilya</x:v>
      </x:c>
      <x:c r="G1583" s="17" t="n">
        <x:v>45</x:v>
      </x:c>
      <x:c r="H1583" s="16" t="str">
        <x:v>Erişildi</x:v>
      </x:c>
      <x:c r="I1583" s="18" t="n">
        <x:v>249</x:v>
      </x:c>
      <x:c r="J1583" s="18" t="str">
        <x:v>Erişildi</x:v>
      </x:c>
      <x:c r="K1583" s="18" t="n">
        <x:f>IF(AND(ISNUMBER(G1583),ISNUMBER(I1583)),I1583/G1583*1000,"Erişilemedi")</x:f>
        <x:v>5533.333333333333</x:v>
      </x:c>
      <x:c r="L1583" s="16" t="str">
        <x:v>Stokta</x:v>
      </x:c>
      <x:c r="M1583" s="16" t="str">
        <x:v>Tek köken/ürün</x:v>
      </x:c>
      <x:c r="N1583" s="16" t="str">
        <x:v>Site haritası + ürün JSON-LD</x:v>
      </x:c>
      <x:c r="O1583" s="16" t="str">
        <x:v>Orta</x:v>
      </x:c>
      <x:c r="P1583" s="19" t="n">
        <x:v>46245</x:v>
      </x:c>
      <x:c r="Q1583" s="20" t="str">
        <x:v>https://spadacoffee.com/brezilya-jorge-takahashi-bean-to-bar-cikolata-45gr</x:v>
      </x:c>
      <x:c r="R1583" s="20" t="str">
        <x:v>Tekil ürün sayfasındaki yapılandırılmış veriden çıkarıldı.</x:v>
      </x:c>
    </x:row>
    <x:row r="1584" ht="40" customHeight="1">
      <x:c r="A1584" s="16" t="str">
        <x:v>Spada Coffee</x:v>
      </x:c>
      <x:c r="B1584" s="16" t="str">
        <x:v>İstanbul</x:v>
      </x:c>
      <x:c r="C1584" s="16" t="str">
        <x:v>Kısmi doğrulama</x:v>
      </x:c>
      <x:c r="D1584" s="16" t="str">
        <x:v>Ürün kaydı</x:v>
      </x:c>
      <x:c r="E1584" s="16" t="str">
        <x:v>Brezilya Jorge Takahashi - Bean To Bar Çikolata 45gr</x:v>
      </x:c>
      <x:c r="F1584" s="16" t="str">
        <x:v>Brezilya</x:v>
      </x:c>
      <x:c r="G1584" s="17" t="n">
        <x:v>45</x:v>
      </x:c>
      <x:c r="H1584" s="16" t="str">
        <x:v>Erişildi</x:v>
      </x:c>
      <x:c r="I1584" s="18" t="n">
        <x:v>850</x:v>
      </x:c>
      <x:c r="J1584" s="18" t="str">
        <x:v>Erişildi</x:v>
      </x:c>
      <x:c r="K1584" s="18" t="n">
        <x:f>IF(AND(ISNUMBER(G1584),ISNUMBER(I1584)),I1584/G1584*1000,"Erişilemedi")</x:f>
        <x:v>18888.88888888889</x:v>
      </x:c>
      <x:c r="L1584" s="16" t="str">
        <x:v>Belirsiz</x:v>
      </x:c>
      <x:c r="M1584" s="16" t="str">
        <x:v>Kahve ürünü</x:v>
      </x:c>
      <x:c r="N1584" s="16" t="str">
        <x:v>Site haritası ürün sayfası</x:v>
      </x:c>
      <x:c r="O1584" s="16" t="str">
        <x:v>Orta</x:v>
      </x:c>
      <x:c r="P1584" s="19" t="n">
        <x:v>46245</x:v>
      </x:c>
      <x:c r="Q1584" s="20" t="str">
        <x:v>https://spadacoffee.com/brezilya-jorge-takahashi-bean-to-bar-cikolata-45gr</x:v>
      </x:c>
      <x:c r="R1584" s="20" t="str">
        <x:v>Ürün kimliği korundu; eksik alanlar erişilemedi olarak işaretlenecek.</x:v>
      </x:c>
    </x:row>
    <x:row r="1585" ht="40" customHeight="1">
      <x:c r="A1585" s="16" t="str">
        <x:v>Spada Coffee</x:v>
      </x:c>
      <x:c r="B1585" s="16" t="str">
        <x:v>İstanbul</x:v>
      </x:c>
      <x:c r="C1585" s="16" t="str">
        <x:v>Kısmi doğrulama</x:v>
      </x:c>
      <x:c r="D1585" s="16" t="str">
        <x:v>Ürün kaydı</x:v>
      </x:c>
      <x:c r="E1585" s="16" t="str">
        <x:v>EL Salvador Hacienda La Carrera - Bean To Bar Çikolata 45gr</x:v>
      </x:c>
      <x:c r="F1585" s="16" t="str">
        <x:v>El Salvador</x:v>
      </x:c>
      <x:c r="G1585" s="17" t="n">
        <x:v>45</x:v>
      </x:c>
      <x:c r="H1585" s="16" t="str">
        <x:v>Erişildi</x:v>
      </x:c>
      <x:c r="I1585" s="18" t="n">
        <x:v>249</x:v>
      </x:c>
      <x:c r="J1585" s="18" t="str">
        <x:v>Erişildi</x:v>
      </x:c>
      <x:c r="K1585" s="18" t="n">
        <x:f>IF(AND(ISNUMBER(G1585),ISNUMBER(I1585)),I1585/G1585*1000,"Erişilemedi")</x:f>
        <x:v>5533.333333333333</x:v>
      </x:c>
      <x:c r="L1585" s="16" t="str">
        <x:v>Stokta</x:v>
      </x:c>
      <x:c r="M1585" s="16" t="str">
        <x:v>Tek köken/ürün</x:v>
      </x:c>
      <x:c r="N1585" s="16" t="str">
        <x:v>Site haritası + ürün JSON-LD</x:v>
      </x:c>
      <x:c r="O1585" s="16" t="str">
        <x:v>Orta</x:v>
      </x:c>
      <x:c r="P1585" s="19" t="n">
        <x:v>46245</x:v>
      </x:c>
      <x:c r="Q1585" s="20" t="str">
        <x:v>https://spadacoffee.com/el-salvador-hacienda-la-carrera-bean-to-bar-cikolata-45gr</x:v>
      </x:c>
      <x:c r="R1585" s="20" t="str">
        <x:v>Tekil ürün sayfasındaki yapılandırılmış veriden çıkarıldı.</x:v>
      </x:c>
    </x:row>
    <x:row r="1586" ht="40" customHeight="1">
      <x:c r="A1586" s="16" t="str">
        <x:v>Spada Coffee</x:v>
      </x:c>
      <x:c r="B1586" s="16" t="str">
        <x:v>İstanbul</x:v>
      </x:c>
      <x:c r="C1586" s="16" t="str">
        <x:v>Kısmi doğrulama</x:v>
      </x:c>
      <x:c r="D1586" s="16" t="str">
        <x:v>Ürün kaydı</x:v>
      </x:c>
      <x:c r="E1586" s="16" t="str">
        <x:v>EL Salvador Hacienda La Carrera - Bean To Bar Çikolata 45gr</x:v>
      </x:c>
      <x:c r="F1586" s="16" t="str">
        <x:v>El Salvador</x:v>
      </x:c>
      <x:c r="G1586" s="17" t="n">
        <x:v>45</x:v>
      </x:c>
      <x:c r="H1586" s="16" t="str">
        <x:v>Erişildi</x:v>
      </x:c>
      <x:c r="I1586" s="18" t="n">
        <x:v>850</x:v>
      </x:c>
      <x:c r="J1586" s="18" t="str">
        <x:v>Erişildi</x:v>
      </x:c>
      <x:c r="K1586" s="18" t="n">
        <x:f>IF(AND(ISNUMBER(G1586),ISNUMBER(I1586)),I1586/G1586*1000,"Erişilemedi")</x:f>
        <x:v>18888.88888888889</x:v>
      </x:c>
      <x:c r="L1586" s="16" t="str">
        <x:v>Belirsiz</x:v>
      </x:c>
      <x:c r="M1586" s="16" t="str">
        <x:v>Kahve ürünü</x:v>
      </x:c>
      <x:c r="N1586" s="16" t="str">
        <x:v>Site haritası ürün sayfası</x:v>
      </x:c>
      <x:c r="O1586" s="16" t="str">
        <x:v>Orta</x:v>
      </x:c>
      <x:c r="P1586" s="19" t="n">
        <x:v>46245</x:v>
      </x:c>
      <x:c r="Q1586" s="20" t="str">
        <x:v>https://spadacoffee.com/el-salvador-hacienda-la-carrera-bean-to-bar-cikolata-45gr</x:v>
      </x:c>
      <x:c r="R1586" s="20" t="str">
        <x:v>Ürün kimliği korundu; eksik alanlar erişilemedi olarak işaretlenecek.</x:v>
      </x:c>
    </x:row>
    <x:row r="1587" ht="40" customHeight="1">
      <x:c r="A1587" s="16" t="str">
        <x:v>Spada Coffee</x:v>
      </x:c>
      <x:c r="B1587" s="16" t="str">
        <x:v>İstanbul</x:v>
      </x:c>
      <x:c r="C1587" s="16" t="str">
        <x:v>Kısmi doğrulama</x:v>
      </x:c>
      <x:c r="D1587" s="16" t="str">
        <x:v>Ürün kaydı</x:v>
      </x:c>
      <x:c r="E1587" s="16" t="str">
        <x:v>El Salvador La Carrera - Karamelize Sütlü Bean To Bar Çikolata 50 gr</x:v>
      </x:c>
      <x:c r="F1587" s="16" t="str">
        <x:v>El Salvador</x:v>
      </x:c>
      <x:c r="G1587" s="17" t="n">
        <x:v>50</x:v>
      </x:c>
      <x:c r="H1587" s="16" t="str">
        <x:v>Erişildi</x:v>
      </x:c>
      <x:c r="I1587" s="18" t="n">
        <x:v>249</x:v>
      </x:c>
      <x:c r="J1587" s="18" t="str">
        <x:v>Erişildi</x:v>
      </x:c>
      <x:c r="K1587" s="18" t="n">
        <x:f>IF(AND(ISNUMBER(G1587),ISNUMBER(I1587)),I1587/G1587*1000,"Erişilemedi")</x:f>
        <x:v>4980</x:v>
      </x:c>
      <x:c r="L1587" s="16" t="str">
        <x:v>Stokta</x:v>
      </x:c>
      <x:c r="M1587" s="16" t="str">
        <x:v>Tek köken/ürün</x:v>
      </x:c>
      <x:c r="N1587" s="16" t="str">
        <x:v>Site haritası + ürün JSON-LD</x:v>
      </x:c>
      <x:c r="O1587" s="16" t="str">
        <x:v>Orta</x:v>
      </x:c>
      <x:c r="P1587" s="19" t="n">
        <x:v>46245</x:v>
      </x:c>
      <x:c r="Q1587" s="20" t="str">
        <x:v>https://spadacoffee.com/el-salvador-la-carrera-karamelize-sutlu-bean-to-bar-cikolata-50-gr</x:v>
      </x:c>
      <x:c r="R1587" s="20" t="str">
        <x:v>Tekil ürün sayfasındaki yapılandırılmış veriden çıkarıldı.</x:v>
      </x:c>
    </x:row>
    <x:row r="1588" ht="40" customHeight="1">
      <x:c r="A1588" s="16" t="str">
        <x:v>Spada Coffee</x:v>
      </x:c>
      <x:c r="B1588" s="16" t="str">
        <x:v>İstanbul</x:v>
      </x:c>
      <x:c r="C1588" s="16" t="str">
        <x:v>Kısmi doğrulama</x:v>
      </x:c>
      <x:c r="D1588" s="16" t="str">
        <x:v>Ürün kaydı</x:v>
      </x:c>
      <x:c r="E1588" s="16" t="str">
        <x:v>El Salvador La Carrera - Karamelize Sütlü Bean To Bar Çikolata 50 gr</x:v>
      </x:c>
      <x:c r="F1588" s="16" t="str">
        <x:v>El Salvador</x:v>
      </x:c>
      <x:c r="G1588" s="17" t="n">
        <x:v>50</x:v>
      </x:c>
      <x:c r="H1588" s="16" t="str">
        <x:v>Erişildi</x:v>
      </x:c>
      <x:c r="I1588" s="18" t="n">
        <x:v>850</x:v>
      </x:c>
      <x:c r="J1588" s="18" t="str">
        <x:v>Erişildi</x:v>
      </x:c>
      <x:c r="K1588" s="18" t="n">
        <x:f>IF(AND(ISNUMBER(G1588),ISNUMBER(I1588)),I1588/G1588*1000,"Erişilemedi")</x:f>
        <x:v>17000</x:v>
      </x:c>
      <x:c r="L1588" s="16" t="str">
        <x:v>Belirsiz</x:v>
      </x:c>
      <x:c r="M1588" s="16" t="str">
        <x:v>Kahve ürünü</x:v>
      </x:c>
      <x:c r="N1588" s="16" t="str">
        <x:v>Site haritası ürün sayfası</x:v>
      </x:c>
      <x:c r="O1588" s="16" t="str">
        <x:v>Orta</x:v>
      </x:c>
      <x:c r="P1588" s="19" t="n">
        <x:v>46245</x:v>
      </x:c>
      <x:c r="Q1588" s="20" t="str">
        <x:v>https://spadacoffee.com/el-salvador-la-carrera-karamelize-sutlu-bean-to-bar-cikolata-50-gr</x:v>
      </x:c>
      <x:c r="R1588" s="20" t="str">
        <x:v>Ürün kimliği korundu; eksik alanlar erişilemedi olarak işaretlenecek.</x:v>
      </x:c>
    </x:row>
    <x:row r="1589" ht="40" customHeight="1">
      <x:c r="A1589" s="16" t="str">
        <x:v>Spada Coffee</x:v>
      </x:c>
      <x:c r="B1589" s="16" t="str">
        <x:v>İstanbul</x:v>
      </x:c>
      <x:c r="C1589" s="16" t="str">
        <x:v>Kısmi doğrulama</x:v>
      </x:c>
      <x:c r="D1589" s="16" t="str">
        <x:v>Ürün kaydı</x:v>
      </x:c>
      <x:c r="E1589" s="16" t="str">
        <x:v>Kolombiya / Las Moras / Natural</x:v>
      </x:c>
      <x:c r="F1589" s="16" t="str">
        <x:v>Kolombiya</x:v>
      </x:c>
      <x:c r="G1589" s="17" t="n">
        <x:v>15</x:v>
      </x:c>
      <x:c r="H1589" s="16" t="str">
        <x:v>Erişildi</x:v>
      </x:c>
      <x:c r="I1589" s="18" t="n">
        <x:v>760</x:v>
      </x:c>
      <x:c r="J1589" s="18" t="str">
        <x:v>Erişildi</x:v>
      </x:c>
      <x:c r="K1589" s="18" t="n">
        <x:f>IF(AND(ISNUMBER(G1589),ISNUMBER(I1589)),I1589/G1589*1000,"Erişilemedi")</x:f>
        <x:v>50666.666666666664</x:v>
      </x:c>
      <x:c r="L1589" s="16" t="str">
        <x:v>Stokta</x:v>
      </x:c>
      <x:c r="M1589" s="16" t="str">
        <x:v>Tek köken/ürün</x:v>
      </x:c>
      <x:c r="N1589" s="16" t="str">
        <x:v>Site haritası + ürün JSON-LD</x:v>
      </x:c>
      <x:c r="O1589" s="16" t="str">
        <x:v>Orta</x:v>
      </x:c>
      <x:c r="P1589" s="19" t="n">
        <x:v>46245</x:v>
      </x:c>
      <x:c r="Q1589" s="20" t="str">
        <x:v>https://spadacoffee.com/kolombiya-las-moras-natural</x:v>
      </x:c>
      <x:c r="R1589" s="20" t="str">
        <x:v>Tekil ürün sayfasındaki yapılandırılmış veriden çıkarıldı.</x:v>
      </x:c>
    </x:row>
    <x:row r="1590" ht="40" customHeight="1">
      <x:c r="A1590" s="16" t="str">
        <x:v>Spada Coffee</x:v>
      </x:c>
      <x:c r="B1590" s="16" t="str">
        <x:v>İstanbul</x:v>
      </x:c>
      <x:c r="C1590" s="16" t="str">
        <x:v>Kısmi doğrulama</x:v>
      </x:c>
      <x:c r="D1590" s="16" t="str">
        <x:v>Ürün kaydı</x:v>
      </x:c>
      <x:c r="E1590" s="16" t="str">
        <x:v>Kolombiya / Las Moras / Natural</x:v>
      </x:c>
      <x:c r="F1590" s="16" t="str">
        <x:v>Kolombiya</x:v>
      </x:c>
      <x:c r="G1590" s="17" t="n">
        <x:v>15</x:v>
      </x:c>
      <x:c r="H1590" s="16" t="str">
        <x:v>Erişildi</x:v>
      </x:c>
      <x:c r="I1590" s="18" t="n">
        <x:v>850</x:v>
      </x:c>
      <x:c r="J1590" s="18" t="str">
        <x:v>Erişildi</x:v>
      </x:c>
      <x:c r="K1590" s="18" t="n">
        <x:f>IF(AND(ISNUMBER(G1590),ISNUMBER(I1590)),I1590/G1590*1000,"Erişilemedi")</x:f>
        <x:v>56666.666666666664</x:v>
      </x:c>
      <x:c r="L1590" s="16" t="str">
        <x:v>Belirsiz</x:v>
      </x:c>
      <x:c r="M1590" s="16" t="str">
        <x:v>Kahve ürünü</x:v>
      </x:c>
      <x:c r="N1590" s="16" t="str">
        <x:v>Site haritası ürün sayfası</x:v>
      </x:c>
      <x:c r="O1590" s="16" t="str">
        <x:v>Orta</x:v>
      </x:c>
      <x:c r="P1590" s="19" t="n">
        <x:v>46245</x:v>
      </x:c>
      <x:c r="Q1590" s="20" t="str">
        <x:v>https://spadacoffee.com/kolombiya-las-moras-natural</x:v>
      </x:c>
      <x:c r="R1590" s="20" t="str">
        <x:v>Ürün kimliği korundu; eksik alanlar erişilemedi olarak işaretlenecek.</x:v>
      </x:c>
    </x:row>
    <x:row r="1591" ht="40" customHeight="1">
      <x:c r="A1591" s="16" t="str">
        <x:v>Spada Coffee</x:v>
      </x:c>
      <x:c r="B1591" s="16" t="str">
        <x:v>İstanbul</x:v>
      </x:c>
      <x:c r="C1591" s="16" t="str">
        <x:v>Kısmi doğrulama</x:v>
      </x:c>
      <x:c r="D1591" s="16" t="str">
        <x:v>Ürün kaydı</x:v>
      </x:c>
      <x:c r="E1591" s="16" t="str">
        <x:v>KOLOMBİYA / PINK BOURBON / NATURAL</x:v>
      </x:c>
      <x:c r="F1591" s="16" t="str">
        <x:v>Kolombiya</x:v>
      </x:c>
      <x:c r="G1591" s="17" t="n">
        <x:v>15</x:v>
      </x:c>
      <x:c r="H1591" s="16" t="str">
        <x:v>Erişildi</x:v>
      </x:c>
      <x:c r="I1591" s="18" t="n">
        <x:v>750</x:v>
      </x:c>
      <x:c r="J1591" s="18" t="str">
        <x:v>Erişildi</x:v>
      </x:c>
      <x:c r="K1591" s="18" t="n">
        <x:f>IF(AND(ISNUMBER(G1591),ISNUMBER(I1591)),I1591/G1591*1000,"Erişilemedi")</x:f>
        <x:v>50000</x:v>
      </x:c>
      <x:c r="L1591" s="16" t="str">
        <x:v>Stokta</x:v>
      </x:c>
      <x:c r="M1591" s="16" t="str">
        <x:v>Tek köken/ürün</x:v>
      </x:c>
      <x:c r="N1591" s="16" t="str">
        <x:v>Site haritası + ürün JSON-LD</x:v>
      </x:c>
      <x:c r="O1591" s="16" t="str">
        <x:v>Orta</x:v>
      </x:c>
      <x:c r="P1591" s="19" t="n">
        <x:v>46245</x:v>
      </x:c>
      <x:c r="Q1591" s="20" t="str">
        <x:v>https://spadacoffee.com/kolombiya-pink-bourbon-natural</x:v>
      </x:c>
      <x:c r="R1591" s="20" t="str">
        <x:v>Tekil ürün sayfasındaki yapılandırılmış veriden çıkarıldı.</x:v>
      </x:c>
    </x:row>
    <x:row r="1592" ht="40" customHeight="1">
      <x:c r="A1592" s="16" t="str">
        <x:v>Spada Coffee</x:v>
      </x:c>
      <x:c r="B1592" s="16" t="str">
        <x:v>İstanbul</x:v>
      </x:c>
      <x:c r="C1592" s="16" t="str">
        <x:v>Kısmi doğrulama</x:v>
      </x:c>
      <x:c r="D1592" s="16" t="str">
        <x:v>Ürün kaydı</x:v>
      </x:c>
      <x:c r="E1592" s="16" t="str">
        <x:v>KOLOMBİYA / PINK BOURBON / NATURAL</x:v>
      </x:c>
      <x:c r="F1592" s="16" t="str">
        <x:v>Kolombiya</x:v>
      </x:c>
      <x:c r="G1592" s="17" t="n">
        <x:v>15</x:v>
      </x:c>
      <x:c r="H1592" s="16" t="str">
        <x:v>Erişildi</x:v>
      </x:c>
      <x:c r="I1592" s="18" t="n">
        <x:v>850</x:v>
      </x:c>
      <x:c r="J1592" s="18" t="str">
        <x:v>Erişildi</x:v>
      </x:c>
      <x:c r="K1592" s="18" t="n">
        <x:f>IF(AND(ISNUMBER(G1592),ISNUMBER(I1592)),I1592/G1592*1000,"Erişilemedi")</x:f>
        <x:v>56666.666666666664</x:v>
      </x:c>
      <x:c r="L1592" s="16" t="str">
        <x:v>Belirsiz</x:v>
      </x:c>
      <x:c r="M1592" s="16" t="str">
        <x:v>Kahve ürünü</x:v>
      </x:c>
      <x:c r="N1592" s="16" t="str">
        <x:v>Site haritası ürün sayfası</x:v>
      </x:c>
      <x:c r="O1592" s="16" t="str">
        <x:v>Orta</x:v>
      </x:c>
      <x:c r="P1592" s="19" t="n">
        <x:v>46245</x:v>
      </x:c>
      <x:c r="Q1592" s="20" t="str">
        <x:v>https://spadacoffee.com/kolombiya-pink-bourbon-natural</x:v>
      </x:c>
      <x:c r="R1592" s="20" t="str">
        <x:v>Ürün kimliği korundu; eksik alanlar erişilemedi olarak işaretlenecek.</x:v>
      </x:c>
    </x:row>
    <x:row r="1593" ht="40" customHeight="1">
      <x:c r="A1593" s="16" t="str">
        <x:v>Spada Coffee</x:v>
      </x:c>
      <x:c r="B1593" s="16" t="str">
        <x:v>İstanbul</x:v>
      </x:c>
      <x:c r="C1593" s="16" t="str">
        <x:v>Kısmi doğrulama</x:v>
      </x:c>
      <x:c r="D1593" s="16" t="str">
        <x:v>Ürün kaydı</x:v>
      </x:c>
      <x:c r="E1593" s="16" t="str">
        <x:v>Kolombiya / Popayan / Yıkanmış</x:v>
      </x:c>
      <x:c r="F1593" s="16" t="str">
        <x:v>Kolombiya</x:v>
      </x:c>
      <x:c r="G1593" s="17" t="str">
        <x:v>Erişilemedi</x:v>
      </x:c>
      <x:c r="H1593" s="16" t="str">
        <x:v>Erişilemedi</x:v>
      </x:c>
      <x:c r="I1593" s="18" t="n">
        <x:v>850</x:v>
      </x:c>
      <x:c r="J1593" s="18" t="str">
        <x:v>Erişildi</x:v>
      </x:c>
      <x:c r="K1593" s="18" t="str">
        <x:f>IF(AND(ISNUMBER(G1593),ISNUMBER(I1593)),I1593/G1593*1000,"Erişilemedi")</x:f>
        <x:v>Erişilemedi</x:v>
      </x:c>
      <x:c r="L1593" s="16" t="str">
        <x:v>Belirsiz</x:v>
      </x:c>
      <x:c r="M1593" s="16" t="str">
        <x:v>Kahve ürünü</x:v>
      </x:c>
      <x:c r="N1593" s="16" t="str">
        <x:v>Site haritası ürün sayfası</x:v>
      </x:c>
      <x:c r="O1593" s="16" t="str">
        <x:v>Düşük</x:v>
      </x:c>
      <x:c r="P1593" s="19" t="n">
        <x:v>46245</x:v>
      </x:c>
      <x:c r="Q1593" s="20" t="str">
        <x:v>https://spadacoffee.com/kolombiya-popayan-yikanmis</x:v>
      </x:c>
      <x:c r="R1593" s="20" t="str">
        <x:v>Ürün kimliği korundu; eksik alanlar erişilemedi olarak işaretlenecek.</x:v>
      </x:c>
    </x:row>
    <x:row r="1594" ht="40" customHeight="1">
      <x:c r="A1594" s="16" t="str">
        <x:v>Spada Coffee</x:v>
      </x:c>
      <x:c r="B1594" s="16" t="str">
        <x:v>İstanbul</x:v>
      </x:c>
      <x:c r="C1594" s="16" t="str">
        <x:v>Kısmi doğrulama</x:v>
      </x:c>
      <x:c r="D1594" s="16" t="str">
        <x:v>Ürün kaydı</x:v>
      </x:c>
      <x:c r="E1594" s="16" t="str">
        <x:v>Kolombiya Opita - Bean To Bar Çikolata 45gr</x:v>
      </x:c>
      <x:c r="F1594" s="16" t="str">
        <x:v>Kolombiya</x:v>
      </x:c>
      <x:c r="G1594" s="17" t="n">
        <x:v>45</x:v>
      </x:c>
      <x:c r="H1594" s="16" t="str">
        <x:v>Erişildi</x:v>
      </x:c>
      <x:c r="I1594" s="18" t="n">
        <x:v>249</x:v>
      </x:c>
      <x:c r="J1594" s="18" t="str">
        <x:v>Erişildi</x:v>
      </x:c>
      <x:c r="K1594" s="18" t="n">
        <x:f>IF(AND(ISNUMBER(G1594),ISNUMBER(I1594)),I1594/G1594*1000,"Erişilemedi")</x:f>
        <x:v>5533.333333333333</x:v>
      </x:c>
      <x:c r="L1594" s="16" t="str">
        <x:v>Stokta</x:v>
      </x:c>
      <x:c r="M1594" s="16" t="str">
        <x:v>Tek köken/ürün</x:v>
      </x:c>
      <x:c r="N1594" s="16" t="str">
        <x:v>Site haritası + ürün JSON-LD</x:v>
      </x:c>
      <x:c r="O1594" s="16" t="str">
        <x:v>Orta</x:v>
      </x:c>
      <x:c r="P1594" s="19" t="n">
        <x:v>46245</x:v>
      </x:c>
      <x:c r="Q1594" s="20" t="str">
        <x:v>https://spadacoffee.com/kolombiya-opita-bean-to-bar-cikolata-45gr</x:v>
      </x:c>
      <x:c r="R1594" s="20" t="str">
        <x:v>Tekil ürün sayfasındaki yapılandırılmış veriden çıkarıldı.</x:v>
      </x:c>
    </x:row>
    <x:row r="1595" ht="40" customHeight="1">
      <x:c r="A1595" s="16" t="str">
        <x:v>Spada Coffee</x:v>
      </x:c>
      <x:c r="B1595" s="16" t="str">
        <x:v>İstanbul</x:v>
      </x:c>
      <x:c r="C1595" s="16" t="str">
        <x:v>Kısmi doğrulama</x:v>
      </x:c>
      <x:c r="D1595" s="16" t="str">
        <x:v>Ürün kaydı</x:v>
      </x:c>
      <x:c r="E1595" s="16" t="str">
        <x:v>Kolombiya Opita - Bean To Bar Çikolata 45gr</x:v>
      </x:c>
      <x:c r="F1595" s="16" t="str">
        <x:v>Kolombiya</x:v>
      </x:c>
      <x:c r="G1595" s="17" t="n">
        <x:v>45</x:v>
      </x:c>
      <x:c r="H1595" s="16" t="str">
        <x:v>Erişildi</x:v>
      </x:c>
      <x:c r="I1595" s="18" t="n">
        <x:v>850</x:v>
      </x:c>
      <x:c r="J1595" s="18" t="str">
        <x:v>Erişildi</x:v>
      </x:c>
      <x:c r="K1595" s="18" t="n">
        <x:f>IF(AND(ISNUMBER(G1595),ISNUMBER(I1595)),I1595/G1595*1000,"Erişilemedi")</x:f>
        <x:v>18888.88888888889</x:v>
      </x:c>
      <x:c r="L1595" s="16" t="str">
        <x:v>Belirsiz</x:v>
      </x:c>
      <x:c r="M1595" s="16" t="str">
        <x:v>Kahve ürünü</x:v>
      </x:c>
      <x:c r="N1595" s="16" t="str">
        <x:v>Site haritası ürün sayfası</x:v>
      </x:c>
      <x:c r="O1595" s="16" t="str">
        <x:v>Orta</x:v>
      </x:c>
      <x:c r="P1595" s="19" t="n">
        <x:v>46245</x:v>
      </x:c>
      <x:c r="Q1595" s="20" t="str">
        <x:v>https://spadacoffee.com/kolombiya-opita-bean-to-bar-cikolata-45gr</x:v>
      </x:c>
      <x:c r="R1595" s="20" t="str">
        <x:v>Ürün kimliği korundu; eksik alanlar erişilemedi olarak işaretlenecek.</x:v>
      </x:c>
    </x:row>
    <x:row r="1596" ht="40" customHeight="1">
      <x:c r="A1596" s="16" t="str">
        <x:v>Spada Coffee</x:v>
      </x:c>
      <x:c r="B1596" s="16" t="str">
        <x:v>İstanbul</x:v>
      </x:c>
      <x:c r="C1596" s="16" t="str">
        <x:v>Kısmi doğrulama</x:v>
      </x:c>
      <x:c r="D1596" s="16" t="str">
        <x:v>Ürün kaydı</x:v>
      </x:c>
      <x:c r="E1596" s="16" t="str">
        <x:v>Kosta Rika / Hacienda Colima / Natural</x:v>
      </x:c>
      <x:c r="F1596" s="16" t="str">
        <x:v>Kosta Rika</x:v>
      </x:c>
      <x:c r="G1596" s="17" t="str">
        <x:v>Erişilemedi</x:v>
      </x:c>
      <x:c r="H1596" s="16" t="str">
        <x:v>Erişilemedi</x:v>
      </x:c>
      <x:c r="I1596" s="18" t="n">
        <x:v>850</x:v>
      </x:c>
      <x:c r="J1596" s="18" t="str">
        <x:v>Erişildi</x:v>
      </x:c>
      <x:c r="K1596" s="18" t="str">
        <x:f>IF(AND(ISNUMBER(G1596),ISNUMBER(I1596)),I1596/G1596*1000,"Erişilemedi")</x:f>
        <x:v>Erişilemedi</x:v>
      </x:c>
      <x:c r="L1596" s="16" t="str">
        <x:v>Belirsiz</x:v>
      </x:c>
      <x:c r="M1596" s="16" t="str">
        <x:v>Kahve ürünü</x:v>
      </x:c>
      <x:c r="N1596" s="16" t="str">
        <x:v>Site haritası ürün sayfası</x:v>
      </x:c>
      <x:c r="O1596" s="16" t="str">
        <x:v>Düşük</x:v>
      </x:c>
      <x:c r="P1596" s="19" t="n">
        <x:v>46245</x:v>
      </x:c>
      <x:c r="Q1596" s="20" t="str">
        <x:v>https://spadacoffee.com/kosta-rika-hacienda-colima-natural</x:v>
      </x:c>
      <x:c r="R1596" s="20" t="str">
        <x:v>Ürün kimliği korundu; eksik alanlar erişilemedi olarak işaretlenecek.</x:v>
      </x:c>
    </x:row>
    <x:row r="1597" ht="40" customHeight="1">
      <x:c r="A1597" s="16" t="str">
        <x:v>Spada Coffee</x:v>
      </x:c>
      <x:c r="B1597" s="16" t="str">
        <x:v>İstanbul</x:v>
      </x:c>
      <x:c r="C1597" s="16" t="str">
        <x:v>Kısmi doğrulama</x:v>
      </x:c>
      <x:c r="D1597" s="16" t="str">
        <x:v>Ürün kaydı</x:v>
      </x:c>
      <x:c r="E1597" s="16" t="str">
        <x:v>Kosta Rika / Las Lajas / Natural</x:v>
      </x:c>
      <x:c r="F1597" s="16" t="str">
        <x:v>Kosta Rika</x:v>
      </x:c>
      <x:c r="G1597" s="17" t="str">
        <x:v>Erişilemedi</x:v>
      </x:c>
      <x:c r="H1597" s="16" t="str">
        <x:v>Erişilemedi</x:v>
      </x:c>
      <x:c r="I1597" s="18" t="n">
        <x:v>850</x:v>
      </x:c>
      <x:c r="J1597" s="18" t="str">
        <x:v>Erişildi</x:v>
      </x:c>
      <x:c r="K1597" s="18" t="str">
        <x:f>IF(AND(ISNUMBER(G1597),ISNUMBER(I1597)),I1597/G1597*1000,"Erişilemedi")</x:f>
        <x:v>Erişilemedi</x:v>
      </x:c>
      <x:c r="L1597" s="16" t="str">
        <x:v>Belirsiz</x:v>
      </x:c>
      <x:c r="M1597" s="16" t="str">
        <x:v>Kahve ürünü</x:v>
      </x:c>
      <x:c r="N1597" s="16" t="str">
        <x:v>Site haritası ürün sayfası</x:v>
      </x:c>
      <x:c r="O1597" s="16" t="str">
        <x:v>Düşük</x:v>
      </x:c>
      <x:c r="P1597" s="19" t="n">
        <x:v>46245</x:v>
      </x:c>
      <x:c r="Q1597" s="20" t="str">
        <x:v>https://spadacoffee.com/kosta-rika-las-lajas-natural</x:v>
      </x:c>
      <x:c r="R1597" s="20" t="str">
        <x:v>Ürün kimliği korundu; eksik alanlar erişilemedi olarak işaretlenecek.</x:v>
      </x:c>
    </x:row>
    <x:row r="1598" ht="40" customHeight="1">
      <x:c r="A1598" s="16" t="str">
        <x:v>Spada Coffee</x:v>
      </x:c>
      <x:c r="B1598" s="16" t="str">
        <x:v>İstanbul</x:v>
      </x:c>
      <x:c r="C1598" s="16" t="str">
        <x:v>Kısmi doğrulama</x:v>
      </x:c>
      <x:c r="D1598" s="16" t="str">
        <x:v>Ürün kaydı</x:v>
      </x:c>
      <x:c r="E1598" s="16" t="str">
        <x:v>Motion / Natural</x:v>
      </x:c>
      <x:c r="F1598" s="16" t="str">
        <x:v>Brezilya</x:v>
      </x:c>
      <x:c r="G1598" s="17" t="str">
        <x:v>Erişilemedi</x:v>
      </x:c>
      <x:c r="H1598" s="16" t="str">
        <x:v>Erişilemedi</x:v>
      </x:c>
      <x:c r="I1598" s="18" t="n">
        <x:v>850</x:v>
      </x:c>
      <x:c r="J1598" s="18" t="str">
        <x:v>Erişildi</x:v>
      </x:c>
      <x:c r="K1598" s="18" t="str">
        <x:f>IF(AND(ISNUMBER(G1598),ISNUMBER(I1598)),I1598/G1598*1000,"Erişilemedi")</x:f>
        <x:v>Erişilemedi</x:v>
      </x:c>
      <x:c r="L1598" s="16" t="str">
        <x:v>Belirsiz</x:v>
      </x:c>
      <x:c r="M1598" s="16" t="str">
        <x:v>Kahve ürünü</x:v>
      </x:c>
      <x:c r="N1598" s="16" t="str">
        <x:v>Site haritası ürün sayfası</x:v>
      </x:c>
      <x:c r="O1598" s="16" t="str">
        <x:v>Düşük</x:v>
      </x:c>
      <x:c r="P1598" s="19" t="n">
        <x:v>46245</x:v>
      </x:c>
      <x:c r="Q1598" s="20" t="str">
        <x:v>https://spadacoffee.com/motion-natural-espresso</x:v>
      </x:c>
      <x:c r="R1598" s="20" t="str">
        <x:v>Ürün kimliği korundu; eksik alanlar erişilemedi olarak işaretlenecek.</x:v>
      </x:c>
    </x:row>
    <x:row r="1599" ht="40" customHeight="1">
      <x:c r="A1599" s="16" t="str">
        <x:v>Spada Coffee</x:v>
      </x:c>
      <x:c r="B1599" s="16" t="str">
        <x:v>İstanbul</x:v>
      </x:c>
      <x:c r="C1599" s="16" t="str">
        <x:v>Kısmi doğrulama</x:v>
      </x:c>
      <x:c r="D1599" s="16" t="str">
        <x:v>Ürün kaydı</x:v>
      </x:c>
      <x:c r="E1599" s="16" t="str">
        <x:v>Motion Dark / Natural</x:v>
      </x:c>
      <x:c r="F1599" s="16" t="str">
        <x:v>Brezilya</x:v>
      </x:c>
      <x:c r="G1599" s="17" t="str">
        <x:v>Erişilemedi</x:v>
      </x:c>
      <x:c r="H1599" s="16" t="str">
        <x:v>Erişilemedi</x:v>
      </x:c>
      <x:c r="I1599" s="18" t="n">
        <x:v>850</x:v>
      </x:c>
      <x:c r="J1599" s="18" t="str">
        <x:v>Erişildi</x:v>
      </x:c>
      <x:c r="K1599" s="18" t="str">
        <x:f>IF(AND(ISNUMBER(G1599),ISNUMBER(I1599)),I1599/G1599*1000,"Erişilemedi")</x:f>
        <x:v>Erişilemedi</x:v>
      </x:c>
      <x:c r="L1599" s="16" t="str">
        <x:v>Belirsiz</x:v>
      </x:c>
      <x:c r="M1599" s="16" t="str">
        <x:v>Harman</x:v>
      </x:c>
      <x:c r="N1599" s="16" t="str">
        <x:v>Site haritası ürün sayfası</x:v>
      </x:c>
      <x:c r="O1599" s="16" t="str">
        <x:v>Düşük</x:v>
      </x:c>
      <x:c r="P1599" s="19" t="n">
        <x:v>46245</x:v>
      </x:c>
      <x:c r="Q1599" s="20" t="str">
        <x:v>https://spadacoffee.com/motion-dark-natural</x:v>
      </x:c>
      <x:c r="R1599" s="20" t="str">
        <x:v>Ürün kimliği korundu; eksik alanlar erişilemedi olarak işaretlenecek.</x:v>
      </x:c>
    </x:row>
    <x:row r="1600" ht="40" customHeight="1">
      <x:c r="A1600" s="16" t="str">
        <x:v>Spada Coffee</x:v>
      </x:c>
      <x:c r="B1600" s="16" t="str">
        <x:v>İstanbul</x:v>
      </x:c>
      <x:c r="C1600" s="16" t="str">
        <x:v>Kısmi doğrulama</x:v>
      </x:c>
      <x:c r="D1600" s="16" t="str">
        <x:v>Ürün kaydı</x:v>
      </x:c>
      <x:c r="E1600" s="16" t="str">
        <x:v>Pome / Natural</x:v>
      </x:c>
      <x:c r="F1600" s="16" t="str">
        <x:v>Menşe belirtilmemiş</x:v>
      </x:c>
      <x:c r="G1600" s="17" t="str">
        <x:v>Erişilemedi</x:v>
      </x:c>
      <x:c r="H1600" s="16" t="str">
        <x:v>Erişilemedi</x:v>
      </x:c>
      <x:c r="I1600" s="18" t="n">
        <x:v>850</x:v>
      </x:c>
      <x:c r="J1600" s="18" t="str">
        <x:v>Erişildi</x:v>
      </x:c>
      <x:c r="K1600" s="18" t="str">
        <x:f>IF(AND(ISNUMBER(G1600),ISNUMBER(I1600)),I1600/G1600*1000,"Erişilemedi")</x:f>
        <x:v>Erişilemedi</x:v>
      </x:c>
      <x:c r="L1600" s="16" t="str">
        <x:v>Belirsiz</x:v>
      </x:c>
      <x:c r="M1600" s="16" t="str">
        <x:v>Kahve ürünü</x:v>
      </x:c>
      <x:c r="N1600" s="16" t="str">
        <x:v>Site haritası ürün sayfası</x:v>
      </x:c>
      <x:c r="O1600" s="16" t="str">
        <x:v>Düşük</x:v>
      </x:c>
      <x:c r="P1600" s="19" t="n">
        <x:v>46245</x:v>
      </x:c>
      <x:c r="Q1600" s="20" t="str">
        <x:v>https://spadacoffee.com/pome-natural</x:v>
      </x:c>
      <x:c r="R1600" s="20" t="str">
        <x:v>Ürün kimliği korundu; eksik alanlar erişilemedi olarak işaretlenecek.</x:v>
      </x:c>
    </x:row>
    <x:row r="1601" ht="40" customHeight="1">
      <x:c r="A1601" s="16" t="str">
        <x:v>Spada Coffee</x:v>
      </x:c>
      <x:c r="B1601" s="16" t="str">
        <x:v>İstanbul</x:v>
      </x:c>
      <x:c r="C1601" s="16" t="str">
        <x:v>Kısmi doğrulama</x:v>
      </x:c>
      <x:c r="D1601" s="16" t="str">
        <x:v>Ürün kaydı</x:v>
      </x:c>
      <x:c r="E1601" s="16" t="str">
        <x:v>Puly Caff Puly Grind 10&amp;#x27;lu Paket</x:v>
      </x:c>
      <x:c r="F1601" s="16" t="str">
        <x:v>Menşe belirtilmemiş</x:v>
      </x:c>
      <x:c r="G1601" s="17" t="str">
        <x:v>Erişilemedi</x:v>
      </x:c>
      <x:c r="H1601" s="16" t="str">
        <x:v>Erişilemedi</x:v>
      </x:c>
      <x:c r="I1601" s="18" t="n">
        <x:v>850</x:v>
      </x:c>
      <x:c r="J1601" s="18" t="str">
        <x:v>Erişildi</x:v>
      </x:c>
      <x:c r="K1601" s="18" t="str">
        <x:f>IF(AND(ISNUMBER(G1601),ISNUMBER(I1601)),I1601/G1601*1000,"Erişilemedi")</x:f>
        <x:v>Erişilemedi</x:v>
      </x:c>
      <x:c r="L1601" s="16" t="str">
        <x:v>Belirsiz</x:v>
      </x:c>
      <x:c r="M1601" s="16" t="str">
        <x:v>Kahve ürünü</x:v>
      </x:c>
      <x:c r="N1601" s="16" t="str">
        <x:v>Site haritası ürün sayfası</x:v>
      </x:c>
      <x:c r="O1601" s="16" t="str">
        <x:v>Düşük</x:v>
      </x:c>
      <x:c r="P1601" s="19" t="n">
        <x:v>46245</x:v>
      </x:c>
      <x:c r="Q1601" s="20" t="str">
        <x:v>https://spadacoffee.com/puly-caff-puly-grind-10lu-paket</x:v>
      </x:c>
      <x:c r="R1601" s="20" t="str">
        <x:v>Ürün kimliği korundu; eksik alanlar erişilemedi olarak işaretlenecek.</x:v>
      </x:c>
    </x:row>
    <x:row r="1602" ht="40" customHeight="1">
      <x:c r="A1602" s="16" t="str">
        <x:v>Spada Coffee</x:v>
      </x:c>
      <x:c r="B1602" s="16" t="str">
        <x:v>İstanbul</x:v>
      </x:c>
      <x:c r="C1602" s="16" t="str">
        <x:v>Kısmi doğrulama</x:v>
      </x:c>
      <x:c r="D1602" s="16" t="str">
        <x:v>Ürün kaydı</x:v>
      </x:c>
      <x:c r="E1602" s="16" t="str">
        <x:v>Puly Milk Pulycaff Süt Temizleme Solisyonu</x:v>
      </x:c>
      <x:c r="F1602" s="16" t="str">
        <x:v>Menşe belirtilmemiş</x:v>
      </x:c>
      <x:c r="G1602" s="17" t="str">
        <x:v>Erişilemedi</x:v>
      </x:c>
      <x:c r="H1602" s="16" t="str">
        <x:v>Erişilemedi</x:v>
      </x:c>
      <x:c r="I1602" s="18" t="n">
        <x:v>850</x:v>
      </x:c>
      <x:c r="J1602" s="18" t="str">
        <x:v>Erişildi</x:v>
      </x:c>
      <x:c r="K1602" s="18" t="str">
        <x:f>IF(AND(ISNUMBER(G1602),ISNUMBER(I1602)),I1602/G1602*1000,"Erişilemedi")</x:f>
        <x:v>Erişilemedi</x:v>
      </x:c>
      <x:c r="L1602" s="16" t="str">
        <x:v>Belirsiz</x:v>
      </x:c>
      <x:c r="M1602" s="16" t="str">
        <x:v>Kahve ürünü</x:v>
      </x:c>
      <x:c r="N1602" s="16" t="str">
        <x:v>Site haritası ürün sayfası</x:v>
      </x:c>
      <x:c r="O1602" s="16" t="str">
        <x:v>Düşük</x:v>
      </x:c>
      <x:c r="P1602" s="19" t="n">
        <x:v>46245</x:v>
      </x:c>
      <x:c r="Q1602" s="20" t="str">
        <x:v>https://spadacoffee.com/puly-milk-pulycaff-sut-temizleme-solisyonu</x:v>
      </x:c>
      <x:c r="R1602" s="20" t="str">
        <x:v>Ürün kimliği korundu; eksik alanlar erişilemedi olarak işaretlenecek.</x:v>
      </x:c>
    </x:row>
    <x:row r="1603" ht="40" customHeight="1">
      <x:c r="A1603" s="16" t="str">
        <x:v>Spada Coffee</x:v>
      </x:c>
      <x:c r="B1603" s="16" t="str">
        <x:v>İstanbul</x:v>
      </x:c>
      <x:c r="C1603" s="16" t="str">
        <x:v>Kısmi doğrulama</x:v>
      </x:c>
      <x:c r="D1603" s="16" t="str">
        <x:v>Ürün kaydı</x:v>
      </x:c>
      <x:c r="E1603" s="16" t="str">
        <x:v>Pulycaff Puly Caff Powder 900 gr</x:v>
      </x:c>
      <x:c r="F1603" s="16" t="str">
        <x:v>Menşe belirtilmemiş</x:v>
      </x:c>
      <x:c r="G1603" s="17" t="n">
        <x:v>900</x:v>
      </x:c>
      <x:c r="H1603" s="16" t="str">
        <x:v>Erişildi</x:v>
      </x:c>
      <x:c r="I1603" s="18" t="n">
        <x:v>799</x:v>
      </x:c>
      <x:c r="J1603" s="18" t="str">
        <x:v>Erişildi</x:v>
      </x:c>
      <x:c r="K1603" s="18" t="n">
        <x:f>IF(AND(ISNUMBER(G1603),ISNUMBER(I1603)),I1603/G1603*1000,"Erişilemedi")</x:f>
        <x:v>887.7777777777778</x:v>
      </x:c>
      <x:c r="L1603" s="16" t="str">
        <x:v>Stokta</x:v>
      </x:c>
      <x:c r="M1603" s="16" t="str">
        <x:v>Tek köken/ürün</x:v>
      </x:c>
      <x:c r="N1603" s="16" t="str">
        <x:v>Site haritası + ürün JSON-LD</x:v>
      </x:c>
      <x:c r="O1603" s="16" t="str">
        <x:v>Orta</x:v>
      </x:c>
      <x:c r="P1603" s="19" t="n">
        <x:v>46245</x:v>
      </x:c>
      <x:c r="Q1603" s="20" t="str">
        <x:v>https://spadacoffee.com/pulycaff-puly-caff-powder-900-gr</x:v>
      </x:c>
      <x:c r="R1603" s="20" t="str">
        <x:v>Tekil ürün sayfasındaki yapılandırılmış veriden çıkarıldı.</x:v>
      </x:c>
    </x:row>
    <x:row r="1604" ht="40" customHeight="1">
      <x:c r="A1604" s="16" t="str">
        <x:v>Spada Coffee</x:v>
      </x:c>
      <x:c r="B1604" s="16" t="str">
        <x:v>İstanbul</x:v>
      </x:c>
      <x:c r="C1604" s="16" t="str">
        <x:v>Kısmi doğrulama</x:v>
      </x:c>
      <x:c r="D1604" s="16" t="str">
        <x:v>Ürün kaydı</x:v>
      </x:c>
      <x:c r="E1604" s="16" t="str">
        <x:v>Pulycaff Puly Caff Powder 900 gr</x:v>
      </x:c>
      <x:c r="F1604" s="16" t="str">
        <x:v>Menşe belirtilmemiş</x:v>
      </x:c>
      <x:c r="G1604" s="17" t="n">
        <x:v>900</x:v>
      </x:c>
      <x:c r="H1604" s="16" t="str">
        <x:v>Erişildi</x:v>
      </x:c>
      <x:c r="I1604" s="18" t="n">
        <x:v>850</x:v>
      </x:c>
      <x:c r="J1604" s="18" t="str">
        <x:v>Erişildi</x:v>
      </x:c>
      <x:c r="K1604" s="18" t="n">
        <x:f>IF(AND(ISNUMBER(G1604),ISNUMBER(I1604)),I1604/G1604*1000,"Erişilemedi")</x:f>
        <x:v>944.4444444444445</x:v>
      </x:c>
      <x:c r="L1604" s="16" t="str">
        <x:v>Belirsiz</x:v>
      </x:c>
      <x:c r="M1604" s="16" t="str">
        <x:v>Kahve ürünü</x:v>
      </x:c>
      <x:c r="N1604" s="16" t="str">
        <x:v>Site haritası ürün sayfası</x:v>
      </x:c>
      <x:c r="O1604" s="16" t="str">
        <x:v>Orta</x:v>
      </x:c>
      <x:c r="P1604" s="19" t="n">
        <x:v>46245</x:v>
      </x:c>
      <x:c r="Q1604" s="20" t="str">
        <x:v>https://spadacoffee.com/pulycaff-puly-caff-powder-900-gr</x:v>
      </x:c>
      <x:c r="R1604" s="20" t="str">
        <x:v>Ürün kimliği korundu; eksik alanlar erişilemedi olarak işaretlenecek.</x:v>
      </x:c>
    </x:row>
    <x:row r="1605" ht="40" customHeight="1">
      <x:c r="A1605" s="16" t="str">
        <x:v>Spada Coffee</x:v>
      </x:c>
      <x:c r="B1605" s="16" t="str">
        <x:v>İstanbul</x:v>
      </x:c>
      <x:c r="C1605" s="16" t="str">
        <x:v>Kısmi doğrulama</x:v>
      </x:c>
      <x:c r="D1605" s="16" t="str">
        <x:v>Ürün kaydı</x:v>
      </x:c>
      <x:c r="E1605" s="16" t="str">
        <x:v>RUANDA / AKAGERA / HONEY</x:v>
      </x:c>
      <x:c r="F1605" s="16" t="str">
        <x:v>Ruanda</x:v>
      </x:c>
      <x:c r="G1605" s="17" t="str">
        <x:v>Erişilemedi</x:v>
      </x:c>
      <x:c r="H1605" s="16" t="str">
        <x:v>Erişilemedi</x:v>
      </x:c>
      <x:c r="I1605" s="18" t="n">
        <x:v>850</x:v>
      </x:c>
      <x:c r="J1605" s="18" t="str">
        <x:v>Erişildi</x:v>
      </x:c>
      <x:c r="K1605" s="18" t="str">
        <x:f>IF(AND(ISNUMBER(G1605),ISNUMBER(I1605)),I1605/G1605*1000,"Erişilemedi")</x:f>
        <x:v>Erişilemedi</x:v>
      </x:c>
      <x:c r="L1605" s="16" t="str">
        <x:v>Belirsiz</x:v>
      </x:c>
      <x:c r="M1605" s="16" t="str">
        <x:v>Kahve ürünü</x:v>
      </x:c>
      <x:c r="N1605" s="16" t="str">
        <x:v>Site haritası ürün sayfası</x:v>
      </x:c>
      <x:c r="O1605" s="16" t="str">
        <x:v>Düşük</x:v>
      </x:c>
      <x:c r="P1605" s="19" t="n">
        <x:v>46245</x:v>
      </x:c>
      <x:c r="Q1605" s="20" t="str">
        <x:v>https://spadacoffee.com/ruanda-akagera-honey</x:v>
      </x:c>
      <x:c r="R1605" s="20" t="str">
        <x:v>Ürün kimliği korundu; eksik alanlar erişilemedi olarak işaretlenecek.</x:v>
      </x:c>
    </x:row>
    <x:row r="1606" ht="40" customHeight="1">
      <x:c r="A1606" s="16" t="str">
        <x:v>Spada Coffee</x:v>
      </x:c>
      <x:c r="B1606" s="16" t="str">
        <x:v>İstanbul</x:v>
      </x:c>
      <x:c r="C1606" s="16" t="str">
        <x:v>Kısmi doğrulama</x:v>
      </x:c>
      <x:c r="D1606" s="16" t="str">
        <x:v>Ürün kaydı</x:v>
      </x:c>
      <x:c r="E1606" s="16" t="str">
        <x:v>Spada Motion / Kapsül Kahve</x:v>
      </x:c>
      <x:c r="F1606" s="16" t="str">
        <x:v>Menşe belirtilmemiş</x:v>
      </x:c>
      <x:c r="G1606" s="17" t="str">
        <x:v>Erişilemedi</x:v>
      </x:c>
      <x:c r="H1606" s="16" t="str">
        <x:v>Erişilemedi</x:v>
      </x:c>
      <x:c r="I1606" s="18" t="n">
        <x:v>850</x:v>
      </x:c>
      <x:c r="J1606" s="18" t="str">
        <x:v>Erişildi</x:v>
      </x:c>
      <x:c r="K1606" s="18" t="str">
        <x:f>IF(AND(ISNUMBER(G1606),ISNUMBER(I1606)),I1606/G1606*1000,"Erişilemedi")</x:f>
        <x:v>Erişilemedi</x:v>
      </x:c>
      <x:c r="L1606" s="16" t="str">
        <x:v>Belirsiz</x:v>
      </x:c>
      <x:c r="M1606" s="16" t="str">
        <x:v>Kahve ürünü</x:v>
      </x:c>
      <x:c r="N1606" s="16" t="str">
        <x:v>Site haritası ürün sayfası</x:v>
      </x:c>
      <x:c r="O1606" s="16" t="str">
        <x:v>Düşük</x:v>
      </x:c>
      <x:c r="P1606" s="19" t="n">
        <x:v>46245</x:v>
      </x:c>
      <x:c r="Q1606" s="20" t="str">
        <x:v>https://spadacoffee.com/spada-motion-kapsul-kahve</x:v>
      </x:c>
      <x:c r="R1606" s="20" t="str">
        <x:v>Ürün kimliği korundu; eksik alanlar erişilemedi olarak işaretlenecek.</x:v>
      </x:c>
    </x:row>
    <x:row r="1607" ht="40" customHeight="1">
      <x:c r="A1607" s="16" t="str">
        <x:v>Spada Coffee</x:v>
      </x:c>
      <x:c r="B1607" s="16" t="str">
        <x:v>İstanbul</x:v>
      </x:c>
      <x:c r="C1607" s="16" t="str">
        <x:v>Kısmi doğrulama</x:v>
      </x:c>
      <x:c r="D1607" s="16" t="str">
        <x:v>Ürün kaydı</x:v>
      </x:c>
      <x:c r="E1607" s="16" t="str">
        <x:v>Spada POME / Kapsül Kahve</x:v>
      </x:c>
      <x:c r="F1607" s="16" t="str">
        <x:v>Menşe belirtilmemiş</x:v>
      </x:c>
      <x:c r="G1607" s="17" t="str">
        <x:v>Erişilemedi</x:v>
      </x:c>
      <x:c r="H1607" s="16" t="str">
        <x:v>Erişilemedi</x:v>
      </x:c>
      <x:c r="I1607" s="18" t="n">
        <x:v>850</x:v>
      </x:c>
      <x:c r="J1607" s="18" t="str">
        <x:v>Erişildi</x:v>
      </x:c>
      <x:c r="K1607" s="18" t="str">
        <x:f>IF(AND(ISNUMBER(G1607),ISNUMBER(I1607)),I1607/G1607*1000,"Erişilemedi")</x:f>
        <x:v>Erişilemedi</x:v>
      </x:c>
      <x:c r="L1607" s="16" t="str">
        <x:v>Belirsiz</x:v>
      </x:c>
      <x:c r="M1607" s="16" t="str">
        <x:v>Kahve ürünü</x:v>
      </x:c>
      <x:c r="N1607" s="16" t="str">
        <x:v>Site haritası ürün sayfası</x:v>
      </x:c>
      <x:c r="O1607" s="16" t="str">
        <x:v>Düşük</x:v>
      </x:c>
      <x:c r="P1607" s="19" t="n">
        <x:v>46245</x:v>
      </x:c>
      <x:c r="Q1607" s="20" t="str">
        <x:v>https://spadacoffee.com/spada-pome-kapsul-kahve</x:v>
      </x:c>
      <x:c r="R1607" s="20" t="str">
        <x:v>Ürün kimliği korundu; eksik alanlar erişilemedi olarak işaretlenecek.</x:v>
      </x:c>
    </x:row>
    <x:row r="1608" ht="40" customHeight="1">
      <x:c r="A1608" s="16" t="str">
        <x:v>Story Coffee Roasters</x:v>
      </x:c>
      <x:c r="B1608" s="16" t="str">
        <x:v>İstanbul</x:v>
      </x:c>
      <x:c r="C1608" s="16" t="str">
        <x:v>Doğrulandı</x:v>
      </x:c>
      <x:c r="D1608" s="16" t="str">
        <x:v>Ürün kaydı</x:v>
      </x:c>
      <x:c r="E1608" s="16" t="str">
        <x:v>2026 Kahve Koleksiyonu - 9 Kahve Çekirdeği</x:v>
      </x:c>
      <x:c r="F1608" s="16" t="str">
        <x:v>Etiyopya | Kenya | Guatemala</x:v>
      </x:c>
      <x:c r="G1608" s="17" t="str">
        <x:v>Erişilemedi</x:v>
      </x:c>
      <x:c r="H1608" s="16" t="str">
        <x:v>Erişilemedi</x:v>
      </x:c>
      <x:c r="I1608" s="18" t="n">
        <x:v>1.75</x:v>
      </x:c>
      <x:c r="J1608" s="18" t="str">
        <x:v>Erişildi</x:v>
      </x:c>
      <x:c r="K1608" s="18" t="str">
        <x:f>IF(AND(ISNUMBER(G1608),ISNUMBER(I1608)),I1608/G1608*1000,"Erişilemedi")</x:f>
        <x:v>Erişilemedi</x:v>
      </x:c>
      <x:c r="L1608" s="16" t="str">
        <x:v>Belirsiz</x:v>
      </x:c>
      <x:c r="M1608" s="16" t="str">
        <x:v>Harman</x:v>
      </x:c>
      <x:c r="N1608" s="16" t="str">
        <x:v>Site haritası ürün sayfası</x:v>
      </x:c>
      <x:c r="O1608" s="16" t="str">
        <x:v>Düşük</x:v>
      </x:c>
      <x:c r="P1608" s="19" t="n">
        <x:v>46245</x:v>
      </x:c>
      <x:c r="Q1608" s="20" t="str">
        <x:v>https://storyroasters.com/sonbahar-2025-kahve-cekirdegi-koleksiyonu</x:v>
      </x:c>
      <x:c r="R1608" s="20" t="str">
        <x:v>Ürün kimliği korundu; eksik alanlar erişilemedi olarak işaretlenecek.</x:v>
      </x:c>
    </x:row>
    <x:row r="1609" ht="40" customHeight="1">
      <x:c r="A1609" s="16" t="str">
        <x:v>Story Coffee Roasters</x:v>
      </x:c>
      <x:c r="B1609" s="16" t="str">
        <x:v>İstanbul</x:v>
      </x:c>
      <x:c r="C1609" s="16" t="str">
        <x:v>Doğrulandı</x:v>
      </x:c>
      <x:c r="D1609" s="16" t="str">
        <x:v>Ürün kaydı</x:v>
      </x:c>
      <x:c r="E1609" s="16" t="str">
        <x:v>Afrika Kahve Paketi - 4 Kahve Çekirdeği</x:v>
      </x:c>
      <x:c r="F1609" s="16" t="str">
        <x:v>Etiyopya | Kenya | Tanzanya</x:v>
      </x:c>
      <x:c r="G1609" s="17" t="str">
        <x:v>Erişilemedi</x:v>
      </x:c>
      <x:c r="H1609" s="16" t="str">
        <x:v>Erişilemedi</x:v>
      </x:c>
      <x:c r="I1609" s="18" t="n">
        <x:v>1.93</x:v>
      </x:c>
      <x:c r="J1609" s="18" t="str">
        <x:v>Erişildi</x:v>
      </x:c>
      <x:c r="K1609" s="18" t="str">
        <x:f>IF(AND(ISNUMBER(G1609),ISNUMBER(I1609)),I1609/G1609*1000,"Erişilemedi")</x:f>
        <x:v>Erişilemedi</x:v>
      </x:c>
      <x:c r="L1609" s="16" t="str">
        <x:v>Belirsiz</x:v>
      </x:c>
      <x:c r="M1609" s="16" t="str">
        <x:v>Kahve ürünü</x:v>
      </x:c>
      <x:c r="N1609" s="16" t="str">
        <x:v>Site haritası ürün sayfası</x:v>
      </x:c>
      <x:c r="O1609" s="16" t="str">
        <x:v>Düşük</x:v>
      </x:c>
      <x:c r="P1609" s="19" t="n">
        <x:v>46245</x:v>
      </x:c>
      <x:c r="Q1609" s="20" t="str">
        <x:v>https://storyroasters.com/afrika-kahve-paketi</x:v>
      </x:c>
      <x:c r="R1609" s="20" t="str">
        <x:v>Ürün kimliği korundu; eksik alanlar erişilemedi olarak işaretlenecek.</x:v>
      </x:c>
    </x:row>
    <x:row r="1610" ht="40" customHeight="1">
      <x:c r="A1610" s="16" t="str">
        <x:v>Story Coffee Roasters</x:v>
      </x:c>
      <x:c r="B1610" s="16" t="str">
        <x:v>İstanbul</x:v>
      </x:c>
      <x:c r="C1610" s="16" t="str">
        <x:v>Doğrulandı</x:v>
      </x:c>
      <x:c r="D1610" s="16" t="str">
        <x:v>Ürün kaydı</x:v>
      </x:c>
      <x:c r="E1610" s="16" t="str">
        <x:v>Özel Türk Kahvesi</x:v>
      </x:c>
      <x:c r="F1610" s="16" t="str">
        <x:v>Harman – menşe belirtilmemiş</x:v>
      </x:c>
      <x:c r="G1610" s="17" t="n">
        <x:v>100</x:v>
      </x:c>
      <x:c r="H1610" s="16" t="str">
        <x:v>Erişildi</x:v>
      </x:c>
      <x:c r="I1610" s="18" t="n">
        <x:v>385</x:v>
      </x:c>
      <x:c r="J1610" s="18" t="str">
        <x:v>Erişildi</x:v>
      </x:c>
      <x:c r="K1610" s="18" t="n">
        <x:f>IF(AND(ISNUMBER(G1610),ISNUMBER(I1610)),I1610/G1610*1000,"Erişilemedi")</x:f>
        <x:v>3850</x:v>
      </x:c>
      <x:c r="L1610" s="16" t="str">
        <x:v>Stokta</x:v>
      </x:c>
      <x:c r="M1610" s="16" t="str">
        <x:v>Harman</x:v>
      </x:c>
      <x:c r="N1610" s="16" t="str">
        <x:v>Site haritası + ürün JSON-LD</x:v>
      </x:c>
      <x:c r="O1610" s="16" t="str">
        <x:v>Orta</x:v>
      </x:c>
      <x:c r="P1610" s="19" t="n">
        <x:v>46245</x:v>
      </x:c>
      <x:c r="Q1610" s="20" t="str">
        <x:v>https://storyroasters.com/turk-kahvesi-200gr-1</x:v>
      </x:c>
      <x:c r="R1610" s="20" t="str">
        <x:v>Tekil ürün sayfasındaki yapılandırılmış veriden çıkarıldı.</x:v>
      </x:c>
    </x:row>
    <x:row r="1611" ht="40" customHeight="1">
      <x:c r="A1611" s="16" t="str">
        <x:v>Story Coffee Roasters</x:v>
      </x:c>
      <x:c r="B1611" s="16" t="str">
        <x:v>İstanbul</x:v>
      </x:c>
      <x:c r="C1611" s="16" t="str">
        <x:v>Doğrulandı</x:v>
      </x:c>
      <x:c r="D1611" s="16" t="str">
        <x:v>Ürün kaydı</x:v>
      </x:c>
      <x:c r="E1611" s="16" t="str">
        <x:v>Özel Türk Kahvesi</x:v>
      </x:c>
      <x:c r="F1611" s="16" t="str">
        <x:v>Harman – menşe belirtilmemiş</x:v>
      </x:c>
      <x:c r="G1611" s="17" t="n">
        <x:v>100</x:v>
      </x:c>
      <x:c r="H1611" s="16" t="str">
        <x:v>Erişildi</x:v>
      </x:c>
      <x:c r="I1611" s="18" t="n">
        <x:v>38500</x:v>
      </x:c>
      <x:c r="J1611" s="18" t="str">
        <x:v>Erişildi</x:v>
      </x:c>
      <x:c r="K1611" s="18" t="n">
        <x:f>IF(AND(ISNUMBER(G1611),ISNUMBER(I1611)),I1611/G1611*1000,"Erişilemedi")</x:f>
        <x:v>385000</x:v>
      </x:c>
      <x:c r="L1611" s="16" t="str">
        <x:v>Belirsiz</x:v>
      </x:c>
      <x:c r="M1611" s="16" t="str">
        <x:v>Harman</x:v>
      </x:c>
      <x:c r="N1611" s="16" t="str">
        <x:v>Site haritası ürün sayfası</x:v>
      </x:c>
      <x:c r="O1611" s="16" t="str">
        <x:v>Orta</x:v>
      </x:c>
      <x:c r="P1611" s="19" t="n">
        <x:v>46245</x:v>
      </x:c>
      <x:c r="Q1611" s="20" t="str">
        <x:v>https://storyroasters.com/turk-kahvesi-200gr-1</x:v>
      </x:c>
      <x:c r="R1611" s="20" t="str">
        <x:v>Ürün kimliği korundu; eksik alanlar erişilemedi olarak işaretlenecek.</x:v>
      </x:c>
    </x:row>
    <x:row r="1612" ht="40" customHeight="1">
      <x:c r="A1612" s="16" t="str">
        <x:v>Story Coffee Roasters</x:v>
      </x:c>
      <x:c r="B1612" s="16" t="str">
        <x:v>İstanbul</x:v>
      </x:c>
      <x:c r="C1612" s="16" t="str">
        <x:v>Doğrulandı</x:v>
      </x:c>
      <x:c r="D1612" s="16" t="str">
        <x:v>Ürün kaydı</x:v>
      </x:c>
      <x:c r="E1612" s="16" t="str">
        <x:v>Single-Origin Kahve Kutusu - 6 Kahve Çekirdeği</x:v>
      </x:c>
      <x:c r="F1612" s="16" t="str">
        <x:v>Kenya | Guatemala</x:v>
      </x:c>
      <x:c r="G1612" s="17" t="n">
        <x:v>100</x:v>
      </x:c>
      <x:c r="H1612" s="16" t="str">
        <x:v>Erişildi</x:v>
      </x:c>
      <x:c r="I1612" s="18" t="n">
        <x:v>1538.9</x:v>
      </x:c>
      <x:c r="J1612" s="18" t="str">
        <x:v>Erişildi</x:v>
      </x:c>
      <x:c r="K1612" s="18" t="n">
        <x:f>IF(AND(ISNUMBER(G1612),ISNUMBER(I1612)),I1612/G1612*1000,"Erişilemedi")</x:f>
        <x:v>15389.000000000002</x:v>
      </x:c>
      <x:c r="L1612" s="16" t="str">
        <x:v>Stokta</x:v>
      </x:c>
      <x:c r="M1612" s="16" t="str">
        <x:v>Tek köken/ürün</x:v>
      </x:c>
      <x:c r="N1612" s="16" t="str">
        <x:v>Site haritası + ürün JSON-LD</x:v>
      </x:c>
      <x:c r="O1612" s="16" t="str">
        <x:v>Orta</x:v>
      </x:c>
      <x:c r="P1612" s="19" t="n">
        <x:v>46245</x:v>
      </x:c>
      <x:c r="Q1612" s="20" t="str">
        <x:v>https://storyroasters.com/single-origins-paket-kesif-paketi-cekirdek-kahve</x:v>
      </x:c>
      <x:c r="R1612" s="20" t="str">
        <x:v>Tekil ürün sayfasındaki yapılandırılmış veriden çıkarıldı.</x:v>
      </x:c>
    </x:row>
    <x:row r="1613" ht="40" customHeight="1">
      <x:c r="A1613" s="16" t="str">
        <x:v>Story Coffee Roasters</x:v>
      </x:c>
      <x:c r="B1613" s="16" t="str">
        <x:v>İstanbul</x:v>
      </x:c>
      <x:c r="C1613" s="16" t="str">
        <x:v>Doğrulandı</x:v>
      </x:c>
      <x:c r="D1613" s="16" t="str">
        <x:v>Ürün kaydı</x:v>
      </x:c>
      <x:c r="E1613" s="16" t="str">
        <x:v>Single-Origin Kahve Kutusu - 6 Kahve Çekirdeği</x:v>
      </x:c>
      <x:c r="F1613" s="16" t="str">
        <x:v>Kenya | Guatemala</x:v>
      </x:c>
      <x:c r="G1613" s="17" t="n">
        <x:v>100</x:v>
      </x:c>
      <x:c r="H1613" s="16" t="str">
        <x:v>Erişildi</x:v>
      </x:c>
      <x:c r="I1613" s="18" t="n">
        <x:v>1.53</x:v>
      </x:c>
      <x:c r="J1613" s="18" t="str">
        <x:v>Erişildi</x:v>
      </x:c>
      <x:c r="K1613" s="18" t="n">
        <x:f>IF(AND(ISNUMBER(G1613),ISNUMBER(I1613)),I1613/G1613*1000,"Erişilemedi")</x:f>
        <x:v>15.3</x:v>
      </x:c>
      <x:c r="L1613" s="16" t="str">
        <x:v>Belirsiz</x:v>
      </x:c>
      <x:c r="M1613" s="16" t="str">
        <x:v>Kahve ürünü</x:v>
      </x:c>
      <x:c r="N1613" s="16" t="str">
        <x:v>Site haritası ürün sayfası</x:v>
      </x:c>
      <x:c r="O1613" s="16" t="str">
        <x:v>Orta</x:v>
      </x:c>
      <x:c r="P1613" s="19" t="n">
        <x:v>46245</x:v>
      </x:c>
      <x:c r="Q1613" s="20" t="str">
        <x:v>https://storyroasters.com/single-origins-paket-kesif-paketi-cekirdek-kahve</x:v>
      </x:c>
      <x:c r="R1613" s="20" t="str">
        <x:v>Ürün kimliği korundu; eksik alanlar erişilemedi olarak işaretlenecek.</x:v>
      </x:c>
    </x:row>
    <x:row r="1614" ht="40" customHeight="1">
      <x:c r="A1614" s="16" t="str">
        <x:v>Taft Coffee</x:v>
      </x:c>
      <x:c r="B1614" s="16" t="str"/>
      <x:c r="C1614" s="16" t="str">
        <x:v>Kısmi doğrulama</x:v>
      </x:c>
      <x:c r="D1614" s="16" t="str">
        <x:v>Katalog takip kaydı</x:v>
      </x:c>
      <x:c r="E1614" s="16" t="str">
        <x:v>Ürün kataloğu — ayrıntılı ürün verisine erişilemedi</x:v>
      </x:c>
      <x:c r="F1614" s="16" t="str">
        <x:v>Erişilemedi</x:v>
      </x:c>
      <x:c r="G1614" s="17" t="str">
        <x:v>Erişilemedi</x:v>
      </x:c>
      <x:c r="H1614" s="16" t="str">
        <x:v>Erişilemedi</x:v>
      </x:c>
      <x:c r="I1614" s="18" t="str">
        <x:v>Erişilemedi</x:v>
      </x:c>
      <x:c r="J1614" s="18" t="str">
        <x:v>Erişilemedi</x:v>
      </x:c>
      <x:c r="K1614" s="18" t="str">
        <x:f>IF(AND(ISNUMBER(G1614),ISNUMBER(I1614)),I1614/G1614*1000,"Erişilemedi")</x:f>
        <x:v>Erişilemedi</x:v>
      </x:c>
      <x:c r="L1614" s="16" t="str">
        <x:v>Erişilemedi</x:v>
      </x:c>
      <x:c r="M1614" s="16" t="str">
        <x:v>Katalog/takip kaydı</x:v>
      </x:c>
      <x:c r="N1614" s="16" t="str">
        <x:v>Instagram veya mevcut kaynak</x:v>
      </x:c>
      <x:c r="O1614" s="16" t="str">
        <x:v>Takip gerekli</x:v>
      </x:c>
      <x:c r="P1614" s="19" t="n">
        <x:v>46245</x:v>
      </x:c>
      <x:c r="Q1614" s="20" t="str">
        <x:v>Erişilemedi</x:v>
      </x:c>
      <x:c r="R1614" s="20" t="str">
        <x:v>Ürün adı, gramaj ve fiyat birlikte çıkarılamadı. Bağlantı manuel inceleme için korundu.</x:v>
      </x:c>
    </x:row>
    <x:row r="1615" ht="40" customHeight="1">
      <x:c r="A1615" s="16" t="str">
        <x:v>Tahmis Kahvesi</x:v>
      </x:c>
      <x:c r="B1615" s="16" t="str">
        <x:v>Gaziantep</x:v>
      </x:c>
      <x:c r="C1615" s="16" t="str">
        <x:v>Kısmi doğrulama</x:v>
      </x:c>
      <x:c r="D1615" s="16" t="str">
        <x:v>Katalog takip kaydı</x:v>
      </x:c>
      <x:c r="E1615" s="16" t="str">
        <x:v>Ürün kataloğu — ayrıntılı ürün verisine erişilemedi</x:v>
      </x:c>
      <x:c r="F1615" s="16" t="str">
        <x:v>Erişilemedi</x:v>
      </x:c>
      <x:c r="G1615" s="17" t="str">
        <x:v>Erişilemedi</x:v>
      </x:c>
      <x:c r="H1615" s="16" t="str">
        <x:v>Erişilemedi</x:v>
      </x:c>
      <x:c r="I1615" s="18" t="str">
        <x:v>Erişilemedi</x:v>
      </x:c>
      <x:c r="J1615" s="18" t="str">
        <x:v>Erişilemedi</x:v>
      </x:c>
      <x:c r="K1615" s="18" t="str">
        <x:f>IF(AND(ISNUMBER(G1615),ISNUMBER(I1615)),I1615/G1615*1000,"Erişilemedi")</x:f>
        <x:v>Erişilemedi</x:v>
      </x:c>
      <x:c r="L1615" s="16" t="str">
        <x:v>Erişilemedi</x:v>
      </x:c>
      <x:c r="M1615" s="16" t="str">
        <x:v>Katalog/takip kaydı</x:v>
      </x:c>
      <x:c r="N1615" s="16" t="str">
        <x:v>Instagram veya mevcut kaynak</x:v>
      </x:c>
      <x:c r="O1615" s="16" t="str">
        <x:v>Takip gerekli</x:v>
      </x:c>
      <x:c r="P1615" s="19" t="n">
        <x:v>46245</x:v>
      </x:c>
      <x:c r="Q1615" s="20" t="str">
        <x:v>Erişilemedi</x:v>
      </x:c>
      <x:c r="R1615" s="20" t="str">
        <x:v>Ürün adı, gramaj ve fiyat birlikte çıkarılamadı. Bağlantı manuel inceleme için korundu.</x:v>
      </x:c>
    </x:row>
    <x:row r="1616" ht="40" customHeight="1">
      <x:c r="A1616" s="16" t="str">
        <x:v>Tetra N Roastery</x:v>
      </x:c>
      <x:c r="B1616" s="16" t="str">
        <x:v>Ankara</x:v>
      </x:c>
      <x:c r="C1616" s="16" t="str">
        <x:v>Kısmi doğrulama</x:v>
      </x:c>
      <x:c r="D1616" s="16" t="str">
        <x:v>Ürün kaydı</x:v>
      </x:c>
      <x:c r="E1616" s="16" t="str">
        <x:v>Hario V60 Buzlu Kahve Demleyici</x:v>
      </x:c>
      <x:c r="F1616" s="16" t="str">
        <x:v>Menşe belirtilmemiş</x:v>
      </x:c>
      <x:c r="G1616" s="17" t="str">
        <x:v>Erişilemedi</x:v>
      </x:c>
      <x:c r="H1616" s="16" t="str">
        <x:v>Erişilemedi</x:v>
      </x:c>
      <x:c r="I1616" s="18" t="n">
        <x:v>900</x:v>
      </x:c>
      <x:c r="J1616" s="18" t="str">
        <x:v>Erişildi</x:v>
      </x:c>
      <x:c r="K1616" s="18" t="str">
        <x:f>IF(AND(ISNUMBER(G1616),ISNUMBER(I1616)),I1616/G1616*1000,"Erişilemedi")</x:f>
        <x:v>Erişilemedi</x:v>
      </x:c>
      <x:c r="L1616" s="16" t="str">
        <x:v>Belirsiz</x:v>
      </x:c>
      <x:c r="M1616" s="16" t="str">
        <x:v>Kahve ürünü</x:v>
      </x:c>
      <x:c r="N1616" s="16" t="str">
        <x:v>Site haritası ürün sayfası</x:v>
      </x:c>
      <x:c r="O1616" s="16" t="str">
        <x:v>Düşük</x:v>
      </x:c>
      <x:c r="P1616" s="19" t="n">
        <x:v>46245</x:v>
      </x:c>
      <x:c r="Q1616" s="20" t="str">
        <x:v>https://tetranroastery.com/hario-v60-buzlu-kahve-demleyici</x:v>
      </x:c>
      <x:c r="R1616" s="20" t="str">
        <x:v>Ürün kimliği korundu; eksik alanlar erişilemedi olarak işaretlenecek.</x:v>
      </x:c>
    </x:row>
    <x:row r="1617" ht="40" customHeight="1">
      <x:c r="A1617" s="16" t="str">
        <x:v>Tetra N Roastery</x:v>
      </x:c>
      <x:c r="B1617" s="16" t="str">
        <x:v>Ankara</x:v>
      </x:c>
      <x:c r="C1617" s="16" t="str">
        <x:v>Kısmi doğrulama</x:v>
      </x:c>
      <x:c r="D1617" s="16" t="str">
        <x:v>Ürün kaydı</x:v>
      </x:c>
      <x:c r="E1617" s="16" t="str">
        <x:v>Hario V60 Kahve Demleme Seti</x:v>
      </x:c>
      <x:c r="F1617" s="16" t="str">
        <x:v>Menşe belirtilmemiş</x:v>
      </x:c>
      <x:c r="G1617" s="17" t="str">
        <x:v>Erişilemedi</x:v>
      </x:c>
      <x:c r="H1617" s="16" t="str">
        <x:v>Erişilemedi</x:v>
      </x:c>
      <x:c r="I1617" s="18" t="n">
        <x:v>900</x:v>
      </x:c>
      <x:c r="J1617" s="18" t="str">
        <x:v>Erişildi</x:v>
      </x:c>
      <x:c r="K1617" s="18" t="str">
        <x:f>IF(AND(ISNUMBER(G1617),ISNUMBER(I1617)),I1617/G1617*1000,"Erişilemedi")</x:f>
        <x:v>Erişilemedi</x:v>
      </x:c>
      <x:c r="L1617" s="16" t="str">
        <x:v>Belirsiz</x:v>
      </x:c>
      <x:c r="M1617" s="16" t="str">
        <x:v>Kahve ürünü</x:v>
      </x:c>
      <x:c r="N1617" s="16" t="str">
        <x:v>Site haritası ürün sayfası</x:v>
      </x:c>
      <x:c r="O1617" s="16" t="str">
        <x:v>Düşük</x:v>
      </x:c>
      <x:c r="P1617" s="19" t="n">
        <x:v>46245</x:v>
      </x:c>
      <x:c r="Q1617" s="20" t="str">
        <x:v>https://tetranroastery.com/hario-v60-kahve-demleme-seti</x:v>
      </x:c>
      <x:c r="R1617" s="20" t="str">
        <x:v>Ürün kimliği korundu; eksik alanlar erişilemedi olarak işaretlenecek.</x:v>
      </x:c>
    </x:row>
    <x:row r="1618" ht="40" customHeight="1">
      <x:c r="A1618" s="16" t="str">
        <x:v>Tetra N Roastery</x:v>
      </x:c>
      <x:c r="B1618" s="16" t="str">
        <x:v>Ankara</x:v>
      </x:c>
      <x:c r="C1618" s="16" t="str">
        <x:v>Kısmi doğrulama</x:v>
      </x:c>
      <x:c r="D1618" s="16" t="str">
        <x:v>Ürün kaydı</x:v>
      </x:c>
      <x:c r="E1618" s="16" t="str">
        <x:v>MESAİ KAHVESİ</x:v>
      </x:c>
      <x:c r="F1618" s="16" t="str">
        <x:v>Etiyopya</x:v>
      </x:c>
      <x:c r="G1618" s="17" t="str">
        <x:v>Erişilemedi</x:v>
      </x:c>
      <x:c r="H1618" s="16" t="str">
        <x:v>Erişilemedi</x:v>
      </x:c>
      <x:c r="I1618" s="18" t="n">
        <x:v>900</x:v>
      </x:c>
      <x:c r="J1618" s="18" t="str">
        <x:v>Erişildi</x:v>
      </x:c>
      <x:c r="K1618" s="18" t="str">
        <x:f>IF(AND(ISNUMBER(G1618),ISNUMBER(I1618)),I1618/G1618*1000,"Erişilemedi")</x:f>
        <x:v>Erişilemedi</x:v>
      </x:c>
      <x:c r="L1618" s="16" t="str">
        <x:v>Belirsiz</x:v>
      </x:c>
      <x:c r="M1618" s="16" t="str">
        <x:v>Kahve ürünü</x:v>
      </x:c>
      <x:c r="N1618" s="16" t="str">
        <x:v>Site haritası ürün sayfası</x:v>
      </x:c>
      <x:c r="O1618" s="16" t="str">
        <x:v>Düşük</x:v>
      </x:c>
      <x:c r="P1618" s="19" t="n">
        <x:v>46245</x:v>
      </x:c>
      <x:c r="Q1618" s="20" t="str">
        <x:v>https://tetranroastery.com/mesai-kahvesi</x:v>
      </x:c>
      <x:c r="R1618" s="20" t="str">
        <x:v>Ürün kimliği korundu; eksik alanlar erişilemedi olarak işaretlenecek.</x:v>
      </x:c>
    </x:row>
    <x:row r="1619" ht="40" customHeight="1">
      <x:c r="A1619" s="16" t="str">
        <x:v>Tetra N Roastery</x:v>
      </x:c>
      <x:c r="B1619" s="16" t="str">
        <x:v>Ankara</x:v>
      </x:c>
      <x:c r="C1619" s="16" t="str">
        <x:v>Kısmi doğrulama</x:v>
      </x:c>
      <x:c r="D1619" s="16" t="str">
        <x:v>Ürün kaydı</x:v>
      </x:c>
      <x:c r="E1619" s="16" t="str">
        <x:v>Orcamp Barista Kahve İbriği</x:v>
      </x:c>
      <x:c r="F1619" s="16" t="str">
        <x:v>Menşe belirtilmemiş</x:v>
      </x:c>
      <x:c r="G1619" s="17" t="str">
        <x:v>Erişilemedi</x:v>
      </x:c>
      <x:c r="H1619" s="16" t="str">
        <x:v>Erişilemedi</x:v>
      </x:c>
      <x:c r="I1619" s="18" t="n">
        <x:v>900</x:v>
      </x:c>
      <x:c r="J1619" s="18" t="str">
        <x:v>Erişildi</x:v>
      </x:c>
      <x:c r="K1619" s="18" t="str">
        <x:f>IF(AND(ISNUMBER(G1619),ISNUMBER(I1619)),I1619/G1619*1000,"Erişilemedi")</x:f>
        <x:v>Erişilemedi</x:v>
      </x:c>
      <x:c r="L1619" s="16" t="str">
        <x:v>Belirsiz</x:v>
      </x:c>
      <x:c r="M1619" s="16" t="str">
        <x:v>Kahve ürünü</x:v>
      </x:c>
      <x:c r="N1619" s="16" t="str">
        <x:v>Site haritası ürün sayfası</x:v>
      </x:c>
      <x:c r="O1619" s="16" t="str">
        <x:v>Düşük</x:v>
      </x:c>
      <x:c r="P1619" s="19" t="n">
        <x:v>46245</x:v>
      </x:c>
      <x:c r="Q1619" s="20" t="str">
        <x:v>https://tetranroastery.com/barista-kahve-ibrigi</x:v>
      </x:c>
      <x:c r="R1619" s="20" t="str">
        <x:v>Ürün kimliği korundu; eksik alanlar erişilemedi olarak işaretlenecek.</x:v>
      </x:c>
    </x:row>
    <x:row r="1620" ht="40" customHeight="1">
      <x:c r="A1620" s="16" t="str">
        <x:v>The Doors Coffee Roasting Co.</x:v>
      </x:c>
      <x:c r="B1620" s="16" t="str"/>
      <x:c r="C1620" s="16" t="str">
        <x:v>Kısmi doğrulama</x:v>
      </x:c>
      <x:c r="D1620" s="16" t="str">
        <x:v>Katalog takip kaydı</x:v>
      </x:c>
      <x:c r="E1620" s="16" t="str">
        <x:v>Ürün kataloğu — ayrıntılı ürün verisine erişilemedi</x:v>
      </x:c>
      <x:c r="F1620" s="16" t="str">
        <x:v>Erişilemedi</x:v>
      </x:c>
      <x:c r="G1620" s="17" t="str">
        <x:v>Erişilemedi</x:v>
      </x:c>
      <x:c r="H1620" s="16" t="str">
        <x:v>Erişilemedi</x:v>
      </x:c>
      <x:c r="I1620" s="18" t="str">
        <x:v>Erişilemedi</x:v>
      </x:c>
      <x:c r="J1620" s="18" t="str">
        <x:v>Erişilemedi</x:v>
      </x:c>
      <x:c r="K1620" s="18" t="str">
        <x:f>IF(AND(ISNUMBER(G1620),ISNUMBER(I1620)),I1620/G1620*1000,"Erişilemedi")</x:f>
        <x:v>Erişilemedi</x:v>
      </x:c>
      <x:c r="L1620" s="16" t="str">
        <x:v>Erişilemedi</x:v>
      </x:c>
      <x:c r="M1620" s="16" t="str">
        <x:v>Katalog/takip kaydı</x:v>
      </x:c>
      <x:c r="N1620" s="16" t="str">
        <x:v>Instagram veya mevcut kaynak</x:v>
      </x:c>
      <x:c r="O1620" s="16" t="str">
        <x:v>Takip gerekli</x:v>
      </x:c>
      <x:c r="P1620" s="19" t="n">
        <x:v>46245</x:v>
      </x:c>
      <x:c r="Q1620" s="20" t="str">
        <x:v>Erişilemedi</x:v>
      </x:c>
      <x:c r="R1620" s="20" t="str">
        <x:v>Ürün adı, gramaj ve fiyat birlikte çıkarılamadı. Bağlantı manuel inceleme için korundu.</x:v>
      </x:c>
    </x:row>
    <x:row r="1621" ht="40" customHeight="1">
      <x:c r="A1621" s="16" t="str">
        <x:v>Top Roasters</x:v>
      </x:c>
      <x:c r="B1621" s="16" t="str"/>
      <x:c r="C1621" s="16" t="str">
        <x:v>Kısmi doğrulama</x:v>
      </x:c>
      <x:c r="D1621" s="16" t="str">
        <x:v>Ürün kaydı</x:v>
      </x:c>
      <x:c r="E1621" s="16" t="str">
        <x:v>1 Ekim Dünya Kahve Günü: Kahve Tutkunlarının Bayramı</x:v>
      </x:c>
      <x:c r="F1621" s="16" t="str">
        <x:v>Menşe belirtilmemiş</x:v>
      </x:c>
      <x:c r="G1621" s="17" t="str">
        <x:v>Erişilemedi</x:v>
      </x:c>
      <x:c r="H1621" s="16" t="str">
        <x:v>Erişilemedi</x:v>
      </x:c>
      <x:c r="I1621" s="18" t="n">
        <x:v>0</x:v>
      </x:c>
      <x:c r="J1621" s="18" t="str">
        <x:v>Erişilemedi</x:v>
      </x:c>
      <x:c r="K1621" s="18" t="str">
        <x:f>IF(AND(ISNUMBER(G1621),ISNUMBER(I1621)),I1621/G1621*1000,"Erişilemedi")</x:f>
        <x:v>Erişilemedi</x:v>
      </x:c>
      <x:c r="L1621" s="16" t="str">
        <x:v>Belirsiz</x:v>
      </x:c>
      <x:c r="M1621" s="16" t="str">
        <x:v>Kahve ürünü</x:v>
      </x:c>
      <x:c r="N1621" s="16" t="str">
        <x:v>Site haritası ürün sayfası</x:v>
      </x:c>
      <x:c r="O1621" s="16" t="str">
        <x:v>Düşük</x:v>
      </x:c>
      <x:c r="P1621" s="19" t="n">
        <x:v>46245</x:v>
      </x:c>
      <x:c r="Q1621" s="20" t="str">
        <x:v>https://www.toproasters.com.tr/post/1-ekim-dünya-kahve-günü-kahve-tutkunlarının-bayramı</x:v>
      </x:c>
      <x:c r="R1621" s="20" t="str">
        <x:v>Ürün kimliği korundu; eksik alanlar erişilemedi olarak işaretlenecek.</x:v>
      </x:c>
    </x:row>
    <x:row r="1622" ht="40" customHeight="1">
      <x:c r="A1622" s="16" t="str">
        <x:v>Top Roasters</x:v>
      </x:c>
      <x:c r="B1622" s="16" t="str"/>
      <x:c r="C1622" s="16" t="str">
        <x:v>Kısmi doğrulama</x:v>
      </x:c>
      <x:c r="D1622" s="16" t="str">
        <x:v>Ürün kaydı</x:v>
      </x:c>
      <x:c r="E1622" s="16" t="str">
        <x:v>1 Ekim Dünya Kahve Günü&amp;#x27;ne Özel Dünya Kahveleri Tadımı Ücretsiz!</x:v>
      </x:c>
      <x:c r="F1622" s="16" t="str">
        <x:v>Menşe belirtilmemiş</x:v>
      </x:c>
      <x:c r="G1622" s="17" t="str">
        <x:v>Erişilemedi</x:v>
      </x:c>
      <x:c r="H1622" s="16" t="str">
        <x:v>Erişilemedi</x:v>
      </x:c>
      <x:c r="I1622" s="18" t="n">
        <x:v>0</x:v>
      </x:c>
      <x:c r="J1622" s="18" t="str">
        <x:v>Erişilemedi</x:v>
      </x:c>
      <x:c r="K1622" s="18" t="str">
        <x:f>IF(AND(ISNUMBER(G1622),ISNUMBER(I1622)),I1622/G1622*1000,"Erişilemedi")</x:f>
        <x:v>Erişilemedi</x:v>
      </x:c>
      <x:c r="L1622" s="16" t="str">
        <x:v>Belirsiz</x:v>
      </x:c>
      <x:c r="M1622" s="16" t="str">
        <x:v>Kahve ürünü</x:v>
      </x:c>
      <x:c r="N1622" s="16" t="str">
        <x:v>Site haritası ürün sayfası</x:v>
      </x:c>
      <x:c r="O1622" s="16" t="str">
        <x:v>Düşük</x:v>
      </x:c>
      <x:c r="P1622" s="19" t="n">
        <x:v>46245</x:v>
      </x:c>
      <x:c r="Q1622" s="20" t="str">
        <x:v>https://www.toproasters.com.tr/post/1-ekim-dunya-kahve-gunu-ne-ozel-dunya-kahveleri-tadimi-ucretsiz</x:v>
      </x:c>
      <x:c r="R1622" s="20" t="str">
        <x:v>Ürün kimliği korundu; eksik alanlar erişilemedi olarak işaretlenecek.</x:v>
      </x:c>
    </x:row>
    <x:row r="1623" ht="40" customHeight="1">
      <x:c r="A1623" s="16" t="str">
        <x:v>Top Roasters</x:v>
      </x:c>
      <x:c r="B1623" s="16" t="str"/>
      <x:c r="C1623" s="16" t="str">
        <x:v>Kısmi doğrulama</x:v>
      </x:c>
      <x:c r="D1623" s="16" t="str">
        <x:v>Ürün kaydı</x:v>
      </x:c>
      <x:c r="E1623" s="16" t="str">
        <x:v>2023 Dünya Kahve Tüketim İstatistikleri</x:v>
      </x:c>
      <x:c r="F1623" s="16" t="str">
        <x:v>Menşe belirtilmemiş</x:v>
      </x:c>
      <x:c r="G1623" s="17" t="str">
        <x:v>Erişilemedi</x:v>
      </x:c>
      <x:c r="H1623" s="16" t="str">
        <x:v>Erişilemedi</x:v>
      </x:c>
      <x:c r="I1623" s="18" t="n">
        <x:v>0</x:v>
      </x:c>
      <x:c r="J1623" s="18" t="str">
        <x:v>Erişilemedi</x:v>
      </x:c>
      <x:c r="K1623" s="18" t="str">
        <x:f>IF(AND(ISNUMBER(G1623),ISNUMBER(I1623)),I1623/G1623*1000,"Erişilemedi")</x:f>
        <x:v>Erişilemedi</x:v>
      </x:c>
      <x:c r="L1623" s="16" t="str">
        <x:v>Belirsiz</x:v>
      </x:c>
      <x:c r="M1623" s="16" t="str">
        <x:v>Kahve ürünü</x:v>
      </x:c>
      <x:c r="N1623" s="16" t="str">
        <x:v>Site haritası ürün sayfası</x:v>
      </x:c>
      <x:c r="O1623" s="16" t="str">
        <x:v>Düşük</x:v>
      </x:c>
      <x:c r="P1623" s="19" t="n">
        <x:v>46245</x:v>
      </x:c>
      <x:c r="Q1623" s="20" t="str">
        <x:v>https://www.toproasters.com.tr/post/2023-dunya-kahve-tuketim-istatistikleri</x:v>
      </x:c>
      <x:c r="R1623" s="20" t="str">
        <x:v>Ürün kimliği korundu; eksik alanlar erişilemedi olarak işaretlenecek.</x:v>
      </x:c>
    </x:row>
    <x:row r="1624" ht="40" customHeight="1">
      <x:c r="A1624" s="16" t="str">
        <x:v>Top Roasters</x:v>
      </x:c>
      <x:c r="B1624" s="16" t="str"/>
      <x:c r="C1624" s="16" t="str">
        <x:v>Kısmi doğrulama</x:v>
      </x:c>
      <x:c r="D1624" s="16" t="str">
        <x:v>Ürün kaydı</x:v>
      </x:c>
      <x:c r="E1624" s="16" t="str">
        <x:v>2025 Yılı Türkiye Kahve Tüketimi</x:v>
      </x:c>
      <x:c r="F1624" s="16" t="str">
        <x:v>Menşe belirtilmemiş</x:v>
      </x:c>
      <x:c r="G1624" s="17" t="str">
        <x:v>Erişilemedi</x:v>
      </x:c>
      <x:c r="H1624" s="16" t="str">
        <x:v>Erişilemedi</x:v>
      </x:c>
      <x:c r="I1624" s="18" t="n">
        <x:v>0</x:v>
      </x:c>
      <x:c r="J1624" s="18" t="str">
        <x:v>Erişilemedi</x:v>
      </x:c>
      <x:c r="K1624" s="18" t="str">
        <x:f>IF(AND(ISNUMBER(G1624),ISNUMBER(I1624)),I1624/G1624*1000,"Erişilemedi")</x:f>
        <x:v>Erişilemedi</x:v>
      </x:c>
      <x:c r="L1624" s="16" t="str">
        <x:v>Belirsiz</x:v>
      </x:c>
      <x:c r="M1624" s="16" t="str">
        <x:v>Kahve ürünü</x:v>
      </x:c>
      <x:c r="N1624" s="16" t="str">
        <x:v>Site haritası ürün sayfası</x:v>
      </x:c>
      <x:c r="O1624" s="16" t="str">
        <x:v>Düşük</x:v>
      </x:c>
      <x:c r="P1624" s="19" t="n">
        <x:v>46245</x:v>
      </x:c>
      <x:c r="Q1624" s="20" t="str">
        <x:v>https://www.toproasters.com.tr/post/2025-yılı-türkiye-kahve-tüketimi</x:v>
      </x:c>
      <x:c r="R1624" s="20" t="str">
        <x:v>Ürün kimliği korundu; eksik alanlar erişilemedi olarak işaretlenecek.</x:v>
      </x:c>
    </x:row>
    <x:row r="1625" ht="40" customHeight="1">
      <x:c r="A1625" s="16" t="str">
        <x:v>Top Roasters</x:v>
      </x:c>
      <x:c r="B1625" s="16" t="str"/>
      <x:c r="C1625" s="16" t="str">
        <x:v>Kısmi doğrulama</x:v>
      </x:c>
      <x:c r="D1625" s="16" t="str">
        <x:v>Ürün kaydı</x:v>
      </x:c>
      <x:c r="E1625" s="16" t="str">
        <x:v>2025’te Kahve Dünyasında Öne Çıkan Trendler Türkiye’ye Etkileri</x:v>
      </x:c>
      <x:c r="F1625" s="16" t="str">
        <x:v>Menşe belirtilmemiş</x:v>
      </x:c>
      <x:c r="G1625" s="17" t="str">
        <x:v>Erişilemedi</x:v>
      </x:c>
      <x:c r="H1625" s="16" t="str">
        <x:v>Erişilemedi</x:v>
      </x:c>
      <x:c r="I1625" s="18" t="n">
        <x:v>0</x:v>
      </x:c>
      <x:c r="J1625" s="18" t="str">
        <x:v>Erişilemedi</x:v>
      </x:c>
      <x:c r="K1625" s="18" t="str">
        <x:f>IF(AND(ISNUMBER(G1625),ISNUMBER(I1625)),I1625/G1625*1000,"Erişilemedi")</x:f>
        <x:v>Erişilemedi</x:v>
      </x:c>
      <x:c r="L1625" s="16" t="str">
        <x:v>Belirsiz</x:v>
      </x:c>
      <x:c r="M1625" s="16" t="str">
        <x:v>Kahve ürünü</x:v>
      </x:c>
      <x:c r="N1625" s="16" t="str">
        <x:v>Site haritası ürün sayfası</x:v>
      </x:c>
      <x:c r="O1625" s="16" t="str">
        <x:v>Düşük</x:v>
      </x:c>
      <x:c r="P1625" s="19" t="n">
        <x:v>46245</x:v>
      </x:c>
      <x:c r="Q1625" s="20" t="str">
        <x:v>https://www.toproasters.com.tr/post/2025-te-kahve-dünyasında-öne-çıkan-trendler-türkiye-ye-etkileri</x:v>
      </x:c>
      <x:c r="R1625" s="20" t="str">
        <x:v>Ürün kimliği korundu; eksik alanlar erişilemedi olarak işaretlenecek.</x:v>
      </x:c>
    </x:row>
    <x:row r="1626" ht="40" customHeight="1">
      <x:c r="A1626" s="16" t="str">
        <x:v>Top Roasters</x:v>
      </x:c>
      <x:c r="B1626" s="16" t="str"/>
      <x:c r="C1626" s="16" t="str">
        <x:v>Kısmi doğrulama</x:v>
      </x:c>
      <x:c r="D1626" s="16" t="str">
        <x:v>Ürün kaydı</x:v>
      </x:c>
      <x:c r="E1626" s="16" t="str">
        <x:v>2025’te Kahve Dünyasında Patlayan 7 Trend: Top Roasters ile Fazlasını Keşfet</x:v>
      </x:c>
      <x:c r="F1626" s="16" t="str">
        <x:v>Menşe belirtilmemiş</x:v>
      </x:c>
      <x:c r="G1626" s="17" t="str">
        <x:v>Erişilemedi</x:v>
      </x:c>
      <x:c r="H1626" s="16" t="str">
        <x:v>Erişilemedi</x:v>
      </x:c>
      <x:c r="I1626" s="18" t="n">
        <x:v>0</x:v>
      </x:c>
      <x:c r="J1626" s="18" t="str">
        <x:v>Erişilemedi</x:v>
      </x:c>
      <x:c r="K1626" s="18" t="str">
        <x:f>IF(AND(ISNUMBER(G1626),ISNUMBER(I1626)),I1626/G1626*1000,"Erişilemedi")</x:f>
        <x:v>Erişilemedi</x:v>
      </x:c>
      <x:c r="L1626" s="16" t="str">
        <x:v>Belirsiz</x:v>
      </x:c>
      <x:c r="M1626" s="16" t="str">
        <x:v>Kahve ürünü</x:v>
      </x:c>
      <x:c r="N1626" s="16" t="str">
        <x:v>Site haritası ürün sayfası</x:v>
      </x:c>
      <x:c r="O1626" s="16" t="str">
        <x:v>Düşük</x:v>
      </x:c>
      <x:c r="P1626" s="19" t="n">
        <x:v>46245</x:v>
      </x:c>
      <x:c r="Q1626" s="20" t="str">
        <x:v>https://www.toproasters.com.tr/post/2025-te-kahve-dünyasında-patlayan-7-trend-top-roasters-ile-fazlasını-keşfet</x:v>
      </x:c>
      <x:c r="R1626" s="20" t="str">
        <x:v>Ürün kimliği korundu; eksik alanlar erişilemedi olarak işaretlenecek.</x:v>
      </x:c>
    </x:row>
    <x:row r="1627" ht="40" customHeight="1">
      <x:c r="A1627" s="16" t="str">
        <x:v>Top Roasters</x:v>
      </x:c>
      <x:c r="B1627" s="16" t="str"/>
      <x:c r="C1627" s="16" t="str">
        <x:v>Kısmi doğrulama</x:v>
      </x:c>
      <x:c r="D1627" s="16" t="str">
        <x:v>Ürün kaydı</x:v>
      </x:c>
      <x:c r="E1627" s="16" t="str">
        <x:v>2026 Türkiye Kahve Yılı Olacak Bir Sonraki Durağımız Guatemala</x:v>
      </x:c>
      <x:c r="F1627" s="16" t="str">
        <x:v>Guatemala</x:v>
      </x:c>
      <x:c r="G1627" s="17" t="str">
        <x:v>Erişilemedi</x:v>
      </x:c>
      <x:c r="H1627" s="16" t="str">
        <x:v>Erişilemedi</x:v>
      </x:c>
      <x:c r="I1627" s="18" t="n">
        <x:v>0</x:v>
      </x:c>
      <x:c r="J1627" s="18" t="str">
        <x:v>Erişilemedi</x:v>
      </x:c>
      <x:c r="K1627" s="18" t="str">
        <x:f>IF(AND(ISNUMBER(G1627),ISNUMBER(I1627)),I1627/G1627*1000,"Erişilemedi")</x:f>
        <x:v>Erişilemedi</x:v>
      </x:c>
      <x:c r="L1627" s="16" t="str">
        <x:v>Belirsiz</x:v>
      </x:c>
      <x:c r="M1627" s="16" t="str">
        <x:v>Kahve ürünü</x:v>
      </x:c>
      <x:c r="N1627" s="16" t="str">
        <x:v>Site haritası ürün sayfası</x:v>
      </x:c>
      <x:c r="O1627" s="16" t="str">
        <x:v>Düşük</x:v>
      </x:c>
      <x:c r="P1627" s="19" t="n">
        <x:v>46245</x:v>
      </x:c>
      <x:c r="Q1627" s="20" t="str">
        <x:v>https://www.toproasters.com.tr/post/2026-türkiye-kahve-yılı-olacak-bir-sonraki-durağımız-guatemala</x:v>
      </x:c>
      <x:c r="R1627" s="20" t="str">
        <x:v>Ürün kimliği korundu; eksik alanlar erişilemedi olarak işaretlenecek.</x:v>
      </x:c>
    </x:row>
    <x:row r="1628" ht="40" customHeight="1">
      <x:c r="A1628" s="16" t="str">
        <x:v>Top Roasters</x:v>
      </x:c>
      <x:c r="B1628" s="16" t="str"/>
      <x:c r="C1628" s="16" t="str">
        <x:v>Kısmi doğrulama</x:v>
      </x:c>
      <x:c r="D1628" s="16" t="str">
        <x:v>Ürün kaydı</x:v>
      </x:c>
      <x:c r="E1628" s="16" t="str">
        <x:v>2026’da Kahve Sektörü: Trendler, Tüketici Davranışları ve Yeni Fırsatlar</x:v>
      </x:c>
      <x:c r="F1628" s="16" t="str">
        <x:v>Menşe belirtilmemiş</x:v>
      </x:c>
      <x:c r="G1628" s="17" t="str">
        <x:v>Erişilemedi</x:v>
      </x:c>
      <x:c r="H1628" s="16" t="str">
        <x:v>Erişilemedi</x:v>
      </x:c>
      <x:c r="I1628" s="18" t="n">
        <x:v>0</x:v>
      </x:c>
      <x:c r="J1628" s="18" t="str">
        <x:v>Erişilemedi</x:v>
      </x:c>
      <x:c r="K1628" s="18" t="str">
        <x:f>IF(AND(ISNUMBER(G1628),ISNUMBER(I1628)),I1628/G1628*1000,"Erişilemedi")</x:f>
        <x:v>Erişilemedi</x:v>
      </x:c>
      <x:c r="L1628" s="16" t="str">
        <x:v>Belirsiz</x:v>
      </x:c>
      <x:c r="M1628" s="16" t="str">
        <x:v>Kahve ürünü</x:v>
      </x:c>
      <x:c r="N1628" s="16" t="str">
        <x:v>Site haritası ürün sayfası</x:v>
      </x:c>
      <x:c r="O1628" s="16" t="str">
        <x:v>Düşük</x:v>
      </x:c>
      <x:c r="P1628" s="19" t="n">
        <x:v>46245</x:v>
      </x:c>
      <x:c r="Q1628" s="20" t="str">
        <x:v>https://www.toproasters.com.tr/post/2026-da-kahve-sektörü-trendler-tüketici-davranışları-ve-yeni-fırsatlar</x:v>
      </x:c>
      <x:c r="R1628" s="20" t="str">
        <x:v>Ürün kimliği korundu; eksik alanlar erişilemedi olarak işaretlenecek.</x:v>
      </x:c>
    </x:row>
    <x:row r="1629" ht="40" customHeight="1">
      <x:c r="A1629" s="16" t="str">
        <x:v>Top Roasters</x:v>
      </x:c>
      <x:c r="B1629" s="16" t="str"/>
      <x:c r="C1629" s="16" t="str">
        <x:v>Kısmi doğrulama</x:v>
      </x:c>
      <x:c r="D1629" s="16" t="str">
        <x:v>Ürün kaydı</x:v>
      </x:c>
      <x:c r="E1629" s="16" t="str">
        <x:v>Buzlu Kahve ve Cold Brew Arasındaki Fark Nedir?</x:v>
      </x:c>
      <x:c r="F1629" s="16" t="str">
        <x:v>Menşe belirtilmemiş</x:v>
      </x:c>
      <x:c r="G1629" s="17" t="str">
        <x:v>Erişilemedi</x:v>
      </x:c>
      <x:c r="H1629" s="16" t="str">
        <x:v>Erişilemedi</x:v>
      </x:c>
      <x:c r="I1629" s="18" t="n">
        <x:v>0</x:v>
      </x:c>
      <x:c r="J1629" s="18" t="str">
        <x:v>Erişilemedi</x:v>
      </x:c>
      <x:c r="K1629" s="18" t="str">
        <x:f>IF(AND(ISNUMBER(G1629),ISNUMBER(I1629)),I1629/G1629*1000,"Erişilemedi")</x:f>
        <x:v>Erişilemedi</x:v>
      </x:c>
      <x:c r="L1629" s="16" t="str">
        <x:v>Belirsiz</x:v>
      </x:c>
      <x:c r="M1629" s="16" t="str">
        <x:v>Kahve ürünü</x:v>
      </x:c>
      <x:c r="N1629" s="16" t="str">
        <x:v>Site haritası ürün sayfası</x:v>
      </x:c>
      <x:c r="O1629" s="16" t="str">
        <x:v>Düşük</x:v>
      </x:c>
      <x:c r="P1629" s="19" t="n">
        <x:v>46245</x:v>
      </x:c>
      <x:c r="Q1629" s="20" t="str">
        <x:v>https://www.toproasters.com.tr/post/buzlu-kahve-ve-cold-brew-arasındaki-fark-nedir</x:v>
      </x:c>
      <x:c r="R1629" s="20" t="str">
        <x:v>Ürün kimliği korundu; eksik alanlar erişilemedi olarak işaretlenecek.</x:v>
      </x:c>
    </x:row>
    <x:row r="1630" ht="40" customHeight="1">
      <x:c r="A1630" s="16" t="str">
        <x:v>Top Roasters</x:v>
      </x:c>
      <x:c r="B1630" s="16" t="str"/>
      <x:c r="C1630" s="16" t="str">
        <x:v>Kısmi doğrulama</x:v>
      </x:c>
      <x:c r="D1630" s="16" t="str">
        <x:v>Ürün kaydı</x:v>
      </x:c>
      <x:c r="E1630" s="16" t="str">
        <x:v>Çocuklarınızla Kahve Keyfi Babyccino İle Mümkün</x:v>
      </x:c>
      <x:c r="F1630" s="16" t="str">
        <x:v>Menşe belirtilmemiş</x:v>
      </x:c>
      <x:c r="G1630" s="17" t="str">
        <x:v>Erişilemedi</x:v>
      </x:c>
      <x:c r="H1630" s="16" t="str">
        <x:v>Erişilemedi</x:v>
      </x:c>
      <x:c r="I1630" s="18" t="n">
        <x:v>0</x:v>
      </x:c>
      <x:c r="J1630" s="18" t="str">
        <x:v>Erişilemedi</x:v>
      </x:c>
      <x:c r="K1630" s="18" t="str">
        <x:f>IF(AND(ISNUMBER(G1630),ISNUMBER(I1630)),I1630/G1630*1000,"Erişilemedi")</x:f>
        <x:v>Erişilemedi</x:v>
      </x:c>
      <x:c r="L1630" s="16" t="str">
        <x:v>Belirsiz</x:v>
      </x:c>
      <x:c r="M1630" s="16" t="str">
        <x:v>Kahve ürünü</x:v>
      </x:c>
      <x:c r="N1630" s="16" t="str">
        <x:v>Site haritası ürün sayfası</x:v>
      </x:c>
      <x:c r="O1630" s="16" t="str">
        <x:v>Düşük</x:v>
      </x:c>
      <x:c r="P1630" s="19" t="n">
        <x:v>46245</x:v>
      </x:c>
      <x:c r="Q1630" s="20" t="str">
        <x:v>https://www.toproasters.com.tr/post/çocuklarınızla-kahve-keyfi-babyccino-i-le-mümkün</x:v>
      </x:c>
      <x:c r="R1630" s="20" t="str">
        <x:v>Ürün kimliği korundu; eksik alanlar erişilemedi olarak işaretlenecek.</x:v>
      </x:c>
    </x:row>
    <x:row r="1631" ht="40" customHeight="1">
      <x:c r="A1631" s="16" t="str">
        <x:v>Top Roasters</x:v>
      </x:c>
      <x:c r="B1631" s="16" t="str"/>
      <x:c r="C1631" s="16" t="str">
        <x:v>Kısmi doğrulama</x:v>
      </x:c>
      <x:c r="D1631" s="16" t="str">
        <x:v>Ürün kaydı</x:v>
      </x:c>
      <x:c r="E1631" s="16" t="str">
        <x:v>Dünyanın Dört Bir Yanında Kahve Kültürü: Farklı Ülkeler Kahveyi Nasıl İçiyor?</x:v>
      </x:c>
      <x:c r="F1631" s="16" t="str">
        <x:v>Menşe belirtilmemiş</x:v>
      </x:c>
      <x:c r="G1631" s="17" t="str">
        <x:v>Erişilemedi</x:v>
      </x:c>
      <x:c r="H1631" s="16" t="str">
        <x:v>Erişilemedi</x:v>
      </x:c>
      <x:c r="I1631" s="18" t="n">
        <x:v>0</x:v>
      </x:c>
      <x:c r="J1631" s="18" t="str">
        <x:v>Erişilemedi</x:v>
      </x:c>
      <x:c r="K1631" s="18" t="str">
        <x:f>IF(AND(ISNUMBER(G1631),ISNUMBER(I1631)),I1631/G1631*1000,"Erişilemedi")</x:f>
        <x:v>Erişilemedi</x:v>
      </x:c>
      <x:c r="L1631" s="16" t="str">
        <x:v>Belirsiz</x:v>
      </x:c>
      <x:c r="M1631" s="16" t="str">
        <x:v>Kahve ürünü</x:v>
      </x:c>
      <x:c r="N1631" s="16" t="str">
        <x:v>Site haritası ürün sayfası</x:v>
      </x:c>
      <x:c r="O1631" s="16" t="str">
        <x:v>Düşük</x:v>
      </x:c>
      <x:c r="P1631" s="19" t="n">
        <x:v>46245</x:v>
      </x:c>
      <x:c r="Q1631" s="20" t="str">
        <x:v>https://www.toproasters.com.tr/post/dünyanın-dört-bir-yanında-kahve-kültürü-farklı-ülkeler-kahveyi-nasıl-i̇çiyor</x:v>
      </x:c>
      <x:c r="R1631" s="20" t="str">
        <x:v>Ürün kimliği korundu; eksik alanlar erişilemedi olarak işaretlenecek.</x:v>
      </x:c>
    </x:row>
    <x:row r="1632" ht="40" customHeight="1">
      <x:c r="A1632" s="16" t="str">
        <x:v>Top Roasters</x:v>
      </x:c>
      <x:c r="B1632" s="16" t="str"/>
      <x:c r="C1632" s="16" t="str">
        <x:v>Kısmi doğrulama</x:v>
      </x:c>
      <x:c r="D1632" s="16" t="str">
        <x:v>Ürün kaydı</x:v>
      </x:c>
      <x:c r="E1632" s="16" t="str">
        <x:v>Dünyanın En İyi 5 Arabica Kahvesi ve Evde Nasıl Hazırlanır?</x:v>
      </x:c>
      <x:c r="F1632" s="16" t="str">
        <x:v>Etiyopya | Kolombiya</x:v>
      </x:c>
      <x:c r="G1632" s="17" t="str">
        <x:v>Erişilemedi</x:v>
      </x:c>
      <x:c r="H1632" s="16" t="str">
        <x:v>Erişilemedi</x:v>
      </x:c>
      <x:c r="I1632" s="18" t="n">
        <x:v>0</x:v>
      </x:c>
      <x:c r="J1632" s="18" t="str">
        <x:v>Erişilemedi</x:v>
      </x:c>
      <x:c r="K1632" s="18" t="str">
        <x:f>IF(AND(ISNUMBER(G1632),ISNUMBER(I1632)),I1632/G1632*1000,"Erişilemedi")</x:f>
        <x:v>Erişilemedi</x:v>
      </x:c>
      <x:c r="L1632" s="16" t="str">
        <x:v>Belirsiz</x:v>
      </x:c>
      <x:c r="M1632" s="16" t="str">
        <x:v>Kahve ürünü</x:v>
      </x:c>
      <x:c r="N1632" s="16" t="str">
        <x:v>Site haritası ürün sayfası</x:v>
      </x:c>
      <x:c r="O1632" s="16" t="str">
        <x:v>Düşük</x:v>
      </x:c>
      <x:c r="P1632" s="19" t="n">
        <x:v>46245</x:v>
      </x:c>
      <x:c r="Q1632" s="20" t="str">
        <x:v>https://www.toproasters.com.tr/post/dünyanın-en-i̇yi-5-arabica-kahvesi-ve-evde-nasıl-hazırlanır</x:v>
      </x:c>
      <x:c r="R1632" s="20" t="str">
        <x:v>Ürün kimliği korundu; eksik alanlar erişilemedi olarak işaretlenecek.</x:v>
      </x:c>
    </x:row>
    <x:row r="1633" ht="40" customHeight="1">
      <x:c r="A1633" s="16" t="str">
        <x:v>Top Roasters</x:v>
      </x:c>
      <x:c r="B1633" s="16" t="str"/>
      <x:c r="C1633" s="16" t="str">
        <x:v>Kısmi doğrulama</x:v>
      </x:c>
      <x:c r="D1633" s="16" t="str">
        <x:v>Ürün kaydı</x:v>
      </x:c>
      <x:c r="E1633" s="16" t="str">
        <x:v>Espresso ve Filtre Kahve Makine Temizliği Nasıl Yapılmalıdır?</x:v>
      </x:c>
      <x:c r="F1633" s="16" t="str">
        <x:v>Menşe belirtilmemiş</x:v>
      </x:c>
      <x:c r="G1633" s="17" t="str">
        <x:v>Erişilemedi</x:v>
      </x:c>
      <x:c r="H1633" s="16" t="str">
        <x:v>Erişilemedi</x:v>
      </x:c>
      <x:c r="I1633" s="18" t="n">
        <x:v>0</x:v>
      </x:c>
      <x:c r="J1633" s="18" t="str">
        <x:v>Erişilemedi</x:v>
      </x:c>
      <x:c r="K1633" s="18" t="str">
        <x:f>IF(AND(ISNUMBER(G1633),ISNUMBER(I1633)),I1633/G1633*1000,"Erişilemedi")</x:f>
        <x:v>Erişilemedi</x:v>
      </x:c>
      <x:c r="L1633" s="16" t="str">
        <x:v>Belirsiz</x:v>
      </x:c>
      <x:c r="M1633" s="16" t="str">
        <x:v>Kahve ürünü</x:v>
      </x:c>
      <x:c r="N1633" s="16" t="str">
        <x:v>Site haritası ürün sayfası</x:v>
      </x:c>
      <x:c r="O1633" s="16" t="str">
        <x:v>Düşük</x:v>
      </x:c>
      <x:c r="P1633" s="19" t="n">
        <x:v>46245</x:v>
      </x:c>
      <x:c r="Q1633" s="20" t="str">
        <x:v>https://www.toproasters.com.tr/post/espresso-ve-filtre-kahve-makine-temizligi-nasil-yapilmalidir</x:v>
      </x:c>
      <x:c r="R1633" s="20" t="str">
        <x:v>Ürün kimliği korundu; eksik alanlar erişilemedi olarak işaretlenecek.</x:v>
      </x:c>
    </x:row>
    <x:row r="1634" ht="40" customHeight="1">
      <x:c r="A1634" s="16" t="str">
        <x:v>Top Roasters</x:v>
      </x:c>
      <x:c r="B1634" s="16" t="str"/>
      <x:c r="C1634" s="16" t="str">
        <x:v>Kısmi doğrulama</x:v>
      </x:c>
      <x:c r="D1634" s="16" t="str">
        <x:v>Ürün kaydı</x:v>
      </x:c>
      <x:c r="E1634" s="16" t="str">
        <x:v>Etiyopya Yirgachaffe Kahve Çekirdeği Nedir?</x:v>
      </x:c>
      <x:c r="F1634" s="16" t="str">
        <x:v>Etiyopya</x:v>
      </x:c>
      <x:c r="G1634" s="17" t="str">
        <x:v>Erişilemedi</x:v>
      </x:c>
      <x:c r="H1634" s="16" t="str">
        <x:v>Erişilemedi</x:v>
      </x:c>
      <x:c r="I1634" s="18" t="n">
        <x:v>0</x:v>
      </x:c>
      <x:c r="J1634" s="18" t="str">
        <x:v>Erişilemedi</x:v>
      </x:c>
      <x:c r="K1634" s="18" t="str">
        <x:f>IF(AND(ISNUMBER(G1634),ISNUMBER(I1634)),I1634/G1634*1000,"Erişilemedi")</x:f>
        <x:v>Erişilemedi</x:v>
      </x:c>
      <x:c r="L1634" s="16" t="str">
        <x:v>Belirsiz</x:v>
      </x:c>
      <x:c r="M1634" s="16" t="str">
        <x:v>Kahve ürünü</x:v>
      </x:c>
      <x:c r="N1634" s="16" t="str">
        <x:v>Site haritası ürün sayfası</x:v>
      </x:c>
      <x:c r="O1634" s="16" t="str">
        <x:v>Düşük</x:v>
      </x:c>
      <x:c r="P1634" s="19" t="n">
        <x:v>46245</x:v>
      </x:c>
      <x:c r="Q1634" s="20" t="str">
        <x:v>https://www.toproasters.com.tr/post/etiyopya-yirgachaffe-kahve-çekirdeği-nedir</x:v>
      </x:c>
      <x:c r="R1634" s="20" t="str">
        <x:v>Ürün kimliği korundu; eksik alanlar erişilemedi olarak işaretlenecek.</x:v>
      </x:c>
    </x:row>
    <x:row r="1635" ht="40" customHeight="1">
      <x:c r="A1635" s="16" t="str">
        <x:v>Top Roasters</x:v>
      </x:c>
      <x:c r="B1635" s="16" t="str"/>
      <x:c r="C1635" s="16" t="str">
        <x:v>Kısmi doğrulama</x:v>
      </x:c>
      <x:c r="D1635" s="16" t="str">
        <x:v>Ürün kaydı</x:v>
      </x:c>
      <x:c r="E1635" s="16" t="str">
        <x:v>Evde Kafe Kalitesinde Kahve Nasıl Yapılır? (Barista Seviyesinde Rehber)</x:v>
      </x:c>
      <x:c r="F1635" s="16" t="str">
        <x:v>Menşe belirtilmemiş</x:v>
      </x:c>
      <x:c r="G1635" s="17" t="str">
        <x:v>Erişilemedi</x:v>
      </x:c>
      <x:c r="H1635" s="16" t="str">
        <x:v>Erişilemedi</x:v>
      </x:c>
      <x:c r="I1635" s="18" t="n">
        <x:v>0</x:v>
      </x:c>
      <x:c r="J1635" s="18" t="str">
        <x:v>Erişilemedi</x:v>
      </x:c>
      <x:c r="K1635" s="18" t="str">
        <x:f>IF(AND(ISNUMBER(G1635),ISNUMBER(I1635)),I1635/G1635*1000,"Erişilemedi")</x:f>
        <x:v>Erişilemedi</x:v>
      </x:c>
      <x:c r="L1635" s="16" t="str">
        <x:v>Belirsiz</x:v>
      </x:c>
      <x:c r="M1635" s="16" t="str">
        <x:v>Kahve ürünü</x:v>
      </x:c>
      <x:c r="N1635" s="16" t="str">
        <x:v>Site haritası ürün sayfası</x:v>
      </x:c>
      <x:c r="O1635" s="16" t="str">
        <x:v>Düşük</x:v>
      </x:c>
      <x:c r="P1635" s="19" t="n">
        <x:v>46245</x:v>
      </x:c>
      <x:c r="Q1635" s="20" t="str">
        <x:v>https://www.toproasters.com.tr/post/evde-kafe-kalitesinde-kahve-nasıl-yapılır-barista-seviyesinde-rehber</x:v>
      </x:c>
      <x:c r="R1635" s="20" t="str">
        <x:v>Ürün kimliği korundu; eksik alanlar erişilemedi olarak işaretlenecek.</x:v>
      </x:c>
    </x:row>
    <x:row r="1636" ht="40" customHeight="1">
      <x:c r="A1636" s="16" t="str">
        <x:v>Top Roasters</x:v>
      </x:c>
      <x:c r="B1636" s="16" t="str"/>
      <x:c r="C1636" s="16" t="str">
        <x:v>Kısmi doğrulama</x:v>
      </x:c>
      <x:c r="D1636" s="16" t="str">
        <x:v>Ürün kaydı</x:v>
      </x:c>
      <x:c r="E1636" s="16" t="str">
        <x:v>Evde Kahve Bitkisi Yetiştirmek Mümkün Mü?</x:v>
      </x:c>
      <x:c r="F1636" s="16" t="str">
        <x:v>Menşe belirtilmemiş</x:v>
      </x:c>
      <x:c r="G1636" s="17" t="str">
        <x:v>Erişilemedi</x:v>
      </x:c>
      <x:c r="H1636" s="16" t="str">
        <x:v>Erişilemedi</x:v>
      </x:c>
      <x:c r="I1636" s="18" t="n">
        <x:v>0</x:v>
      </x:c>
      <x:c r="J1636" s="18" t="str">
        <x:v>Erişilemedi</x:v>
      </x:c>
      <x:c r="K1636" s="18" t="str">
        <x:f>IF(AND(ISNUMBER(G1636),ISNUMBER(I1636)),I1636/G1636*1000,"Erişilemedi")</x:f>
        <x:v>Erişilemedi</x:v>
      </x:c>
      <x:c r="L1636" s="16" t="str">
        <x:v>Belirsiz</x:v>
      </x:c>
      <x:c r="M1636" s="16" t="str">
        <x:v>Kahve ürünü</x:v>
      </x:c>
      <x:c r="N1636" s="16" t="str">
        <x:v>Site haritası ürün sayfası</x:v>
      </x:c>
      <x:c r="O1636" s="16" t="str">
        <x:v>Düşük</x:v>
      </x:c>
      <x:c r="P1636" s="19" t="n">
        <x:v>46245</x:v>
      </x:c>
      <x:c r="Q1636" s="20" t="str">
        <x:v>https://www.toproasters.com.tr/post/evde-kahve-bitkisi-yetiştirmek-mümkün-mü</x:v>
      </x:c>
      <x:c r="R1636" s="20" t="str">
        <x:v>Ürün kimliği korundu; eksik alanlar erişilemedi olarak işaretlenecek.</x:v>
      </x:c>
    </x:row>
    <x:row r="1637" ht="40" customHeight="1">
      <x:c r="A1637" s="16" t="str">
        <x:v>Top Roasters</x:v>
      </x:c>
      <x:c r="B1637" s="16" t="str"/>
      <x:c r="C1637" s="16" t="str">
        <x:v>Kısmi doğrulama</x:v>
      </x:c>
      <x:c r="D1637" s="16" t="str">
        <x:v>Ürün kaydı</x:v>
      </x:c>
      <x:c r="E1637" s="16" t="str">
        <x:v>Evde Kahve Demlemek</x:v>
      </x:c>
      <x:c r="F1637" s="16" t="str">
        <x:v>Menşe belirtilmemiş</x:v>
      </x:c>
      <x:c r="G1637" s="17" t="str">
        <x:v>Erişilemedi</x:v>
      </x:c>
      <x:c r="H1637" s="16" t="str">
        <x:v>Erişilemedi</x:v>
      </x:c>
      <x:c r="I1637" s="18" t="n">
        <x:v>0</x:v>
      </x:c>
      <x:c r="J1637" s="18" t="str">
        <x:v>Erişilemedi</x:v>
      </x:c>
      <x:c r="K1637" s="18" t="str">
        <x:f>IF(AND(ISNUMBER(G1637),ISNUMBER(I1637)),I1637/G1637*1000,"Erişilemedi")</x:f>
        <x:v>Erişilemedi</x:v>
      </x:c>
      <x:c r="L1637" s="16" t="str">
        <x:v>Belirsiz</x:v>
      </x:c>
      <x:c r="M1637" s="16" t="str">
        <x:v>Kahve ürünü</x:v>
      </x:c>
      <x:c r="N1637" s="16" t="str">
        <x:v>Site haritası ürün sayfası</x:v>
      </x:c>
      <x:c r="O1637" s="16" t="str">
        <x:v>Düşük</x:v>
      </x:c>
      <x:c r="P1637" s="19" t="n">
        <x:v>46245</x:v>
      </x:c>
      <x:c r="Q1637" s="20" t="str">
        <x:v>https://www.toproasters.com.tr/post/evde-kahve-demlemek</x:v>
      </x:c>
      <x:c r="R1637" s="20" t="str">
        <x:v>Ürün kimliği korundu; eksik alanlar erişilemedi olarak işaretlenecek.</x:v>
      </x:c>
    </x:row>
    <x:row r="1638" ht="40" customHeight="1">
      <x:c r="A1638" s="16" t="str">
        <x:v>Top Roasters</x:v>
      </x:c>
      <x:c r="B1638" s="16" t="str"/>
      <x:c r="C1638" s="16" t="str">
        <x:v>Kısmi doğrulama</x:v>
      </x:c>
      <x:c r="D1638" s="16" t="str">
        <x:v>Ürün kaydı</x:v>
      </x:c>
      <x:c r="E1638" s="16" t="str">
        <x:v>Evinizde Kahve Tüketiyorsanız Nelere Dikkat Etmelisiniz?</x:v>
      </x:c>
      <x:c r="F1638" s="16" t="str">
        <x:v>Menşe belirtilmemiş</x:v>
      </x:c>
      <x:c r="G1638" s="17" t="str">
        <x:v>Erişilemedi</x:v>
      </x:c>
      <x:c r="H1638" s="16" t="str">
        <x:v>Erişilemedi</x:v>
      </x:c>
      <x:c r="I1638" s="18" t="n">
        <x:v>0</x:v>
      </x:c>
      <x:c r="J1638" s="18" t="str">
        <x:v>Erişilemedi</x:v>
      </x:c>
      <x:c r="K1638" s="18" t="str">
        <x:f>IF(AND(ISNUMBER(G1638),ISNUMBER(I1638)),I1638/G1638*1000,"Erişilemedi")</x:f>
        <x:v>Erişilemedi</x:v>
      </x:c>
      <x:c r="L1638" s="16" t="str">
        <x:v>Belirsiz</x:v>
      </x:c>
      <x:c r="M1638" s="16" t="str">
        <x:v>Kahve ürünü</x:v>
      </x:c>
      <x:c r="N1638" s="16" t="str">
        <x:v>Site haritası ürün sayfası</x:v>
      </x:c>
      <x:c r="O1638" s="16" t="str">
        <x:v>Düşük</x:v>
      </x:c>
      <x:c r="P1638" s="19" t="n">
        <x:v>46245</x:v>
      </x:c>
      <x:c r="Q1638" s="20" t="str">
        <x:v>https://www.toproasters.com.tr/post/evinizde-kahve-tüketiyorsanız-nelere-dikkat-etmelisiniz</x:v>
      </x:c>
      <x:c r="R1638" s="20" t="str">
        <x:v>Ürün kimliği korundu; eksik alanlar erişilemedi olarak işaretlenecek.</x:v>
      </x:c>
    </x:row>
    <x:row r="1639" ht="40" customHeight="1">
      <x:c r="A1639" s="16" t="str">
        <x:v>Top Roasters</x:v>
      </x:c>
      <x:c r="B1639" s="16" t="str"/>
      <x:c r="C1639" s="16" t="str">
        <x:v>Kısmi doğrulama</x:v>
      </x:c>
      <x:c r="D1639" s="16" t="str">
        <x:v>Ürün kaydı</x:v>
      </x:c>
      <x:c r="E1639" s="16" t="str">
        <x:v>Flat White, Bir Latte Mi, Cappuccino Mu Yoksa Farklı Bir Kahve Çeşidi Mi?</x:v>
      </x:c>
      <x:c r="F1639" s="16" t="str">
        <x:v>Menşe belirtilmemiş</x:v>
      </x:c>
      <x:c r="G1639" s="17" t="str">
        <x:v>Erişilemedi</x:v>
      </x:c>
      <x:c r="H1639" s="16" t="str">
        <x:v>Erişilemedi</x:v>
      </x:c>
      <x:c r="I1639" s="18" t="n">
        <x:v>0</x:v>
      </x:c>
      <x:c r="J1639" s="18" t="str">
        <x:v>Erişilemedi</x:v>
      </x:c>
      <x:c r="K1639" s="18" t="str">
        <x:f>IF(AND(ISNUMBER(G1639),ISNUMBER(I1639)),I1639/G1639*1000,"Erişilemedi")</x:f>
        <x:v>Erişilemedi</x:v>
      </x:c>
      <x:c r="L1639" s="16" t="str">
        <x:v>Belirsiz</x:v>
      </x:c>
      <x:c r="M1639" s="16" t="str">
        <x:v>Kahve ürünü</x:v>
      </x:c>
      <x:c r="N1639" s="16" t="str">
        <x:v>Site haritası ürün sayfası</x:v>
      </x:c>
      <x:c r="O1639" s="16" t="str">
        <x:v>Düşük</x:v>
      </x:c>
      <x:c r="P1639" s="19" t="n">
        <x:v>46245</x:v>
      </x:c>
      <x:c r="Q1639" s="20" t="str">
        <x:v>https://www.toproasters.com.tr/post/flat-white-bir-latte-mi-cappuccino-mu-yoksa-farklı-bir-kahve-çeşidi-mi</x:v>
      </x:c>
      <x:c r="R1639" s="20" t="str">
        <x:v>Ürün kimliği korundu; eksik alanlar erişilemedi olarak işaretlenecek.</x:v>
      </x:c>
    </x:row>
    <x:row r="1640" ht="40" customHeight="1">
      <x:c r="A1640" s="16" t="str">
        <x:v>Top Roasters</x:v>
      </x:c>
      <x:c r="B1640" s="16" t="str"/>
      <x:c r="C1640" s="16" t="str">
        <x:v>Kısmi doğrulama</x:v>
      </x:c>
      <x:c r="D1640" s="16" t="str">
        <x:v>Ürün kaydı</x:v>
      </x:c>
      <x:c r="E1640" s="16" t="str">
        <x:v>Güncel Haber: ABD’de Kahve Fiyatları Tetikte – Küçük Kafeler Zorlukta</x:v>
      </x:c>
      <x:c r="F1640" s="16" t="str">
        <x:v>Menşe belirtilmemiş</x:v>
      </x:c>
      <x:c r="G1640" s="17" t="str">
        <x:v>Erişilemedi</x:v>
      </x:c>
      <x:c r="H1640" s="16" t="str">
        <x:v>Erişilemedi</x:v>
      </x:c>
      <x:c r="I1640" s="18" t="n">
        <x:v>0</x:v>
      </x:c>
      <x:c r="J1640" s="18" t="str">
        <x:v>Erişilemedi</x:v>
      </x:c>
      <x:c r="K1640" s="18" t="str">
        <x:f>IF(AND(ISNUMBER(G1640),ISNUMBER(I1640)),I1640/G1640*1000,"Erişilemedi")</x:f>
        <x:v>Erişilemedi</x:v>
      </x:c>
      <x:c r="L1640" s="16" t="str">
        <x:v>Belirsiz</x:v>
      </x:c>
      <x:c r="M1640" s="16" t="str">
        <x:v>Kahve ürünü</x:v>
      </x:c>
      <x:c r="N1640" s="16" t="str">
        <x:v>Site haritası ürün sayfası</x:v>
      </x:c>
      <x:c r="O1640" s="16" t="str">
        <x:v>Düşük</x:v>
      </x:c>
      <x:c r="P1640" s="19" t="n">
        <x:v>46245</x:v>
      </x:c>
      <x:c r="Q1640" s="20" t="str">
        <x:v>https://www.toproasters.com.tr/post/güncel-haber-abd-de-kahve-fiyatları-tetikte-küçük-kafeler-zorlukta</x:v>
      </x:c>
      <x:c r="R1640" s="20" t="str">
        <x:v>Ürün kimliği korundu; eksik alanlar erişilemedi olarak işaretlenecek.</x:v>
      </x:c>
    </x:row>
    <x:row r="1641" ht="40" customHeight="1">
      <x:c r="A1641" s="16" t="str">
        <x:v>Top Roasters</x:v>
      </x:c>
      <x:c r="B1641" s="16" t="str"/>
      <x:c r="C1641" s="16" t="str">
        <x:v>Kısmi doğrulama</x:v>
      </x:c>
      <x:c r="D1641" s="16" t="str">
        <x:v>Ürün kaydı</x:v>
      </x:c>
      <x:c r="E1641" s="16" t="str">
        <x:v>Kahve Alırken Herkesin Yaptığı 7 Büyük Hata</x:v>
      </x:c>
      <x:c r="F1641" s="16" t="str">
        <x:v>Menşe belirtilmemiş</x:v>
      </x:c>
      <x:c r="G1641" s="17" t="n">
        <x:v>2026</x:v>
      </x:c>
      <x:c r="H1641" s="16" t="str">
        <x:v>Erişildi</x:v>
      </x:c>
      <x:c r="I1641" s="18" t="n">
        <x:v>0</x:v>
      </x:c>
      <x:c r="J1641" s="18" t="str">
        <x:v>Erişilemedi</x:v>
      </x:c>
      <x:c r="K1641" s="18" t="n">
        <x:f>IF(AND(ISNUMBER(G1641),ISNUMBER(I1641)),I1641/G1641*1000,"Erişilemedi")</x:f>
        <x:v>0</x:v>
      </x:c>
      <x:c r="L1641" s="16" t="str">
        <x:v>Belirsiz</x:v>
      </x:c>
      <x:c r="M1641" s="16" t="str">
        <x:v>Kahve ürünü</x:v>
      </x:c>
      <x:c r="N1641" s="16" t="str">
        <x:v>Site haritası ürün sayfası</x:v>
      </x:c>
      <x:c r="O1641" s="16" t="str">
        <x:v>Düşük</x:v>
      </x:c>
      <x:c r="P1641" s="19" t="n">
        <x:v>46245</x:v>
      </x:c>
      <x:c r="Q1641" s="20" t="str">
        <x:v>https://www.toproasters.com.tr/post/kahve-alırken-herkesin-yaptığı-7-büyük-hata</x:v>
      </x:c>
      <x:c r="R1641" s="20" t="str">
        <x:v>Ürün kimliği korundu; eksik alanlar erişilemedi olarak işaretlenecek.</x:v>
      </x:c>
    </x:row>
    <x:row r="1642" ht="40" customHeight="1">
      <x:c r="A1642" s="16" t="str">
        <x:v>Top Roasters</x:v>
      </x:c>
      <x:c r="B1642" s="16" t="str"/>
      <x:c r="C1642" s="16" t="str">
        <x:v>Kısmi doğrulama</x:v>
      </x:c>
      <x:c r="D1642" s="16" t="str">
        <x:v>Ürün kaydı</x:v>
      </x:c>
      <x:c r="E1642" s="16" t="str">
        <x:v>Kahve Borsasında Son Durum: Fiyatlar Neden Bu Kadar Yükseliyor?</x:v>
      </x:c>
      <x:c r="F1642" s="16" t="str">
        <x:v>Menşe belirtilmemiş</x:v>
      </x:c>
      <x:c r="G1642" s="17" t="str">
        <x:v>Erişilemedi</x:v>
      </x:c>
      <x:c r="H1642" s="16" t="str">
        <x:v>Erişilemedi</x:v>
      </x:c>
      <x:c r="I1642" s="18" t="n">
        <x:v>0</x:v>
      </x:c>
      <x:c r="J1642" s="18" t="str">
        <x:v>Erişilemedi</x:v>
      </x:c>
      <x:c r="K1642" s="18" t="str">
        <x:f>IF(AND(ISNUMBER(G1642),ISNUMBER(I1642)),I1642/G1642*1000,"Erişilemedi")</x:f>
        <x:v>Erişilemedi</x:v>
      </x:c>
      <x:c r="L1642" s="16" t="str">
        <x:v>Belirsiz</x:v>
      </x:c>
      <x:c r="M1642" s="16" t="str">
        <x:v>Kahve ürünü</x:v>
      </x:c>
      <x:c r="N1642" s="16" t="str">
        <x:v>Site haritası ürün sayfası</x:v>
      </x:c>
      <x:c r="O1642" s="16" t="str">
        <x:v>Düşük</x:v>
      </x:c>
      <x:c r="P1642" s="19" t="n">
        <x:v>46245</x:v>
      </x:c>
      <x:c r="Q1642" s="20" t="str">
        <x:v>https://www.toproasters.com.tr/post/başlık-kahve-borsasında-son-durum-fiyatlar-neden-bu-kadar-yükseliyor</x:v>
      </x:c>
      <x:c r="R1642" s="20" t="str">
        <x:v>Ürün kimliği korundu; eksik alanlar erişilemedi olarak işaretlenecek.</x:v>
      </x:c>
    </x:row>
    <x:row r="1643" ht="40" customHeight="1">
      <x:c r="A1643" s="16" t="str">
        <x:v>Top Roasters</x:v>
      </x:c>
      <x:c r="B1643" s="16" t="str"/>
      <x:c r="C1643" s="16" t="str">
        <x:v>Kısmi doğrulama</x:v>
      </x:c>
      <x:c r="D1643" s="16" t="str">
        <x:v>Ürün kaydı</x:v>
      </x:c>
      <x:c r="E1643" s="16" t="str">
        <x:v>Kahve Demleme Rehberi: Evde Profesyonel Kahve Yapmanın Püf Noktaları</x:v>
      </x:c>
      <x:c r="F1643" s="16" t="str">
        <x:v>Menşe belirtilmemiş</x:v>
      </x:c>
      <x:c r="G1643" s="17" t="str">
        <x:v>Erişilemedi</x:v>
      </x:c>
      <x:c r="H1643" s="16" t="str">
        <x:v>Erişilemedi</x:v>
      </x:c>
      <x:c r="I1643" s="18" t="n">
        <x:v>0</x:v>
      </x:c>
      <x:c r="J1643" s="18" t="str">
        <x:v>Erişilemedi</x:v>
      </x:c>
      <x:c r="K1643" s="18" t="str">
        <x:f>IF(AND(ISNUMBER(G1643),ISNUMBER(I1643)),I1643/G1643*1000,"Erişilemedi")</x:f>
        <x:v>Erişilemedi</x:v>
      </x:c>
      <x:c r="L1643" s="16" t="str">
        <x:v>Belirsiz</x:v>
      </x:c>
      <x:c r="M1643" s="16" t="str">
        <x:v>Kahve ürünü</x:v>
      </x:c>
      <x:c r="N1643" s="16" t="str">
        <x:v>Site haritası ürün sayfası</x:v>
      </x:c>
      <x:c r="O1643" s="16" t="str">
        <x:v>Düşük</x:v>
      </x:c>
      <x:c r="P1643" s="19" t="n">
        <x:v>46245</x:v>
      </x:c>
      <x:c r="Q1643" s="20" t="str">
        <x:v>https://www.toproasters.com.tr/post/kahve-demleme-rehberi-evde-profesyonel-kahve-yapmanın-püf-noktaları</x:v>
      </x:c>
      <x:c r="R1643" s="20" t="str">
        <x:v>Ürün kimliği korundu; eksik alanlar erişilemedi olarak işaretlenecek.</x:v>
      </x:c>
    </x:row>
    <x:row r="1644" ht="40" customHeight="1">
      <x:c r="A1644" s="16" t="str">
        <x:v>Top Roasters</x:v>
      </x:c>
      <x:c r="B1644" s="16" t="str"/>
      <x:c r="C1644" s="16" t="str">
        <x:v>Kısmi doğrulama</x:v>
      </x:c>
      <x:c r="D1644" s="16" t="str">
        <x:v>Ürün kaydı</x:v>
      </x:c>
      <x:c r="E1644" s="16" t="str">
        <x:v>Kahve Fiyatları Neden Yükseliyor? 2025’te Kahve Borsasında Son Durum</x:v>
      </x:c>
      <x:c r="F1644" s="16" t="str">
        <x:v>Menşe belirtilmemiş</x:v>
      </x:c>
      <x:c r="G1644" s="17" t="str">
        <x:v>Erişilemedi</x:v>
      </x:c>
      <x:c r="H1644" s="16" t="str">
        <x:v>Erişilemedi</x:v>
      </x:c>
      <x:c r="I1644" s="18" t="n">
        <x:v>0</x:v>
      </x:c>
      <x:c r="J1644" s="18" t="str">
        <x:v>Erişilemedi</x:v>
      </x:c>
      <x:c r="K1644" s="18" t="str">
        <x:f>IF(AND(ISNUMBER(G1644),ISNUMBER(I1644)),I1644/G1644*1000,"Erişilemedi")</x:f>
        <x:v>Erişilemedi</x:v>
      </x:c>
      <x:c r="L1644" s="16" t="str">
        <x:v>Belirsiz</x:v>
      </x:c>
      <x:c r="M1644" s="16" t="str">
        <x:v>Kahve ürünü</x:v>
      </x:c>
      <x:c r="N1644" s="16" t="str">
        <x:v>Site haritası ürün sayfası</x:v>
      </x:c>
      <x:c r="O1644" s="16" t="str">
        <x:v>Düşük</x:v>
      </x:c>
      <x:c r="P1644" s="19" t="n">
        <x:v>46245</x:v>
      </x:c>
      <x:c r="Q1644" s="20" t="str">
        <x:v>https://www.toproasters.com.tr/post/kahve-fiyatları-neden-yükseliyor-2025-te-kahve-borsasında-son-durum</x:v>
      </x:c>
      <x:c r="R1644" s="20" t="str">
        <x:v>Ürün kimliği korundu; eksik alanlar erişilemedi olarak işaretlenecek.</x:v>
      </x:c>
    </x:row>
    <x:row r="1645" ht="40" customHeight="1">
      <x:c r="A1645" s="16" t="str">
        <x:v>Top Roasters</x:v>
      </x:c>
      <x:c r="B1645" s="16" t="str"/>
      <x:c r="C1645" s="16" t="str">
        <x:v>Kısmi doğrulama</x:v>
      </x:c>
      <x:c r="D1645" s="16" t="str">
        <x:v>Ürün kaydı</x:v>
      </x:c>
      <x:c r="E1645" s="16" t="str">
        <x:v>Kahve İçin Quaker Terimi Ne Anlama Gelir?</x:v>
      </x:c>
      <x:c r="F1645" s="16" t="str">
        <x:v>Menşe belirtilmemiş</x:v>
      </x:c>
      <x:c r="G1645" s="17" t="str">
        <x:v>Erişilemedi</x:v>
      </x:c>
      <x:c r="H1645" s="16" t="str">
        <x:v>Erişilemedi</x:v>
      </x:c>
      <x:c r="I1645" s="18" t="n">
        <x:v>0</x:v>
      </x:c>
      <x:c r="J1645" s="18" t="str">
        <x:v>Erişilemedi</x:v>
      </x:c>
      <x:c r="K1645" s="18" t="str">
        <x:f>IF(AND(ISNUMBER(G1645),ISNUMBER(I1645)),I1645/G1645*1000,"Erişilemedi")</x:f>
        <x:v>Erişilemedi</x:v>
      </x:c>
      <x:c r="L1645" s="16" t="str">
        <x:v>Belirsiz</x:v>
      </x:c>
      <x:c r="M1645" s="16" t="str">
        <x:v>Kahve ürünü</x:v>
      </x:c>
      <x:c r="N1645" s="16" t="str">
        <x:v>Site haritası ürün sayfası</x:v>
      </x:c>
      <x:c r="O1645" s="16" t="str">
        <x:v>Düşük</x:v>
      </x:c>
      <x:c r="P1645" s="19" t="n">
        <x:v>46245</x:v>
      </x:c>
      <x:c r="Q1645" s="20" t="str">
        <x:v>https://www.toproasters.com.tr/post/kahve-i̇çin-quaker-terimi-ne-anlama-gelir</x:v>
      </x:c>
      <x:c r="R1645" s="20" t="str">
        <x:v>Ürün kimliği korundu; eksik alanlar erişilemedi olarak işaretlenecek.</x:v>
      </x:c>
    </x:row>
    <x:row r="1646" ht="40" customHeight="1">
      <x:c r="A1646" s="16" t="str">
        <x:v>Top Roasters</x:v>
      </x:c>
      <x:c r="B1646" s="16" t="str"/>
      <x:c r="C1646" s="16" t="str">
        <x:v>Kısmi doğrulama</x:v>
      </x:c>
      <x:c r="D1646" s="16" t="str">
        <x:v>Ürün kaydı</x:v>
      </x:c>
      <x:c r="E1646" s="16" t="str">
        <x:v>Kahve Köpüğü İncelemesi; Köpüğün Arkasındaki Bilimsel Açıklamalar</x:v>
      </x:c>
      <x:c r="F1646" s="16" t="str">
        <x:v>Menşe belirtilmemiş</x:v>
      </x:c>
      <x:c r="G1646" s="17" t="str">
        <x:v>Erişilemedi</x:v>
      </x:c>
      <x:c r="H1646" s="16" t="str">
        <x:v>Erişilemedi</x:v>
      </x:c>
      <x:c r="I1646" s="18" t="n">
        <x:v>0</x:v>
      </x:c>
      <x:c r="J1646" s="18" t="str">
        <x:v>Erişilemedi</x:v>
      </x:c>
      <x:c r="K1646" s="18" t="str">
        <x:f>IF(AND(ISNUMBER(G1646),ISNUMBER(I1646)),I1646/G1646*1000,"Erişilemedi")</x:f>
        <x:v>Erişilemedi</x:v>
      </x:c>
      <x:c r="L1646" s="16" t="str">
        <x:v>Belirsiz</x:v>
      </x:c>
      <x:c r="M1646" s="16" t="str">
        <x:v>Kahve ürünü</x:v>
      </x:c>
      <x:c r="N1646" s="16" t="str">
        <x:v>Site haritası ürün sayfası</x:v>
      </x:c>
      <x:c r="O1646" s="16" t="str">
        <x:v>Düşük</x:v>
      </x:c>
      <x:c r="P1646" s="19" t="n">
        <x:v>46245</x:v>
      </x:c>
      <x:c r="Q1646" s="20" t="str">
        <x:v>https://www.toproasters.com.tr/post/kahve-köpüğü-i̇ncelemesi-köpüğün-arkasındaki-bilimsel-açıklamalar</x:v>
      </x:c>
      <x:c r="R1646" s="20" t="str">
        <x:v>Ürün kimliği korundu; eksik alanlar erişilemedi olarak işaretlenecek.</x:v>
      </x:c>
    </x:row>
    <x:row r="1647" ht="40" customHeight="1">
      <x:c r="A1647" s="16" t="str">
        <x:v>Top Roasters</x:v>
      </x:c>
      <x:c r="B1647" s="16" t="str"/>
      <x:c r="C1647" s="16" t="str">
        <x:v>Kısmi doğrulama</x:v>
      </x:c>
      <x:c r="D1647" s="16" t="str">
        <x:v>Ürün kaydı</x:v>
      </x:c>
      <x:c r="E1647" s="16" t="str">
        <x:v>Kahve Kültürü İle Mutfak Sanatları Bir Araya Geliyor!</x:v>
      </x:c>
      <x:c r="F1647" s="16" t="str">
        <x:v>Menşe belirtilmemiş</x:v>
      </x:c>
      <x:c r="G1647" s="17" t="str">
        <x:v>Erişilemedi</x:v>
      </x:c>
      <x:c r="H1647" s="16" t="str">
        <x:v>Erişilemedi</x:v>
      </x:c>
      <x:c r="I1647" s="18" t="n">
        <x:v>0</x:v>
      </x:c>
      <x:c r="J1647" s="18" t="str">
        <x:v>Erişilemedi</x:v>
      </x:c>
      <x:c r="K1647" s="18" t="str">
        <x:f>IF(AND(ISNUMBER(G1647),ISNUMBER(I1647)),I1647/G1647*1000,"Erişilemedi")</x:f>
        <x:v>Erişilemedi</x:v>
      </x:c>
      <x:c r="L1647" s="16" t="str">
        <x:v>Belirsiz</x:v>
      </x:c>
      <x:c r="M1647" s="16" t="str">
        <x:v>Kahve ürünü</x:v>
      </x:c>
      <x:c r="N1647" s="16" t="str">
        <x:v>Site haritası ürün sayfası</x:v>
      </x:c>
      <x:c r="O1647" s="16" t="str">
        <x:v>Düşük</x:v>
      </x:c>
      <x:c r="P1647" s="19" t="n">
        <x:v>46245</x:v>
      </x:c>
      <x:c r="Q1647" s="20" t="str">
        <x:v>https://www.toproasters.com.tr/post/kahve-kültürü-i̇le-mutfak-sanatları-bir-araya-geliyor</x:v>
      </x:c>
      <x:c r="R1647" s="20" t="str">
        <x:v>Ürün kimliği korundu; eksik alanlar erişilemedi olarak işaretlenecek.</x:v>
      </x:c>
    </x:row>
    <x:row r="1648" ht="40" customHeight="1">
      <x:c r="A1648" s="16" t="str">
        <x:v>Top Roasters</x:v>
      </x:c>
      <x:c r="B1648" s="16" t="str"/>
      <x:c r="C1648" s="16" t="str">
        <x:v>Kısmi doğrulama</x:v>
      </x:c>
      <x:c r="D1648" s="16" t="str">
        <x:v>Ürün kaydı</x:v>
      </x:c>
      <x:c r="E1648" s="16" t="str">
        <x:v>Kahve Lekeleri ile Aranızı Düzeltin</x:v>
      </x:c>
      <x:c r="F1648" s="16" t="str">
        <x:v>Menşe belirtilmemiş</x:v>
      </x:c>
      <x:c r="G1648" s="17" t="str">
        <x:v>Erişilemedi</x:v>
      </x:c>
      <x:c r="H1648" s="16" t="str">
        <x:v>Erişilemedi</x:v>
      </x:c>
      <x:c r="I1648" s="18" t="n">
        <x:v>0</x:v>
      </x:c>
      <x:c r="J1648" s="18" t="str">
        <x:v>Erişilemedi</x:v>
      </x:c>
      <x:c r="K1648" s="18" t="str">
        <x:f>IF(AND(ISNUMBER(G1648),ISNUMBER(I1648)),I1648/G1648*1000,"Erişilemedi")</x:f>
        <x:v>Erişilemedi</x:v>
      </x:c>
      <x:c r="L1648" s="16" t="str">
        <x:v>Belirsiz</x:v>
      </x:c>
      <x:c r="M1648" s="16" t="str">
        <x:v>Kahve ürünü</x:v>
      </x:c>
      <x:c r="N1648" s="16" t="str">
        <x:v>Site haritası ürün sayfası</x:v>
      </x:c>
      <x:c r="O1648" s="16" t="str">
        <x:v>Düşük</x:v>
      </x:c>
      <x:c r="P1648" s="19" t="n">
        <x:v>46245</x:v>
      </x:c>
      <x:c r="Q1648" s="20" t="str">
        <x:v>https://www.toproasters.com.tr/post/kahve-lekeleri-ile-aranızı-düzeltin</x:v>
      </x:c>
      <x:c r="R1648" s="20" t="str">
        <x:v>Ürün kimliği korundu; eksik alanlar erişilemedi olarak işaretlenecek.</x:v>
      </x:c>
    </x:row>
    <x:row r="1649" ht="40" customHeight="1">
      <x:c r="A1649" s="16" t="str">
        <x:v>Top Roasters</x:v>
      </x:c>
      <x:c r="B1649" s="16" t="str"/>
      <x:c r="C1649" s="16" t="str">
        <x:v>Kısmi doğrulama</x:v>
      </x:c>
      <x:c r="D1649" s="16" t="str">
        <x:v>Ürün kaydı</x:v>
      </x:c>
      <x:c r="E1649" s="16" t="str">
        <x:v>Kahve Öğütümü Tadı Ne Kadar Etkiler?</x:v>
      </x:c>
      <x:c r="F1649" s="16" t="str">
        <x:v>Menşe belirtilmemiş</x:v>
      </x:c>
      <x:c r="G1649" s="17" t="str">
        <x:v>Erişilemedi</x:v>
      </x:c>
      <x:c r="H1649" s="16" t="str">
        <x:v>Erişilemedi</x:v>
      </x:c>
      <x:c r="I1649" s="18" t="n">
        <x:v>0</x:v>
      </x:c>
      <x:c r="J1649" s="18" t="str">
        <x:v>Erişilemedi</x:v>
      </x:c>
      <x:c r="K1649" s="18" t="str">
        <x:f>IF(AND(ISNUMBER(G1649),ISNUMBER(I1649)),I1649/G1649*1000,"Erişilemedi")</x:f>
        <x:v>Erişilemedi</x:v>
      </x:c>
      <x:c r="L1649" s="16" t="str">
        <x:v>Belirsiz</x:v>
      </x:c>
      <x:c r="M1649" s="16" t="str">
        <x:v>Kahve ürünü</x:v>
      </x:c>
      <x:c r="N1649" s="16" t="str">
        <x:v>Site haritası ürün sayfası</x:v>
      </x:c>
      <x:c r="O1649" s="16" t="str">
        <x:v>Düşük</x:v>
      </x:c>
      <x:c r="P1649" s="19" t="n">
        <x:v>46245</x:v>
      </x:c>
      <x:c r="Q1649" s="20" t="str">
        <x:v>https://www.toproasters.com.tr/post/kahve-öğütümü-kalınlığı-tadı-ne-kadar-etkiler</x:v>
      </x:c>
      <x:c r="R1649" s="20" t="str">
        <x:v>Ürün kimliği korundu; eksik alanlar erişilemedi olarak işaretlenecek.</x:v>
      </x:c>
    </x:row>
    <x:row r="1650" ht="40" customHeight="1">
      <x:c r="A1650" s="16" t="str">
        <x:v>Top Roasters</x:v>
      </x:c>
      <x:c r="B1650" s="16" t="str"/>
      <x:c r="C1650" s="16" t="str">
        <x:v>Kısmi doğrulama</x:v>
      </x:c>
      <x:c r="D1650" s="16" t="str">
        <x:v>Ürün kaydı</x:v>
      </x:c>
      <x:c r="E1650" s="16" t="str">
        <x:v>Kahve ve Burçlar; Hangi Kahve Hangi Burca Göre?</x:v>
      </x:c>
      <x:c r="F1650" s="16" t="str">
        <x:v>Menşe belirtilmemiş</x:v>
      </x:c>
      <x:c r="G1650" s="17" t="str">
        <x:v>Erişilemedi</x:v>
      </x:c>
      <x:c r="H1650" s="16" t="str">
        <x:v>Erişilemedi</x:v>
      </x:c>
      <x:c r="I1650" s="18" t="n">
        <x:v>0</x:v>
      </x:c>
      <x:c r="J1650" s="18" t="str">
        <x:v>Erişilemedi</x:v>
      </x:c>
      <x:c r="K1650" s="18" t="str">
        <x:f>IF(AND(ISNUMBER(G1650),ISNUMBER(I1650)),I1650/G1650*1000,"Erişilemedi")</x:f>
        <x:v>Erişilemedi</x:v>
      </x:c>
      <x:c r="L1650" s="16" t="str">
        <x:v>Belirsiz</x:v>
      </x:c>
      <x:c r="M1650" s="16" t="str">
        <x:v>Kahve ürünü</x:v>
      </x:c>
      <x:c r="N1650" s="16" t="str">
        <x:v>Site haritası ürün sayfası</x:v>
      </x:c>
      <x:c r="O1650" s="16" t="str">
        <x:v>Düşük</x:v>
      </x:c>
      <x:c r="P1650" s="19" t="n">
        <x:v>46245</x:v>
      </x:c>
      <x:c r="Q1650" s="20" t="str">
        <x:v>https://www.toproasters.com.tr/post/kahve-ve-burçlar-hangi-kahve-hangi-burca-göre</x:v>
      </x:c>
      <x:c r="R1650" s="20" t="str">
        <x:v>Ürün kimliği korundu; eksik alanlar erişilemedi olarak işaretlenecek.</x:v>
      </x:c>
    </x:row>
    <x:row r="1651" ht="40" customHeight="1">
      <x:c r="A1651" s="16" t="str">
        <x:v>Top Roasters</x:v>
      </x:c>
      <x:c r="B1651" s="16" t="str"/>
      <x:c r="C1651" s="16" t="str">
        <x:v>Kısmi doğrulama</x:v>
      </x:c>
      <x:c r="D1651" s="16" t="str">
        <x:v>Ürün kaydı</x:v>
      </x:c>
      <x:c r="E1651" s="16" t="str">
        <x:v>Kahve Yolculuğu: Latin Amerika</x:v>
      </x:c>
      <x:c r="F1651" s="16" t="str">
        <x:v>Kolombiya | Brezilya | Guatemala | Honduras</x:v>
      </x:c>
      <x:c r="G1651" s="17" t="str">
        <x:v>Erişilemedi</x:v>
      </x:c>
      <x:c r="H1651" s="16" t="str">
        <x:v>Erişilemedi</x:v>
      </x:c>
      <x:c r="I1651" s="18" t="n">
        <x:v>0</x:v>
      </x:c>
      <x:c r="J1651" s="18" t="str">
        <x:v>Erişilemedi</x:v>
      </x:c>
      <x:c r="K1651" s="18" t="str">
        <x:f>IF(AND(ISNUMBER(G1651),ISNUMBER(I1651)),I1651/G1651*1000,"Erişilemedi")</x:f>
        <x:v>Erişilemedi</x:v>
      </x:c>
      <x:c r="L1651" s="16" t="str">
        <x:v>Belirsiz</x:v>
      </x:c>
      <x:c r="M1651" s="16" t="str">
        <x:v>Kahve ürünü</x:v>
      </x:c>
      <x:c r="N1651" s="16" t="str">
        <x:v>Site haritası ürün sayfası</x:v>
      </x:c>
      <x:c r="O1651" s="16" t="str">
        <x:v>Düşük</x:v>
      </x:c>
      <x:c r="P1651" s="19" t="n">
        <x:v>46245</x:v>
      </x:c>
      <x:c r="Q1651" s="20" t="str">
        <x:v>https://www.toproasters.com.tr/post/kahve-yolculuğu-latin-amerika</x:v>
      </x:c>
      <x:c r="R1651" s="20" t="str">
        <x:v>Ürün kimliği korundu; eksik alanlar erişilemedi olarak işaretlenecek.</x:v>
      </x:c>
    </x:row>
    <x:row r="1652" ht="40" customHeight="1">
      <x:c r="A1652" s="16" t="str">
        <x:v>Top Roasters</x:v>
      </x:c>
      <x:c r="B1652" s="16" t="str"/>
      <x:c r="C1652" s="16" t="str">
        <x:v>Kısmi doğrulama</x:v>
      </x:c>
      <x:c r="D1652" s="16" t="str">
        <x:v>Ürün kaydı</x:v>
      </x:c>
      <x:c r="E1652" s="16" t="str">
        <x:v>Kahve Yolculuğumuzun Yeni Durağı: Colombia – And Dağlarının Altın Çekirdekleri</x:v>
      </x:c>
      <x:c r="F1652" s="16" t="str">
        <x:v>Kolombiya</x:v>
      </x:c>
      <x:c r="G1652" s="17" t="str">
        <x:v>Erişilemedi</x:v>
      </x:c>
      <x:c r="H1652" s="16" t="str">
        <x:v>Erişilemedi</x:v>
      </x:c>
      <x:c r="I1652" s="18" t="n">
        <x:v>0</x:v>
      </x:c>
      <x:c r="J1652" s="18" t="str">
        <x:v>Erişilemedi</x:v>
      </x:c>
      <x:c r="K1652" s="18" t="str">
        <x:f>IF(AND(ISNUMBER(G1652),ISNUMBER(I1652)),I1652/G1652*1000,"Erişilemedi")</x:f>
        <x:v>Erişilemedi</x:v>
      </x:c>
      <x:c r="L1652" s="16" t="str">
        <x:v>Belirsiz</x:v>
      </x:c>
      <x:c r="M1652" s="16" t="str">
        <x:v>Kahve ürünü</x:v>
      </x:c>
      <x:c r="N1652" s="16" t="str">
        <x:v>Site haritası ürün sayfası</x:v>
      </x:c>
      <x:c r="O1652" s="16" t="str">
        <x:v>Düşük</x:v>
      </x:c>
      <x:c r="P1652" s="19" t="n">
        <x:v>46245</x:v>
      </x:c>
      <x:c r="Q1652" s="20" t="str">
        <x:v>https://www.toproasters.com.tr/post/kahve-yolculuğumuzun-yeni-durağı-colombia-and-dağlarının-altın-çekirdekleri</x:v>
      </x:c>
      <x:c r="R1652" s="20" t="str">
        <x:v>Ürün kimliği korundu; eksik alanlar erişilemedi olarak işaretlenecek.</x:v>
      </x:c>
    </x:row>
    <x:row r="1653" ht="40" customHeight="1">
      <x:c r="A1653" s="16" t="str">
        <x:v>Top Roasters</x:v>
      </x:c>
      <x:c r="B1653" s="16" t="str"/>
      <x:c r="C1653" s="16" t="str">
        <x:v>Kısmi doğrulama</x:v>
      </x:c>
      <x:c r="D1653" s="16" t="str">
        <x:v>Ürün kaydı</x:v>
      </x:c>
      <x:c r="E1653" s="16" t="str">
        <x:v>Kahve Zirvesi 2022</x:v>
      </x:c>
      <x:c r="F1653" s="16" t="str">
        <x:v>Menşe belirtilmemiş</x:v>
      </x:c>
      <x:c r="G1653" s="17" t="str">
        <x:v>Erişilemedi</x:v>
      </x:c>
      <x:c r="H1653" s="16" t="str">
        <x:v>Erişilemedi</x:v>
      </x:c>
      <x:c r="I1653" s="18" t="n">
        <x:v>0</x:v>
      </x:c>
      <x:c r="J1653" s="18" t="str">
        <x:v>Erişilemedi</x:v>
      </x:c>
      <x:c r="K1653" s="18" t="str">
        <x:f>IF(AND(ISNUMBER(G1653),ISNUMBER(I1653)),I1653/G1653*1000,"Erişilemedi")</x:f>
        <x:v>Erişilemedi</x:v>
      </x:c>
      <x:c r="L1653" s="16" t="str">
        <x:v>Belirsiz</x:v>
      </x:c>
      <x:c r="M1653" s="16" t="str">
        <x:v>Kahve ürünü</x:v>
      </x:c>
      <x:c r="N1653" s="16" t="str">
        <x:v>Site haritası ürün sayfası</x:v>
      </x:c>
      <x:c r="O1653" s="16" t="str">
        <x:v>Düşük</x:v>
      </x:c>
      <x:c r="P1653" s="19" t="n">
        <x:v>46245</x:v>
      </x:c>
      <x:c r="Q1653" s="20" t="str">
        <x:v>https://www.toproasters.com.tr/post/kahve-zirvesi-2022</x:v>
      </x:c>
      <x:c r="R1653" s="20" t="str">
        <x:v>Ürün kimliği korundu; eksik alanlar erişilemedi olarak işaretlenecek.</x:v>
      </x:c>
    </x:row>
    <x:row r="1654" ht="40" customHeight="1">
      <x:c r="A1654" s="16" t="str">
        <x:v>Top Roasters</x:v>
      </x:c>
      <x:c r="B1654" s="16" t="str"/>
      <x:c r="C1654" s="16" t="str">
        <x:v>Kısmi doğrulama</x:v>
      </x:c>
      <x:c r="D1654" s="16" t="str">
        <x:v>Ürün kaydı</x:v>
      </x:c>
      <x:c r="E1654" s="16" t="str">
        <x:v>Kahve Zirvesi&amp;#x27;nde Buluşuyoruz!</x:v>
      </x:c>
      <x:c r="F1654" s="16" t="str">
        <x:v>Menşe belirtilmemiş</x:v>
      </x:c>
      <x:c r="G1654" s="17" t="str">
        <x:v>Erişilemedi</x:v>
      </x:c>
      <x:c r="H1654" s="16" t="str">
        <x:v>Erişilemedi</x:v>
      </x:c>
      <x:c r="I1654" s="18" t="n">
        <x:v>0</x:v>
      </x:c>
      <x:c r="J1654" s="18" t="str">
        <x:v>Erişilemedi</x:v>
      </x:c>
      <x:c r="K1654" s="18" t="str">
        <x:f>IF(AND(ISNUMBER(G1654),ISNUMBER(I1654)),I1654/G1654*1000,"Erişilemedi")</x:f>
        <x:v>Erişilemedi</x:v>
      </x:c>
      <x:c r="L1654" s="16" t="str">
        <x:v>Belirsiz</x:v>
      </x:c>
      <x:c r="M1654" s="16" t="str">
        <x:v>Kahve ürünü</x:v>
      </x:c>
      <x:c r="N1654" s="16" t="str">
        <x:v>Site haritası ürün sayfası</x:v>
      </x:c>
      <x:c r="O1654" s="16" t="str">
        <x:v>Düşük</x:v>
      </x:c>
      <x:c r="P1654" s="19" t="n">
        <x:v>46245</x:v>
      </x:c>
      <x:c r="Q1654" s="20" t="str">
        <x:v>https://www.toproasters.com.tr/post/kahve-zirvesi-nde-buluşuyoruz</x:v>
      </x:c>
      <x:c r="R1654" s="20" t="str">
        <x:v>Ürün kimliği korundu; eksik alanlar erişilemedi olarak işaretlenecek.</x:v>
      </x:c>
    </x:row>
    <x:row r="1655" ht="40" customHeight="1">
      <x:c r="A1655" s="16" t="str">
        <x:v>Top Roasters</x:v>
      </x:c>
      <x:c r="B1655" s="16" t="str"/>
      <x:c r="C1655" s="16" t="str">
        <x:v>Kısmi doğrulama</x:v>
      </x:c>
      <x:c r="D1655" s="16" t="str">
        <x:v>Ürün kaydı</x:v>
      </x:c>
      <x:c r="E1655" s="16" t="str">
        <x:v>KAHVECİ E-Dergisinin Yeni Sayısı Çıktı!</x:v>
      </x:c>
      <x:c r="F1655" s="16" t="str">
        <x:v>Menşe belirtilmemiş</x:v>
      </x:c>
      <x:c r="G1655" s="17" t="str">
        <x:v>Erişilemedi</x:v>
      </x:c>
      <x:c r="H1655" s="16" t="str">
        <x:v>Erişilemedi</x:v>
      </x:c>
      <x:c r="I1655" s="18" t="n">
        <x:v>0</x:v>
      </x:c>
      <x:c r="J1655" s="18" t="str">
        <x:v>Erişilemedi</x:v>
      </x:c>
      <x:c r="K1655" s="18" t="str">
        <x:f>IF(AND(ISNUMBER(G1655),ISNUMBER(I1655)),I1655/G1655*1000,"Erişilemedi")</x:f>
        <x:v>Erişilemedi</x:v>
      </x:c>
      <x:c r="L1655" s="16" t="str">
        <x:v>Belirsiz</x:v>
      </x:c>
      <x:c r="M1655" s="16" t="str">
        <x:v>Kahve ürünü</x:v>
      </x:c>
      <x:c r="N1655" s="16" t="str">
        <x:v>Site haritası ürün sayfası</x:v>
      </x:c>
      <x:c r="O1655" s="16" t="str">
        <x:v>Düşük</x:v>
      </x:c>
      <x:c r="P1655" s="19" t="n">
        <x:v>46245</x:v>
      </x:c>
      <x:c r="Q1655" s="20" t="str">
        <x:v>https://www.toproasters.com.tr/post/kahveci-e-dergisinin-yeni-sayisi-cikti</x:v>
      </x:c>
      <x:c r="R1655" s="20" t="str">
        <x:v>Ürün kimliği korundu; eksik alanlar erişilemedi olarak işaretlenecek.</x:v>
      </x:c>
    </x:row>
    <x:row r="1656" ht="40" customHeight="1">
      <x:c r="A1656" s="16" t="str">
        <x:v>Top Roasters</x:v>
      </x:c>
      <x:c r="B1656" s="16" t="str"/>
      <x:c r="C1656" s="16" t="str">
        <x:v>Kısmi doğrulama</x:v>
      </x:c>
      <x:c r="D1656" s="16" t="str">
        <x:v>Ürün kaydı</x:v>
      </x:c>
      <x:c r="E1656" s="16" t="str">
        <x:v>Kahvenin Keşfedilme Hikayesi</x:v>
      </x:c>
      <x:c r="F1656" s="16" t="str">
        <x:v>Menşe belirtilmemiş</x:v>
      </x:c>
      <x:c r="G1656" s="17" t="str">
        <x:v>Erişilemedi</x:v>
      </x:c>
      <x:c r="H1656" s="16" t="str">
        <x:v>Erişilemedi</x:v>
      </x:c>
      <x:c r="I1656" s="18" t="n">
        <x:v>0</x:v>
      </x:c>
      <x:c r="J1656" s="18" t="str">
        <x:v>Erişilemedi</x:v>
      </x:c>
      <x:c r="K1656" s="18" t="str">
        <x:f>IF(AND(ISNUMBER(G1656),ISNUMBER(I1656)),I1656/G1656*1000,"Erişilemedi")</x:f>
        <x:v>Erişilemedi</x:v>
      </x:c>
      <x:c r="L1656" s="16" t="str">
        <x:v>Belirsiz</x:v>
      </x:c>
      <x:c r="M1656" s="16" t="str">
        <x:v>Kahve ürünü</x:v>
      </x:c>
      <x:c r="N1656" s="16" t="str">
        <x:v>Site haritası ürün sayfası</x:v>
      </x:c>
      <x:c r="O1656" s="16" t="str">
        <x:v>Düşük</x:v>
      </x:c>
      <x:c r="P1656" s="19" t="n">
        <x:v>46245</x:v>
      </x:c>
      <x:c r="Q1656" s="20" t="str">
        <x:v>https://www.toproasters.com.tr/post/kahvenin-keşfedilme-hikayesi</x:v>
      </x:c>
      <x:c r="R1656" s="20" t="str">
        <x:v>Ürün kimliği korundu; eksik alanlar erişilemedi olarak işaretlenecek.</x:v>
      </x:c>
    </x:row>
    <x:row r="1657" ht="40" customHeight="1">
      <x:c r="A1657" s="16" t="str">
        <x:v>Top Roasters</x:v>
      </x:c>
      <x:c r="B1657" s="16" t="str"/>
      <x:c r="C1657" s="16" t="str">
        <x:v>Kısmi doğrulama</x:v>
      </x:c>
      <x:c r="D1657" s="16" t="str">
        <x:v>Ürün kaydı</x:v>
      </x:c>
      <x:c r="E1657" s="16" t="str">
        <x:v>Kahvenin Kimyası</x:v>
      </x:c>
      <x:c r="F1657" s="16" t="str">
        <x:v>Menşe belirtilmemiş</x:v>
      </x:c>
      <x:c r="G1657" s="17" t="str">
        <x:v>Erişilemedi</x:v>
      </x:c>
      <x:c r="H1657" s="16" t="str">
        <x:v>Erişilemedi</x:v>
      </x:c>
      <x:c r="I1657" s="18" t="n">
        <x:v>0</x:v>
      </x:c>
      <x:c r="J1657" s="18" t="str">
        <x:v>Erişilemedi</x:v>
      </x:c>
      <x:c r="K1657" s="18" t="str">
        <x:f>IF(AND(ISNUMBER(G1657),ISNUMBER(I1657)),I1657/G1657*1000,"Erişilemedi")</x:f>
        <x:v>Erişilemedi</x:v>
      </x:c>
      <x:c r="L1657" s="16" t="str">
        <x:v>Belirsiz</x:v>
      </x:c>
      <x:c r="M1657" s="16" t="str">
        <x:v>Kahve ürünü</x:v>
      </x:c>
      <x:c r="N1657" s="16" t="str">
        <x:v>Site haritası ürün sayfası</x:v>
      </x:c>
      <x:c r="O1657" s="16" t="str">
        <x:v>Düşük</x:v>
      </x:c>
      <x:c r="P1657" s="19" t="n">
        <x:v>46245</x:v>
      </x:c>
      <x:c r="Q1657" s="20" t="str">
        <x:v>https://www.toproasters.com.tr/post/kahvenin-kimyası</x:v>
      </x:c>
      <x:c r="R1657" s="20" t="str">
        <x:v>Ürün kimliği korundu; eksik alanlar erişilemedi olarak işaretlenecek.</x:v>
      </x:c>
    </x:row>
    <x:row r="1658" ht="40" customHeight="1">
      <x:c r="A1658" s="16" t="str">
        <x:v>Top Roasters</x:v>
      </x:c>
      <x:c r="B1658" s="16" t="str"/>
      <x:c r="C1658" s="16" t="str">
        <x:v>Kısmi doğrulama</x:v>
      </x:c>
      <x:c r="D1658" s="16" t="str">
        <x:v>Ürün kaydı</x:v>
      </x:c>
      <x:c r="E1658" s="16" t="str">
        <x:v>Kahveye Şeker Yerine Bal Eklemek İyi Bir Fikir Mi?</x:v>
      </x:c>
      <x:c r="F1658" s="16" t="str">
        <x:v>Menşe belirtilmemiş</x:v>
      </x:c>
      <x:c r="G1658" s="17" t="str">
        <x:v>Erişilemedi</x:v>
      </x:c>
      <x:c r="H1658" s="16" t="str">
        <x:v>Erişilemedi</x:v>
      </x:c>
      <x:c r="I1658" s="18" t="n">
        <x:v>0</x:v>
      </x:c>
      <x:c r="J1658" s="18" t="str">
        <x:v>Erişilemedi</x:v>
      </x:c>
      <x:c r="K1658" s="18" t="str">
        <x:f>IF(AND(ISNUMBER(G1658),ISNUMBER(I1658)),I1658/G1658*1000,"Erişilemedi")</x:f>
        <x:v>Erişilemedi</x:v>
      </x:c>
      <x:c r="L1658" s="16" t="str">
        <x:v>Belirsiz</x:v>
      </x:c>
      <x:c r="M1658" s="16" t="str">
        <x:v>Kahve ürünü</x:v>
      </x:c>
      <x:c r="N1658" s="16" t="str">
        <x:v>Site haritası ürün sayfası</x:v>
      </x:c>
      <x:c r="O1658" s="16" t="str">
        <x:v>Düşük</x:v>
      </x:c>
      <x:c r="P1658" s="19" t="n">
        <x:v>46245</x:v>
      </x:c>
      <x:c r="Q1658" s="20" t="str">
        <x:v>https://www.toproasters.com.tr/post/kahveye-şeker-yerine-bal-eklemek-i̇yi-bir-fikir-mi</x:v>
      </x:c>
      <x:c r="R1658" s="20" t="str">
        <x:v>Ürün kimliği korundu; eksik alanlar erişilemedi olarak işaretlenecek.</x:v>
      </x:c>
    </x:row>
    <x:row r="1659" ht="40" customHeight="1">
      <x:c r="A1659" s="16" t="str">
        <x:v>Top Roasters</x:v>
      </x:c>
      <x:c r="B1659" s="16" t="str"/>
      <x:c r="C1659" s="16" t="str">
        <x:v>Kısmi doğrulama</x:v>
      </x:c>
      <x:c r="D1659" s="16" t="str">
        <x:v>Ürün kaydı</x:v>
      </x:c>
      <x:c r="E1659" s="16" t="str">
        <x:v>Kenya AA Kahve Nedir?</x:v>
      </x:c>
      <x:c r="F1659" s="16" t="str">
        <x:v>Kenya</x:v>
      </x:c>
      <x:c r="G1659" s="17" t="str">
        <x:v>Erişilemedi</x:v>
      </x:c>
      <x:c r="H1659" s="16" t="str">
        <x:v>Erişilemedi</x:v>
      </x:c>
      <x:c r="I1659" s="18" t="n">
        <x:v>0</x:v>
      </x:c>
      <x:c r="J1659" s="18" t="str">
        <x:v>Erişilemedi</x:v>
      </x:c>
      <x:c r="K1659" s="18" t="str">
        <x:f>IF(AND(ISNUMBER(G1659),ISNUMBER(I1659)),I1659/G1659*1000,"Erişilemedi")</x:f>
        <x:v>Erişilemedi</x:v>
      </x:c>
      <x:c r="L1659" s="16" t="str">
        <x:v>Belirsiz</x:v>
      </x:c>
      <x:c r="M1659" s="16" t="str">
        <x:v>Kahve ürünü</x:v>
      </x:c>
      <x:c r="N1659" s="16" t="str">
        <x:v>Site haritası ürün sayfası</x:v>
      </x:c>
      <x:c r="O1659" s="16" t="str">
        <x:v>Düşük</x:v>
      </x:c>
      <x:c r="P1659" s="19" t="n">
        <x:v>46245</x:v>
      </x:c>
      <x:c r="Q1659" s="20" t="str">
        <x:v>https://www.toproasters.com.tr/post/kenya-aa-kahve-nedir</x:v>
      </x:c>
      <x:c r="R1659" s="20" t="str">
        <x:v>Ürün kimliği korundu; eksik alanlar erişilemedi olarak işaretlenecek.</x:v>
      </x:c>
    </x:row>
    <x:row r="1660" ht="40" customHeight="1">
      <x:c r="A1660" s="16" t="str">
        <x:v>Top Roasters</x:v>
      </x:c>
      <x:c r="B1660" s="16" t="str"/>
      <x:c r="C1660" s="16" t="str">
        <x:v>Kısmi doğrulama</x:v>
      </x:c>
      <x:c r="D1660" s="16" t="str">
        <x:v>Ürün kaydı</x:v>
      </x:c>
      <x:c r="E1660" s="16" t="str">
        <x:v>Mikro-Lot ve Single-Origin Kahveler: 2025’in En Değerli Kahve Trendleri</x:v>
      </x:c>
      <x:c r="F1660" s="16" t="str">
        <x:v>Menşe belirtilmemiş</x:v>
      </x:c>
      <x:c r="G1660" s="17" t="str">
        <x:v>Erişilemedi</x:v>
      </x:c>
      <x:c r="H1660" s="16" t="str">
        <x:v>Erişilemedi</x:v>
      </x:c>
      <x:c r="I1660" s="18" t="n">
        <x:v>0</x:v>
      </x:c>
      <x:c r="J1660" s="18" t="str">
        <x:v>Erişilemedi</x:v>
      </x:c>
      <x:c r="K1660" s="18" t="str">
        <x:f>IF(AND(ISNUMBER(G1660),ISNUMBER(I1660)),I1660/G1660*1000,"Erişilemedi")</x:f>
        <x:v>Erişilemedi</x:v>
      </x:c>
      <x:c r="L1660" s="16" t="str">
        <x:v>Belirsiz</x:v>
      </x:c>
      <x:c r="M1660" s="16" t="str">
        <x:v>Kahve ürünü</x:v>
      </x:c>
      <x:c r="N1660" s="16" t="str">
        <x:v>Site haritası ürün sayfası</x:v>
      </x:c>
      <x:c r="O1660" s="16" t="str">
        <x:v>Düşük</x:v>
      </x:c>
      <x:c r="P1660" s="19" t="n">
        <x:v>46245</x:v>
      </x:c>
      <x:c r="Q1660" s="20" t="str">
        <x:v>https://www.toproasters.com.tr/post/mikro-lot-ve-single-origin-kahveler-2025-in-en-değerli-kahve-trendleri</x:v>
      </x:c>
      <x:c r="R1660" s="20" t="str">
        <x:v>Ürün kimliği korundu; eksik alanlar erişilemedi olarak işaretlenecek.</x:v>
      </x:c>
    </x:row>
    <x:row r="1661" ht="40" customHeight="1">
      <x:c r="A1661" s="16" t="str">
        <x:v>Top Roasters</x:v>
      </x:c>
      <x:c r="B1661" s="16" t="str"/>
      <x:c r="C1661" s="16" t="str">
        <x:v>Kısmi doğrulama</x:v>
      </x:c>
      <x:c r="D1661" s="16" t="str">
        <x:v>Ürün kaydı</x:v>
      </x:c>
      <x:c r="E1661" s="16" t="str">
        <x:v>Neden Aynı Kahve Her Seferinde Farklı Tat Verir? (Gerçek Sebepler)</x:v>
      </x:c>
      <x:c r="F1661" s="16" t="str">
        <x:v>Menşe belirtilmemiş</x:v>
      </x:c>
      <x:c r="G1661" s="17" t="str">
        <x:v>Erişilemedi</x:v>
      </x:c>
      <x:c r="H1661" s="16" t="str">
        <x:v>Erişilemedi</x:v>
      </x:c>
      <x:c r="I1661" s="18" t="n">
        <x:v>0</x:v>
      </x:c>
      <x:c r="J1661" s="18" t="str">
        <x:v>Erişilemedi</x:v>
      </x:c>
      <x:c r="K1661" s="18" t="str">
        <x:f>IF(AND(ISNUMBER(G1661),ISNUMBER(I1661)),I1661/G1661*1000,"Erişilemedi")</x:f>
        <x:v>Erişilemedi</x:v>
      </x:c>
      <x:c r="L1661" s="16" t="str">
        <x:v>Belirsiz</x:v>
      </x:c>
      <x:c r="M1661" s="16" t="str">
        <x:v>Kahve ürünü</x:v>
      </x:c>
      <x:c r="N1661" s="16" t="str">
        <x:v>Site haritası ürün sayfası</x:v>
      </x:c>
      <x:c r="O1661" s="16" t="str">
        <x:v>Düşük</x:v>
      </x:c>
      <x:c r="P1661" s="19" t="n">
        <x:v>46245</x:v>
      </x:c>
      <x:c r="Q1661" s="20" t="str">
        <x:v>https://www.toproasters.com.tr/post/neden-aynı-kahve-her-seferinde-farklı-tat-verir-gerçek-sebepler</x:v>
      </x:c>
      <x:c r="R1661" s="20" t="str">
        <x:v>Ürün kimliği korundu; eksik alanlar erişilemedi olarak işaretlenecek.</x:v>
      </x:c>
    </x:row>
    <x:row r="1662" ht="40" customHeight="1">
      <x:c r="A1662" s="16" t="str">
        <x:v>Top Roasters</x:v>
      </x:c>
      <x:c r="B1662" s="16" t="str"/>
      <x:c r="C1662" s="16" t="str">
        <x:v>Kısmi doğrulama</x:v>
      </x:c>
      <x:c r="D1662" s="16" t="str">
        <x:v>Ürün kaydı</x:v>
      </x:c>
      <x:c r="E1662" s="16" t="str">
        <x:v>Sabahınızın Vazgeçilmezi: Kahveyle Güne Enerjik Başlamanın 5 Yolu</x:v>
      </x:c>
      <x:c r="F1662" s="16" t="str">
        <x:v>Menşe belirtilmemiş</x:v>
      </x:c>
      <x:c r="G1662" s="17" t="str">
        <x:v>Erişilemedi</x:v>
      </x:c>
      <x:c r="H1662" s="16" t="str">
        <x:v>Erişilemedi</x:v>
      </x:c>
      <x:c r="I1662" s="18" t="n">
        <x:v>0</x:v>
      </x:c>
      <x:c r="J1662" s="18" t="str">
        <x:v>Erişilemedi</x:v>
      </x:c>
      <x:c r="K1662" s="18" t="str">
        <x:f>IF(AND(ISNUMBER(G1662),ISNUMBER(I1662)),I1662/G1662*1000,"Erişilemedi")</x:f>
        <x:v>Erişilemedi</x:v>
      </x:c>
      <x:c r="L1662" s="16" t="str">
        <x:v>Belirsiz</x:v>
      </x:c>
      <x:c r="M1662" s="16" t="str">
        <x:v>Kahve ürünü</x:v>
      </x:c>
      <x:c r="N1662" s="16" t="str">
        <x:v>Site haritası ürün sayfası</x:v>
      </x:c>
      <x:c r="O1662" s="16" t="str">
        <x:v>Düşük</x:v>
      </x:c>
      <x:c r="P1662" s="19" t="n">
        <x:v>46245</x:v>
      </x:c>
      <x:c r="Q1662" s="20" t="str">
        <x:v>https://www.toproasters.com.tr/post/sabahınızın-vazgeçilmezi-kahveyle-güne-enerjik-başlamanın-5-yolu</x:v>
      </x:c>
      <x:c r="R1662" s="20" t="str">
        <x:v>Ürün kimliği korundu; eksik alanlar erişilemedi olarak işaretlenecek.</x:v>
      </x:c>
    </x:row>
    <x:row r="1663" ht="40" customHeight="1">
      <x:c r="A1663" s="16" t="str">
        <x:v>Top Roasters</x:v>
      </x:c>
      <x:c r="B1663" s="16" t="str"/>
      <x:c r="C1663" s="16" t="str">
        <x:v>Kısmi doğrulama</x:v>
      </x:c>
      <x:c r="D1663" s="16" t="str">
        <x:v>Ürün kaydı</x:v>
      </x:c>
      <x:c r="E1663" s="16" t="str">
        <x:v>Sade Kahveye Alışabilir Misiniz?</x:v>
      </x:c>
      <x:c r="F1663" s="16" t="str">
        <x:v>Menşe belirtilmemiş</x:v>
      </x:c>
      <x:c r="G1663" s="17" t="str">
        <x:v>Erişilemedi</x:v>
      </x:c>
      <x:c r="H1663" s="16" t="str">
        <x:v>Erişilemedi</x:v>
      </x:c>
      <x:c r="I1663" s="18" t="n">
        <x:v>0</x:v>
      </x:c>
      <x:c r="J1663" s="18" t="str">
        <x:v>Erişilemedi</x:v>
      </x:c>
      <x:c r="K1663" s="18" t="str">
        <x:f>IF(AND(ISNUMBER(G1663),ISNUMBER(I1663)),I1663/G1663*1000,"Erişilemedi")</x:f>
        <x:v>Erişilemedi</x:v>
      </x:c>
      <x:c r="L1663" s="16" t="str">
        <x:v>Belirsiz</x:v>
      </x:c>
      <x:c r="M1663" s="16" t="str">
        <x:v>Kahve ürünü</x:v>
      </x:c>
      <x:c r="N1663" s="16" t="str">
        <x:v>Site haritası ürün sayfası</x:v>
      </x:c>
      <x:c r="O1663" s="16" t="str">
        <x:v>Düşük</x:v>
      </x:c>
      <x:c r="P1663" s="19" t="n">
        <x:v>46245</x:v>
      </x:c>
      <x:c r="Q1663" s="20" t="str">
        <x:v>https://www.toproasters.com.tr/post/sade-kahveye-alışabilir-misiniz</x:v>
      </x:c>
      <x:c r="R1663" s="20" t="str">
        <x:v>Ürün kimliği korundu; eksik alanlar erişilemedi olarak işaretlenecek.</x:v>
      </x:c>
    </x:row>
    <x:row r="1664" ht="40" customHeight="1">
      <x:c r="A1664" s="16" t="str">
        <x:v>Top Roasters</x:v>
      </x:c>
      <x:c r="B1664" s="16" t="str"/>
      <x:c r="C1664" s="16" t="str">
        <x:v>Kısmi doğrulama</x:v>
      </x:c>
      <x:c r="D1664" s="16" t="str">
        <x:v>Ürün kaydı</x:v>
      </x:c>
      <x:c r="E1664" s="16" t="str">
        <x:v>Sıcak Kahveyi Doğru Soğutma Yöntemleri</x:v>
      </x:c>
      <x:c r="F1664" s="16" t="str">
        <x:v>Menşe belirtilmemiş</x:v>
      </x:c>
      <x:c r="G1664" s="17" t="str">
        <x:v>Erişilemedi</x:v>
      </x:c>
      <x:c r="H1664" s="16" t="str">
        <x:v>Erişilemedi</x:v>
      </x:c>
      <x:c r="I1664" s="18" t="n">
        <x:v>0</x:v>
      </x:c>
      <x:c r="J1664" s="18" t="str">
        <x:v>Erişilemedi</x:v>
      </x:c>
      <x:c r="K1664" s="18" t="str">
        <x:f>IF(AND(ISNUMBER(G1664),ISNUMBER(I1664)),I1664/G1664*1000,"Erişilemedi")</x:f>
        <x:v>Erişilemedi</x:v>
      </x:c>
      <x:c r="L1664" s="16" t="str">
        <x:v>Belirsiz</x:v>
      </x:c>
      <x:c r="M1664" s="16" t="str">
        <x:v>Kahve ürünü</x:v>
      </x:c>
      <x:c r="N1664" s="16" t="str">
        <x:v>Site haritası ürün sayfası</x:v>
      </x:c>
      <x:c r="O1664" s="16" t="str">
        <x:v>Düşük</x:v>
      </x:c>
      <x:c r="P1664" s="19" t="n">
        <x:v>46245</x:v>
      </x:c>
      <x:c r="Q1664" s="20" t="str">
        <x:v>https://www.toproasters.com.tr/post/sıcak-kahveyi-doğru-soğutma-yöntemleri</x:v>
      </x:c>
      <x:c r="R1664" s="20" t="str">
        <x:v>Ürün kimliği korundu; eksik alanlar erişilemedi olarak işaretlenecek.</x:v>
      </x:c>
    </x:row>
    <x:row r="1665" ht="40" customHeight="1">
      <x:c r="A1665" s="16" t="str">
        <x:v>Top Roasters</x:v>
      </x:c>
      <x:c r="B1665" s="16" t="str"/>
      <x:c r="C1665" s="16" t="str">
        <x:v>Kısmi doğrulama</x:v>
      </x:c>
      <x:c r="D1665" s="16" t="str">
        <x:v>Ürün kaydı</x:v>
      </x:c>
      <x:c r="E1665" s="16" t="str">
        <x:v>Sürdürülebilir Kahve Üretimi: Geleceğin Kahvesi Nasıl Yetişiyor?</x:v>
      </x:c>
      <x:c r="F1665" s="16" t="str">
        <x:v>Menşe belirtilmemiş</x:v>
      </x:c>
      <x:c r="G1665" s="17" t="str">
        <x:v>Erişilemedi</x:v>
      </x:c>
      <x:c r="H1665" s="16" t="str">
        <x:v>Erişilemedi</x:v>
      </x:c>
      <x:c r="I1665" s="18" t="n">
        <x:v>0</x:v>
      </x:c>
      <x:c r="J1665" s="18" t="str">
        <x:v>Erişilemedi</x:v>
      </x:c>
      <x:c r="K1665" s="18" t="str">
        <x:f>IF(AND(ISNUMBER(G1665),ISNUMBER(I1665)),I1665/G1665*1000,"Erişilemedi")</x:f>
        <x:v>Erişilemedi</x:v>
      </x:c>
      <x:c r="L1665" s="16" t="str">
        <x:v>Belirsiz</x:v>
      </x:c>
      <x:c r="M1665" s="16" t="str">
        <x:v>Kahve ürünü</x:v>
      </x:c>
      <x:c r="N1665" s="16" t="str">
        <x:v>Site haritası ürün sayfası</x:v>
      </x:c>
      <x:c r="O1665" s="16" t="str">
        <x:v>Düşük</x:v>
      </x:c>
      <x:c r="P1665" s="19" t="n">
        <x:v>46245</x:v>
      </x:c>
      <x:c r="Q1665" s="20" t="str">
        <x:v>https://www.toproasters.com.tr/post/sürdürülebilir-kahve-üretimi-geleceğin-kahvesi-nasıl-yetişiyor</x:v>
      </x:c>
      <x:c r="R1665" s="20" t="str">
        <x:v>Ürün kimliği korundu; eksik alanlar erişilemedi olarak işaretlenecek.</x:v>
      </x:c>
    </x:row>
    <x:row r="1666" ht="40" customHeight="1">
      <x:c r="A1666" s="16" t="str">
        <x:v>Top Roasters</x:v>
      </x:c>
      <x:c r="B1666" s="16" t="str"/>
      <x:c r="C1666" s="16" t="str">
        <x:v>Kısmi doğrulama</x:v>
      </x:c>
      <x:c r="D1666" s="16" t="str">
        <x:v>Ürün kaydı</x:v>
      </x:c>
      <x:c r="E1666" s="16" t="str">
        <x:v>Tadı Acıysa Sorun Kahvede Değil, Ekstraksiyonda Olabilir.</x:v>
      </x:c>
      <x:c r="F1666" s="16" t="str">
        <x:v>Menşe belirtilmemiş</x:v>
      </x:c>
      <x:c r="G1666" s="17" t="str">
        <x:v>Erişilemedi</x:v>
      </x:c>
      <x:c r="H1666" s="16" t="str">
        <x:v>Erişilemedi</x:v>
      </x:c>
      <x:c r="I1666" s="18" t="n">
        <x:v>0</x:v>
      </x:c>
      <x:c r="J1666" s="18" t="str">
        <x:v>Erişilemedi</x:v>
      </x:c>
      <x:c r="K1666" s="18" t="str">
        <x:f>IF(AND(ISNUMBER(G1666),ISNUMBER(I1666)),I1666/G1666*1000,"Erişilemedi")</x:f>
        <x:v>Erişilemedi</x:v>
      </x:c>
      <x:c r="L1666" s="16" t="str">
        <x:v>Belirsiz</x:v>
      </x:c>
      <x:c r="M1666" s="16" t="str">
        <x:v>Kahve ürünü</x:v>
      </x:c>
      <x:c r="N1666" s="16" t="str">
        <x:v>Site haritası ürün sayfası</x:v>
      </x:c>
      <x:c r="O1666" s="16" t="str">
        <x:v>Düşük</x:v>
      </x:c>
      <x:c r="P1666" s="19" t="n">
        <x:v>46245</x:v>
      </x:c>
      <x:c r="Q1666" s="20" t="str">
        <x:v>https://www.toproasters.com.tr/post/tadı-acıysa-sorun-kahvede-değil-ekstraksiyonda-olabilir</x:v>
      </x:c>
      <x:c r="R1666" s="20" t="str">
        <x:v>Ürün kimliği korundu; eksik alanlar erişilemedi olarak işaretlenecek.</x:v>
      </x:c>
    </x:row>
    <x:row r="1667" ht="40" customHeight="1">
      <x:c r="A1667" s="16" t="str">
        <x:v>Top Roasters</x:v>
      </x:c>
      <x:c r="B1667" s="16" t="str"/>
      <x:c r="C1667" s="16" t="str">
        <x:v>Kısmi doğrulama</x:v>
      </x:c>
      <x:c r="D1667" s="16" t="str">
        <x:v>Ürün kaydı</x:v>
      </x:c>
      <x:c r="E1667" s="16" t="str">
        <x:v>Top Roasters 5+1 Espresso Paketi – Daha Fazla Kahve, Daha Fazla Lezzet, Daha Az Maliyet</x:v>
      </x:c>
      <x:c r="F1667" s="16" t="str">
        <x:v>Menşe belirtilmemiş</x:v>
      </x:c>
      <x:c r="G1667" s="17" t="str">
        <x:v>Erişilemedi</x:v>
      </x:c>
      <x:c r="H1667" s="16" t="str">
        <x:v>Erişilemedi</x:v>
      </x:c>
      <x:c r="I1667" s="18" t="n">
        <x:v>0</x:v>
      </x:c>
      <x:c r="J1667" s="18" t="str">
        <x:v>Erişilemedi</x:v>
      </x:c>
      <x:c r="K1667" s="18" t="str">
        <x:f>IF(AND(ISNUMBER(G1667),ISNUMBER(I1667)),I1667/G1667*1000,"Erişilemedi")</x:f>
        <x:v>Erişilemedi</x:v>
      </x:c>
      <x:c r="L1667" s="16" t="str">
        <x:v>Belirsiz</x:v>
      </x:c>
      <x:c r="M1667" s="16" t="str">
        <x:v>Kahve ürünü</x:v>
      </x:c>
      <x:c r="N1667" s="16" t="str">
        <x:v>Site haritası ürün sayfası</x:v>
      </x:c>
      <x:c r="O1667" s="16" t="str">
        <x:v>Düşük</x:v>
      </x:c>
      <x:c r="P1667" s="19" t="n">
        <x:v>46245</x:v>
      </x:c>
      <x:c r="Q1667" s="20" t="str">
        <x:v>https://www.toproasters.com.tr/post/top-roasters-5-1-espresso-paketi-daha-fazla-kahve-daha-fazla-lezzet-daha-az-maliyet</x:v>
      </x:c>
      <x:c r="R1667" s="20" t="str">
        <x:v>Ürün kimliği korundu; eksik alanlar erişilemedi olarak işaretlenecek.</x:v>
      </x:c>
    </x:row>
    <x:row r="1668" ht="40" customHeight="1">
      <x:c r="A1668" s="16" t="str">
        <x:v>Top Roasters</x:v>
      </x:c>
      <x:c r="B1668" s="16" t="str"/>
      <x:c r="C1668" s="16" t="str">
        <x:v>Kısmi doğrulama</x:v>
      </x:c>
      <x:c r="D1668" s="16" t="str">
        <x:v>Ürün kaydı</x:v>
      </x:c>
      <x:c r="E1668" s="16" t="str">
        <x:v>Top Roasters ile Kahve Yolculuğu: İlk Durak Dubai</x:v>
      </x:c>
      <x:c r="F1668" s="16" t="str">
        <x:v>Menşe belirtilmemiş</x:v>
      </x:c>
      <x:c r="G1668" s="17" t="str">
        <x:v>Erişilemedi</x:v>
      </x:c>
      <x:c r="H1668" s="16" t="str">
        <x:v>Erişilemedi</x:v>
      </x:c>
      <x:c r="I1668" s="18" t="n">
        <x:v>0</x:v>
      </x:c>
      <x:c r="J1668" s="18" t="str">
        <x:v>Erişilemedi</x:v>
      </x:c>
      <x:c r="K1668" s="18" t="str">
        <x:f>IF(AND(ISNUMBER(G1668),ISNUMBER(I1668)),I1668/G1668*1000,"Erişilemedi")</x:f>
        <x:v>Erişilemedi</x:v>
      </x:c>
      <x:c r="L1668" s="16" t="str">
        <x:v>Belirsiz</x:v>
      </x:c>
      <x:c r="M1668" s="16" t="str">
        <x:v>Kahve ürünü</x:v>
      </x:c>
      <x:c r="N1668" s="16" t="str">
        <x:v>Site haritası ürün sayfası</x:v>
      </x:c>
      <x:c r="O1668" s="16" t="str">
        <x:v>Düşük</x:v>
      </x:c>
      <x:c r="P1668" s="19" t="n">
        <x:v>46245</x:v>
      </x:c>
      <x:c r="Q1668" s="20" t="str">
        <x:v>https://www.toproasters.com.tr/post/top-roasters-ile-kahve-yolculuğu-i̇lk-durak-dubai</x:v>
      </x:c>
      <x:c r="R1668" s="20" t="str">
        <x:v>Ürün kimliği korundu; eksik alanlar erişilemedi olarak işaretlenecek.</x:v>
      </x:c>
    </x:row>
    <x:row r="1669" ht="40" customHeight="1">
      <x:c r="A1669" s="16" t="str">
        <x:v>Top Roasters</x:v>
      </x:c>
      <x:c r="B1669" s="16" t="str"/>
      <x:c r="C1669" s="16" t="str">
        <x:v>Kısmi doğrulama</x:v>
      </x:c>
      <x:c r="D1669" s="16" t="str">
        <x:v>Ürün kaydı</x:v>
      </x:c>
      <x:c r="E1669" s="16" t="str">
        <x:v>Top Roasters Premium Coffee Atlas Üniversitesi İçerisinde Hizmet Vermeye Başladı!</x:v>
      </x:c>
      <x:c r="F1669" s="16" t="str">
        <x:v>Menşe belirtilmemiş</x:v>
      </x:c>
      <x:c r="G1669" s="17" t="str">
        <x:v>Erişilemedi</x:v>
      </x:c>
      <x:c r="H1669" s="16" t="str">
        <x:v>Erişilemedi</x:v>
      </x:c>
      <x:c r="I1669" s="18" t="n">
        <x:v>0</x:v>
      </x:c>
      <x:c r="J1669" s="18" t="str">
        <x:v>Erişilemedi</x:v>
      </x:c>
      <x:c r="K1669" s="18" t="str">
        <x:f>IF(AND(ISNUMBER(G1669),ISNUMBER(I1669)),I1669/G1669*1000,"Erişilemedi")</x:f>
        <x:v>Erişilemedi</x:v>
      </x:c>
      <x:c r="L1669" s="16" t="str">
        <x:v>Belirsiz</x:v>
      </x:c>
      <x:c r="M1669" s="16" t="str">
        <x:v>Kahve ürünü</x:v>
      </x:c>
      <x:c r="N1669" s="16" t="str">
        <x:v>Site haritası ürün sayfası</x:v>
      </x:c>
      <x:c r="O1669" s="16" t="str">
        <x:v>Düşük</x:v>
      </x:c>
      <x:c r="P1669" s="19" t="n">
        <x:v>46245</x:v>
      </x:c>
      <x:c r="Q1669" s="20" t="str">
        <x:v>https://www.toproasters.com.tr/post/top-roasters-premium-coffee-atlas-universitesi-i-cerisinde-hizmet-vermeye-basladı</x:v>
      </x:c>
      <x:c r="R1669" s="20" t="str">
        <x:v>Ürün kimliği korundu; eksik alanlar erişilemedi olarak işaretlenecek.</x:v>
      </x:c>
    </x:row>
    <x:row r="1670" ht="40" customHeight="1">
      <x:c r="A1670" s="16" t="str">
        <x:v>Top Roasters</x:v>
      </x:c>
      <x:c r="B1670" s="16" t="str"/>
      <x:c r="C1670" s="16" t="str">
        <x:v>Kısmi doğrulama</x:v>
      </x:c>
      <x:c r="D1670" s="16" t="str">
        <x:v>Ürün kaydı</x:v>
      </x:c>
      <x:c r="E1670" s="16" t="str">
        <x:v>Top Roasters Premium Coffee Bünyesinde Kurulan ADAM’S COOKIES Başarısını Kalite Ödülüyle Perçinledi!</x:v>
      </x:c>
      <x:c r="F1670" s="16" t="str">
        <x:v>Menşe belirtilmemiş</x:v>
      </x:c>
      <x:c r="G1670" s="17" t="str">
        <x:v>Erişilemedi</x:v>
      </x:c>
      <x:c r="H1670" s="16" t="str">
        <x:v>Erişilemedi</x:v>
      </x:c>
      <x:c r="I1670" s="18" t="n">
        <x:v>0</x:v>
      </x:c>
      <x:c r="J1670" s="18" t="str">
        <x:v>Erişilemedi</x:v>
      </x:c>
      <x:c r="K1670" s="18" t="str">
        <x:f>IF(AND(ISNUMBER(G1670),ISNUMBER(I1670)),I1670/G1670*1000,"Erişilemedi")</x:f>
        <x:v>Erişilemedi</x:v>
      </x:c>
      <x:c r="L1670" s="16" t="str">
        <x:v>Belirsiz</x:v>
      </x:c>
      <x:c r="M1670" s="16" t="str">
        <x:v>Kahve ürünü</x:v>
      </x:c>
      <x:c r="N1670" s="16" t="str">
        <x:v>Site haritası ürün sayfası</x:v>
      </x:c>
      <x:c r="O1670" s="16" t="str">
        <x:v>Düşük</x:v>
      </x:c>
      <x:c r="P1670" s="19" t="n">
        <x:v>46245</x:v>
      </x:c>
      <x:c r="Q1670" s="20" t="str">
        <x:v>https://www.toproasters.com.tr/post/top-roasters-premium-coffee-bunyesinde-kurulan-adam-s-cookies-basarisini-kalite-oduluyle-percinledi</x:v>
      </x:c>
      <x:c r="R1670" s="20" t="str">
        <x:v>Ürün kimliği korundu; eksik alanlar erişilemedi olarak işaretlenecek.</x:v>
      </x:c>
    </x:row>
    <x:row r="1671" ht="40" customHeight="1">
      <x:c r="A1671" s="16" t="str">
        <x:v>Top Roasters</x:v>
      </x:c>
      <x:c r="B1671" s="16" t="str"/>
      <x:c r="C1671" s="16" t="str">
        <x:v>Kısmi doğrulama</x:v>
      </x:c>
      <x:c r="D1671" s="16" t="str">
        <x:v>Ürün kaydı</x:v>
      </x:c>
      <x:c r="E1671" s="16" t="str">
        <x:v>Top Roasters World of Coffee Dubai 2026’da: Q Grader Adem Kahveci ile Kahvenin Geleceğine Yolculuk</x:v>
      </x:c>
      <x:c r="F1671" s="16" t="str">
        <x:v>Menşe belirtilmemiş</x:v>
      </x:c>
      <x:c r="G1671" s="17" t="str">
        <x:v>Erişilemedi</x:v>
      </x:c>
      <x:c r="H1671" s="16" t="str">
        <x:v>Erişilemedi</x:v>
      </x:c>
      <x:c r="I1671" s="18" t="n">
        <x:v>0</x:v>
      </x:c>
      <x:c r="J1671" s="18" t="str">
        <x:v>Erişilemedi</x:v>
      </x:c>
      <x:c r="K1671" s="18" t="str">
        <x:f>IF(AND(ISNUMBER(G1671),ISNUMBER(I1671)),I1671/G1671*1000,"Erişilemedi")</x:f>
        <x:v>Erişilemedi</x:v>
      </x:c>
      <x:c r="L1671" s="16" t="str">
        <x:v>Belirsiz</x:v>
      </x:c>
      <x:c r="M1671" s="16" t="str">
        <x:v>Kahve ürünü</x:v>
      </x:c>
      <x:c r="N1671" s="16" t="str">
        <x:v>Site haritası ürün sayfası</x:v>
      </x:c>
      <x:c r="O1671" s="16" t="str">
        <x:v>Düşük</x:v>
      </x:c>
      <x:c r="P1671" s="19" t="n">
        <x:v>46245</x:v>
      </x:c>
      <x:c r="Q1671" s="20" t="str">
        <x:v>https://www.toproasters.com.tr/post/top-roasters-world-of-coffee-dubai-2026-da-q-grader-adem-kahveci-ile-kahvenin-geleceğine-yolculuk</x:v>
      </x:c>
      <x:c r="R1671" s="20" t="str">
        <x:v>Ürün kimliği korundu; eksik alanlar erişilemedi olarak işaretlenecek.</x:v>
      </x:c>
    </x:row>
    <x:row r="1672" ht="40" customHeight="1">
      <x:c r="A1672" s="16" t="str">
        <x:v>Top Roasters</x:v>
      </x:c>
      <x:c r="B1672" s="16" t="str"/>
      <x:c r="C1672" s="16" t="str">
        <x:v>Kısmi doğrulama</x:v>
      </x:c>
      <x:c r="D1672" s="16" t="str">
        <x:v>Ürün kaydı</x:v>
      </x:c>
      <x:c r="E1672" s="16" t="str">
        <x:v>TR KAHVECİ</x:v>
      </x:c>
      <x:c r="F1672" s="16" t="str">
        <x:v>Menşe belirtilmemiş</x:v>
      </x:c>
      <x:c r="G1672" s="17" t="str">
        <x:v>Erişilemedi</x:v>
      </x:c>
      <x:c r="H1672" s="16" t="str">
        <x:v>Erişilemedi</x:v>
      </x:c>
      <x:c r="I1672" s="18" t="n">
        <x:v>0</x:v>
      </x:c>
      <x:c r="J1672" s="18" t="str">
        <x:v>Erişilemedi</x:v>
      </x:c>
      <x:c r="K1672" s="18" t="str">
        <x:f>IF(AND(ISNUMBER(G1672),ISNUMBER(I1672)),I1672/G1672*1000,"Erişilemedi")</x:f>
        <x:v>Erişilemedi</x:v>
      </x:c>
      <x:c r="L1672" s="16" t="str">
        <x:v>Belirsiz</x:v>
      </x:c>
      <x:c r="M1672" s="16" t="str">
        <x:v>Kahve ürünü</x:v>
      </x:c>
      <x:c r="N1672" s="16" t="str">
        <x:v>Site haritası ürün sayfası</x:v>
      </x:c>
      <x:c r="O1672" s="16" t="str">
        <x:v>Düşük</x:v>
      </x:c>
      <x:c r="P1672" s="19" t="n">
        <x:v>46245</x:v>
      </x:c>
      <x:c r="Q1672" s="20" t="str">
        <x:v>https://www.toproasters.com.tr/post/tr-kahveci̇</x:v>
      </x:c>
      <x:c r="R1672" s="20" t="str">
        <x:v>Ürün kimliği korundu; eksik alanlar erişilemedi olarak işaretlenecek.</x:v>
      </x:c>
    </x:row>
    <x:row r="1673" ht="40" customHeight="1">
      <x:c r="A1673" s="16" t="str">
        <x:v>Top Roasters</x:v>
      </x:c>
      <x:c r="B1673" s="16" t="str"/>
      <x:c r="C1673" s="16" t="str">
        <x:v>Kısmi doğrulama</x:v>
      </x:c>
      <x:c r="D1673" s="16" t="str">
        <x:v>Ürün kaydı</x:v>
      </x:c>
      <x:c r="E1673" s="16" t="str">
        <x:v>Türkiye’de Kahve Yetişir mi? Gerçekler, Denemeler ve Geleceğin Potansiyeli | Top Roasters Coffee</x:v>
      </x:c>
      <x:c r="F1673" s="16" t="str">
        <x:v>Menşe belirtilmemiş</x:v>
      </x:c>
      <x:c r="G1673" s="17" t="str">
        <x:v>Erişilemedi</x:v>
      </x:c>
      <x:c r="H1673" s="16" t="str">
        <x:v>Erişilemedi</x:v>
      </x:c>
      <x:c r="I1673" s="18" t="n">
        <x:v>0</x:v>
      </x:c>
      <x:c r="J1673" s="18" t="str">
        <x:v>Erişilemedi</x:v>
      </x:c>
      <x:c r="K1673" s="18" t="str">
        <x:f>IF(AND(ISNUMBER(G1673),ISNUMBER(I1673)),I1673/G1673*1000,"Erişilemedi")</x:f>
        <x:v>Erişilemedi</x:v>
      </x:c>
      <x:c r="L1673" s="16" t="str">
        <x:v>Belirsiz</x:v>
      </x:c>
      <x:c r="M1673" s="16" t="str">
        <x:v>Kahve ürünü</x:v>
      </x:c>
      <x:c r="N1673" s="16" t="str">
        <x:v>Site haritası ürün sayfası</x:v>
      </x:c>
      <x:c r="O1673" s="16" t="str">
        <x:v>Düşük</x:v>
      </x:c>
      <x:c r="P1673" s="19" t="n">
        <x:v>46245</x:v>
      </x:c>
      <x:c r="Q1673" s="20" t="str">
        <x:v>https://www.toproasters.com.tr/post/türkiye-de-kahve-yetişir-mi-gerçekler-denemeler-ve-geleceğin-potansiyeli-top-roasters-coffee</x:v>
      </x:c>
      <x:c r="R1673" s="20" t="str">
        <x:v>Ürün kimliği korundu; eksik alanlar erişilemedi olarak işaretlenecek.</x:v>
      </x:c>
    </x:row>
    <x:row r="1674" ht="40" customHeight="1">
      <x:c r="A1674" s="16" t="str">
        <x:v>Troika Roasting Co.</x:v>
      </x:c>
      <x:c r="B1674" s="16" t="str">
        <x:v>İstanbul</x:v>
      </x:c>
      <x:c r="C1674" s="16" t="str">
        <x:v>Doğrulandı</x:v>
      </x:c>
      <x:c r="D1674" s="16" t="str">
        <x:v>Ürün kaydı</x:v>
      </x:c>
      <x:c r="E1674" s="16" t="str">
        <x:v>Timemore Coffee Server 600ml</x:v>
      </x:c>
      <x:c r="F1674" s="16" t="str">
        <x:v>Menşe belirtilmemiş</x:v>
      </x:c>
      <x:c r="G1674" s="17" t="str">
        <x:v>Erişilemedi</x:v>
      </x:c>
      <x:c r="H1674" s="16" t="str">
        <x:v>Erişilemedi</x:v>
      </x:c>
      <x:c r="I1674" s="18" t="n">
        <x:v>850</x:v>
      </x:c>
      <x:c r="J1674" s="18" t="str">
        <x:v>Erişildi</x:v>
      </x:c>
      <x:c r="K1674" s="18" t="str">
        <x:f>IF(AND(ISNUMBER(G1674),ISNUMBER(I1674)),I1674/G1674*1000,"Erişilemedi")</x:f>
        <x:v>Erişilemedi</x:v>
      </x:c>
      <x:c r="L1674" s="16" t="str">
        <x:v>Belirsiz</x:v>
      </x:c>
      <x:c r="M1674" s="16" t="str">
        <x:v>Kahve ürünü</x:v>
      </x:c>
      <x:c r="N1674" s="16" t="str">
        <x:v>Site haritası ürün sayfası</x:v>
      </x:c>
      <x:c r="O1674" s="16" t="str">
        <x:v>Düşük</x:v>
      </x:c>
      <x:c r="P1674" s="19" t="n">
        <x:v>46245</x:v>
      </x:c>
      <x:c r="Q1674" s="20" t="str">
        <x:v>https://troikaroasting.co/timemore-coffee-server-600ml</x:v>
      </x:c>
      <x:c r="R1674" s="20" t="str">
        <x:v>Ürün kimliği korundu; eksik alanlar erişilemedi olarak işaretlenecek.</x:v>
      </x:c>
    </x:row>
    <x:row r="1675" ht="40" customHeight="1">
      <x:c r="A1675" s="16" t="str">
        <x:v>Tropika Coffee Roastery</x:v>
      </x:c>
      <x:c r="B1675" s="16" t="str">
        <x:v>İstanbul</x:v>
      </x:c>
      <x:c r="C1675" s="16" t="str">
        <x:v>Doğrulandı</x:v>
      </x:c>
      <x:c r="D1675" s="16" t="str">
        <x:v>Ürün kaydı</x:v>
      </x:c>
      <x:c r="E1675" s="16" t="str">
        <x:v>Ethiopia Bombe 250g</x:v>
      </x:c>
      <x:c r="F1675" s="16" t="str">
        <x:v>Etiyopya</x:v>
      </x:c>
      <x:c r="G1675" s="17" t="n">
        <x:v>250</x:v>
      </x:c>
      <x:c r="H1675" s="16" t="str">
        <x:v>Erişildi</x:v>
      </x:c>
      <x:c r="I1675" s="18" t="n">
        <x:v>0</x:v>
      </x:c>
      <x:c r="J1675" s="18" t="str">
        <x:v>Erişilemedi</x:v>
      </x:c>
      <x:c r="K1675" s="18" t="n">
        <x:f>IF(AND(ISNUMBER(G1675),ISNUMBER(I1675)),I1675/G1675*1000,"Erişilemedi")</x:f>
        <x:v>0</x:v>
      </x:c>
      <x:c r="L1675" s="16" t="str">
        <x:v>Belirsiz</x:v>
      </x:c>
      <x:c r="M1675" s="16" t="str">
        <x:v>Kahve ürünü</x:v>
      </x:c>
      <x:c r="N1675" s="16" t="str">
        <x:v>Site haritası ürün sayfası</x:v>
      </x:c>
      <x:c r="O1675" s="16" t="str">
        <x:v>Düşük</x:v>
      </x:c>
      <x:c r="P1675" s="19" t="n">
        <x:v>46245</x:v>
      </x:c>
      <x:c r="Q1675" s="20" t="str">
        <x:v>https://www.tropikacoffee.com/product-page/ethiopia-bombe-250gr</x:v>
      </x:c>
      <x:c r="R1675" s="20" t="str">
        <x:v>Ürün kimliği korundu; eksik alanlar erişilemedi olarak işaretlenecek.</x:v>
      </x:c>
    </x:row>
    <x:row r="1676" ht="40" customHeight="1">
      <x:c r="A1676" s="16" t="str">
        <x:v>Tropika Coffee Roastery</x:v>
      </x:c>
      <x:c r="B1676" s="16" t="str">
        <x:v>İstanbul</x:v>
      </x:c>
      <x:c r="C1676" s="16" t="str">
        <x:v>Doğrulandı</x:v>
      </x:c>
      <x:c r="D1676" s="16" t="str">
        <x:v>Ürün kaydı</x:v>
      </x:c>
      <x:c r="E1676" s="16" t="str">
        <x:v>Ethiopia Sidamo 1Kg</x:v>
      </x:c>
      <x:c r="F1676" s="16" t="str">
        <x:v>Etiyopya</x:v>
      </x:c>
      <x:c r="G1676" s="17" t="n">
        <x:v>1000</x:v>
      </x:c>
      <x:c r="H1676" s="16" t="str">
        <x:v>Erişildi</x:v>
      </x:c>
      <x:c r="I1676" s="18" t="n">
        <x:v>0</x:v>
      </x:c>
      <x:c r="J1676" s="18" t="str">
        <x:v>Erişilemedi</x:v>
      </x:c>
      <x:c r="K1676" s="18" t="n">
        <x:f>IF(AND(ISNUMBER(G1676),ISNUMBER(I1676)),I1676/G1676*1000,"Erişilemedi")</x:f>
        <x:v>0</x:v>
      </x:c>
      <x:c r="L1676" s="16" t="str">
        <x:v>Belirsiz</x:v>
      </x:c>
      <x:c r="M1676" s="16" t="str">
        <x:v>Kahve ürünü</x:v>
      </x:c>
      <x:c r="N1676" s="16" t="str">
        <x:v>Site haritası ürün sayfası</x:v>
      </x:c>
      <x:c r="O1676" s="16" t="str">
        <x:v>Düşük</x:v>
      </x:c>
      <x:c r="P1676" s="19" t="n">
        <x:v>46245</x:v>
      </x:c>
      <x:c r="Q1676" s="20" t="str">
        <x:v>https://www.tropikacoffee.com/product-page/ethiopia-sidamo</x:v>
      </x:c>
      <x:c r="R1676" s="20" t="str">
        <x:v>Ürün kimliği korundu; eksik alanlar erişilemedi olarak işaretlenecek.</x:v>
      </x:c>
    </x:row>
    <x:row r="1677" ht="40" customHeight="1">
      <x:c r="A1677" s="16" t="str">
        <x:v>Tropika Coffee Roastery</x:v>
      </x:c>
      <x:c r="B1677" s="16" t="str">
        <x:v>İstanbul</x:v>
      </x:c>
      <x:c r="C1677" s="16" t="str">
        <x:v>Doğrulandı</x:v>
      </x:c>
      <x:c r="D1677" s="16" t="str">
        <x:v>Ürün kaydı</x:v>
      </x:c>
      <x:c r="E1677" s="16" t="str">
        <x:v>Ethiopia Sidamo 250g</x:v>
      </x:c>
      <x:c r="F1677" s="16" t="str">
        <x:v>Etiyopya</x:v>
      </x:c>
      <x:c r="G1677" s="17" t="n">
        <x:v>250</x:v>
      </x:c>
      <x:c r="H1677" s="16" t="str">
        <x:v>Erişildi</x:v>
      </x:c>
      <x:c r="I1677" s="18" t="n">
        <x:v>0</x:v>
      </x:c>
      <x:c r="J1677" s="18" t="str">
        <x:v>Erişilemedi</x:v>
      </x:c>
      <x:c r="K1677" s="18" t="n">
        <x:f>IF(AND(ISNUMBER(G1677),ISNUMBER(I1677)),I1677/G1677*1000,"Erişilemedi")</x:f>
        <x:v>0</x:v>
      </x:c>
      <x:c r="L1677" s="16" t="str">
        <x:v>Belirsiz</x:v>
      </x:c>
      <x:c r="M1677" s="16" t="str">
        <x:v>Kahve ürünü</x:v>
      </x:c>
      <x:c r="N1677" s="16" t="str">
        <x:v>Site haritası ürün sayfası</x:v>
      </x:c>
      <x:c r="O1677" s="16" t="str">
        <x:v>Düşük</x:v>
      </x:c>
      <x:c r="P1677" s="19" t="n">
        <x:v>46245</x:v>
      </x:c>
      <x:c r="Q1677" s="20" t="str">
        <x:v>https://www.tropikacoffee.com/product-page/single-origin-1</x:v>
      </x:c>
      <x:c r="R1677" s="20" t="str">
        <x:v>Ürün kimliği korundu; eksik alanlar erişilemedi olarak işaretlenecek.</x:v>
      </x:c>
    </x:row>
    <x:row r="1678" ht="40" customHeight="1">
      <x:c r="A1678" s="16" t="str">
        <x:v>Tropika Coffee Roastery</x:v>
      </x:c>
      <x:c r="B1678" s="16" t="str">
        <x:v>İstanbul</x:v>
      </x:c>
      <x:c r="C1678" s="16" t="str">
        <x:v>Doğrulandı</x:v>
      </x:c>
      <x:c r="D1678" s="16" t="str">
        <x:v>Ürün kaydı</x:v>
      </x:c>
      <x:c r="E1678" s="16" t="str">
        <x:v>Guatemala Antigua Santa Rosa 1Kg</x:v>
      </x:c>
      <x:c r="F1678" s="16" t="str">
        <x:v>Guatemala</x:v>
      </x:c>
      <x:c r="G1678" s="17" t="n">
        <x:v>1000</x:v>
      </x:c>
      <x:c r="H1678" s="16" t="str">
        <x:v>Erişildi</x:v>
      </x:c>
      <x:c r="I1678" s="18" t="n">
        <x:v>0</x:v>
      </x:c>
      <x:c r="J1678" s="18" t="str">
        <x:v>Erişilemedi</x:v>
      </x:c>
      <x:c r="K1678" s="18" t="n">
        <x:f>IF(AND(ISNUMBER(G1678),ISNUMBER(I1678)),I1678/G1678*1000,"Erişilemedi")</x:f>
        <x:v>0</x:v>
      </x:c>
      <x:c r="L1678" s="16" t="str">
        <x:v>Belirsiz</x:v>
      </x:c>
      <x:c r="M1678" s="16" t="str">
        <x:v>Kahve ürünü</x:v>
      </x:c>
      <x:c r="N1678" s="16" t="str">
        <x:v>Site haritası ürün sayfası</x:v>
      </x:c>
      <x:c r="O1678" s="16" t="str">
        <x:v>Düşük</x:v>
      </x:c>
      <x:c r="P1678" s="19" t="n">
        <x:v>46245</x:v>
      </x:c>
      <x:c r="Q1678" s="20" t="str">
        <x:v>https://www.tropikacoffee.com/product-page/guatemala-antigua-santa-rosa</x:v>
      </x:c>
      <x:c r="R1678" s="20" t="str">
        <x:v>Ürün kimliği korundu; eksik alanlar erişilemedi olarak işaretlenecek.</x:v>
      </x:c>
    </x:row>
    <x:row r="1679" ht="40" customHeight="1">
      <x:c r="A1679" s="16" t="str">
        <x:v>Tropika Coffee Roastery</x:v>
      </x:c>
      <x:c r="B1679" s="16" t="str">
        <x:v>İstanbul</x:v>
      </x:c>
      <x:c r="C1679" s="16" t="str">
        <x:v>Doğrulandı</x:v>
      </x:c>
      <x:c r="D1679" s="16" t="str">
        <x:v>Ürün kaydı</x:v>
      </x:c>
      <x:c r="E1679" s="16" t="str">
        <x:v>Guatemala Antigua Santa Rosa 250g</x:v>
      </x:c>
      <x:c r="F1679" s="16" t="str">
        <x:v>Guatemala</x:v>
      </x:c>
      <x:c r="G1679" s="17" t="n">
        <x:v>250</x:v>
      </x:c>
      <x:c r="H1679" s="16" t="str">
        <x:v>Erişildi</x:v>
      </x:c>
      <x:c r="I1679" s="18" t="n">
        <x:v>0</x:v>
      </x:c>
      <x:c r="J1679" s="18" t="str">
        <x:v>Erişilemedi</x:v>
      </x:c>
      <x:c r="K1679" s="18" t="n">
        <x:f>IF(AND(ISNUMBER(G1679),ISNUMBER(I1679)),I1679/G1679*1000,"Erişilemedi")</x:f>
        <x:v>0</x:v>
      </x:c>
      <x:c r="L1679" s="16" t="str">
        <x:v>Belirsiz</x:v>
      </x:c>
      <x:c r="M1679" s="16" t="str">
        <x:v>Kahve ürünü</x:v>
      </x:c>
      <x:c r="N1679" s="16" t="str">
        <x:v>Site haritası ürün sayfası</x:v>
      </x:c>
      <x:c r="O1679" s="16" t="str">
        <x:v>Düşük</x:v>
      </x:c>
      <x:c r="P1679" s="19" t="n">
        <x:v>46245</x:v>
      </x:c>
      <x:c r="Q1679" s="20" t="str">
        <x:v>https://www.tropikacoffee.com/product-page/single-origin</x:v>
      </x:c>
      <x:c r="R1679" s="20" t="str">
        <x:v>Ürün kimliği korundu; eksik alanlar erişilemedi olarak işaretlenecek.</x:v>
      </x:c>
    </x:row>
    <x:row r="1680" ht="40" customHeight="1">
      <x:c r="A1680" s="16" t="str">
        <x:v>Tropika Coffee Roastery</x:v>
      </x:c>
      <x:c r="B1680" s="16" t="str">
        <x:v>İstanbul</x:v>
      </x:c>
      <x:c r="C1680" s="16" t="str">
        <x:v>Doğrulandı</x:v>
      </x:c>
      <x:c r="D1680" s="16" t="str">
        <x:v>Ürün kaydı</x:v>
      </x:c>
      <x:c r="E1680" s="16" t="str">
        <x:v>Honduras San Marcos 1Kg</x:v>
      </x:c>
      <x:c r="F1680" s="16" t="str">
        <x:v>Honduras</x:v>
      </x:c>
      <x:c r="G1680" s="17" t="n">
        <x:v>1000</x:v>
      </x:c>
      <x:c r="H1680" s="16" t="str">
        <x:v>Erişildi</x:v>
      </x:c>
      <x:c r="I1680" s="18" t="n">
        <x:v>0</x:v>
      </x:c>
      <x:c r="J1680" s="18" t="str">
        <x:v>Erişilemedi</x:v>
      </x:c>
      <x:c r="K1680" s="18" t="n">
        <x:f>IF(AND(ISNUMBER(G1680),ISNUMBER(I1680)),I1680/G1680*1000,"Erişilemedi")</x:f>
        <x:v>0</x:v>
      </x:c>
      <x:c r="L1680" s="16" t="str">
        <x:v>Belirsiz</x:v>
      </x:c>
      <x:c r="M1680" s="16" t="str">
        <x:v>Kahve ürünü</x:v>
      </x:c>
      <x:c r="N1680" s="16" t="str">
        <x:v>Site haritası ürün sayfası</x:v>
      </x:c>
      <x:c r="O1680" s="16" t="str">
        <x:v>Düşük</x:v>
      </x:c>
      <x:c r="P1680" s="19" t="n">
        <x:v>46245</x:v>
      </x:c>
      <x:c r="Q1680" s="20" t="str">
        <x:v>https://www.tropikacoffee.com/product-page/honduras-san-marcos-1</x:v>
      </x:c>
      <x:c r="R1680" s="20" t="str">
        <x:v>Ürün kimliği korundu; eksik alanlar erişilemedi olarak işaretlenecek.</x:v>
      </x:c>
    </x:row>
    <x:row r="1681" ht="40" customHeight="1">
      <x:c r="A1681" s="16" t="str">
        <x:v>Tropika Coffee Roastery</x:v>
      </x:c>
      <x:c r="B1681" s="16" t="str">
        <x:v>İstanbul</x:v>
      </x:c>
      <x:c r="C1681" s="16" t="str">
        <x:v>Doğrulandı</x:v>
      </x:c>
      <x:c r="D1681" s="16" t="str">
        <x:v>Ürün kaydı</x:v>
      </x:c>
      <x:c r="E1681" s="16" t="str">
        <x:v>Indonesia Java Arjuno 250g</x:v>
      </x:c>
      <x:c r="F1681" s="16" t="str">
        <x:v>Endonezya</x:v>
      </x:c>
      <x:c r="G1681" s="17" t="n">
        <x:v>250</x:v>
      </x:c>
      <x:c r="H1681" s="16" t="str">
        <x:v>Erişildi</x:v>
      </x:c>
      <x:c r="I1681" s="18" t="n">
        <x:v>0</x:v>
      </x:c>
      <x:c r="J1681" s="18" t="str">
        <x:v>Erişilemedi</x:v>
      </x:c>
      <x:c r="K1681" s="18" t="n">
        <x:f>IF(AND(ISNUMBER(G1681),ISNUMBER(I1681)),I1681/G1681*1000,"Erişilemedi")</x:f>
        <x:v>0</x:v>
      </x:c>
      <x:c r="L1681" s="16" t="str">
        <x:v>Belirsiz</x:v>
      </x:c>
      <x:c r="M1681" s="16" t="str">
        <x:v>Kahve ürünü</x:v>
      </x:c>
      <x:c r="N1681" s="16" t="str">
        <x:v>Site haritası ürün sayfası</x:v>
      </x:c>
      <x:c r="O1681" s="16" t="str">
        <x:v>Düşük</x:v>
      </x:c>
      <x:c r="P1681" s="19" t="n">
        <x:v>46245</x:v>
      </x:c>
      <x:c r="Q1681" s="20" t="str">
        <x:v>https://www.tropikacoffee.com/product-page/indonesia-java-arjuno</x:v>
      </x:c>
      <x:c r="R1681" s="20" t="str">
        <x:v>Ürün kimliği korundu; eksik alanlar erişilemedi olarak işaretlenecek.</x:v>
      </x:c>
    </x:row>
    <x:row r="1682" ht="40" customHeight="1">
      <x:c r="A1682" s="16" t="str">
        <x:v>Tropika Coffee Roastery</x:v>
      </x:c>
      <x:c r="B1682" s="16" t="str">
        <x:v>İstanbul</x:v>
      </x:c>
      <x:c r="C1682" s="16" t="str">
        <x:v>Doğrulandı</x:v>
      </x:c>
      <x:c r="D1682" s="16" t="str">
        <x:v>Ürün kaydı</x:v>
      </x:c>
      <x:c r="E1682" s="16" t="str">
        <x:v>Indonesia Java Darum 250g</x:v>
      </x:c>
      <x:c r="F1682" s="16" t="str">
        <x:v>Endonezya</x:v>
      </x:c>
      <x:c r="G1682" s="17" t="n">
        <x:v>250</x:v>
      </x:c>
      <x:c r="H1682" s="16" t="str">
        <x:v>Erişildi</x:v>
      </x:c>
      <x:c r="I1682" s="18" t="n">
        <x:v>0</x:v>
      </x:c>
      <x:c r="J1682" s="18" t="str">
        <x:v>Erişilemedi</x:v>
      </x:c>
      <x:c r="K1682" s="18" t="n">
        <x:f>IF(AND(ISNUMBER(G1682),ISNUMBER(I1682)),I1682/G1682*1000,"Erişilemedi")</x:f>
        <x:v>0</x:v>
      </x:c>
      <x:c r="L1682" s="16" t="str">
        <x:v>Belirsiz</x:v>
      </x:c>
      <x:c r="M1682" s="16" t="str">
        <x:v>Kahve ürünü</x:v>
      </x:c>
      <x:c r="N1682" s="16" t="str">
        <x:v>Site haritası ürün sayfası</x:v>
      </x:c>
      <x:c r="O1682" s="16" t="str">
        <x:v>Düşük</x:v>
      </x:c>
      <x:c r="P1682" s="19" t="n">
        <x:v>46245</x:v>
      </x:c>
      <x:c r="Q1682" s="20" t="str">
        <x:v>https://www.tropikacoffee.com/product-page/indonesia-java-darum-250g</x:v>
      </x:c>
      <x:c r="R1682" s="20" t="str">
        <x:v>Ürün kimliği korundu; eksik alanlar erişilemedi olarak işaretlenecek.</x:v>
      </x:c>
    </x:row>
    <x:row r="1683" ht="40" customHeight="1">
      <x:c r="A1683" s="16" t="str">
        <x:v>Tropika Coffee Roastery</x:v>
      </x:c>
      <x:c r="B1683" s="16" t="str">
        <x:v>İstanbul</x:v>
      </x:c>
      <x:c r="C1683" s="16" t="str">
        <x:v>Doğrulandı</x:v>
      </x:c>
      <x:c r="D1683" s="16" t="str">
        <x:v>Ürün kaydı</x:v>
      </x:c>
      <x:c r="E1683" s="16" t="str">
        <x:v>Indonesia Java Dieng 250g</x:v>
      </x:c>
      <x:c r="F1683" s="16" t="str">
        <x:v>Endonezya</x:v>
      </x:c>
      <x:c r="G1683" s="17" t="n">
        <x:v>250</x:v>
      </x:c>
      <x:c r="H1683" s="16" t="str">
        <x:v>Erişildi</x:v>
      </x:c>
      <x:c r="I1683" s="18" t="n">
        <x:v>0</x:v>
      </x:c>
      <x:c r="J1683" s="18" t="str">
        <x:v>Erişilemedi</x:v>
      </x:c>
      <x:c r="K1683" s="18" t="n">
        <x:f>IF(AND(ISNUMBER(G1683),ISNUMBER(I1683)),I1683/G1683*1000,"Erişilemedi")</x:f>
        <x:v>0</x:v>
      </x:c>
      <x:c r="L1683" s="16" t="str">
        <x:v>Belirsiz</x:v>
      </x:c>
      <x:c r="M1683" s="16" t="str">
        <x:v>Kahve ürünü</x:v>
      </x:c>
      <x:c r="N1683" s="16" t="str">
        <x:v>Site haritası ürün sayfası</x:v>
      </x:c>
      <x:c r="O1683" s="16" t="str">
        <x:v>Düşük</x:v>
      </x:c>
      <x:c r="P1683" s="19" t="n">
        <x:v>46245</x:v>
      </x:c>
      <x:c r="Q1683" s="20" t="str">
        <x:v>https://www.tropikacoffee.com/product-page/indonesia-java-dieng-250g</x:v>
      </x:c>
      <x:c r="R1683" s="20" t="str">
        <x:v>Ürün kimliği korundu; eksik alanlar erişilemedi olarak işaretlenecek.</x:v>
      </x:c>
    </x:row>
    <x:row r="1684" ht="40" customHeight="1">
      <x:c r="A1684" s="16" t="str">
        <x:v>Tropika Coffee Roastery</x:v>
      </x:c>
      <x:c r="B1684" s="16" t="str">
        <x:v>İstanbul</x:v>
      </x:c>
      <x:c r="C1684" s="16" t="str">
        <x:v>Doğrulandı</x:v>
      </x:c>
      <x:c r="D1684" s="16" t="str">
        <x:v>Ürün kaydı</x:v>
      </x:c>
      <x:c r="E1684" s="16" t="str">
        <x:v>Indonesia Java Halu Banana 250g</x:v>
      </x:c>
      <x:c r="F1684" s="16" t="str">
        <x:v>Endonezya</x:v>
      </x:c>
      <x:c r="G1684" s="17" t="n">
        <x:v>250</x:v>
      </x:c>
      <x:c r="H1684" s="16" t="str">
        <x:v>Erişildi</x:v>
      </x:c>
      <x:c r="I1684" s="18" t="n">
        <x:v>0</x:v>
      </x:c>
      <x:c r="J1684" s="18" t="str">
        <x:v>Erişilemedi</x:v>
      </x:c>
      <x:c r="K1684" s="18" t="n">
        <x:f>IF(AND(ISNUMBER(G1684),ISNUMBER(I1684)),I1684/G1684*1000,"Erişilemedi")</x:f>
        <x:v>0</x:v>
      </x:c>
      <x:c r="L1684" s="16" t="str">
        <x:v>Belirsiz</x:v>
      </x:c>
      <x:c r="M1684" s="16" t="str">
        <x:v>Kahve ürünü</x:v>
      </x:c>
      <x:c r="N1684" s="16" t="str">
        <x:v>Site haritası ürün sayfası</x:v>
      </x:c>
      <x:c r="O1684" s="16" t="str">
        <x:v>Düşük</x:v>
      </x:c>
      <x:c r="P1684" s="19" t="n">
        <x:v>46245</x:v>
      </x:c>
      <x:c r="Q1684" s="20" t="str">
        <x:v>https://www.tropikacoffee.com/product-page/indonesia-java-halu-banana-250g</x:v>
      </x:c>
      <x:c r="R1684" s="20" t="str">
        <x:v>Ürün kimliği korundu; eksik alanlar erişilemedi olarak işaretlenecek.</x:v>
      </x:c>
    </x:row>
    <x:row r="1685" ht="40" customHeight="1">
      <x:c r="A1685" s="16" t="str">
        <x:v>Tropika Coffee Roastery</x:v>
      </x:c>
      <x:c r="B1685" s="16" t="str">
        <x:v>İstanbul</x:v>
      </x:c>
      <x:c r="C1685" s="16" t="str">
        <x:v>Doğrulandı</x:v>
      </x:c>
      <x:c r="D1685" s="16" t="str">
        <x:v>Ürün kaydı</x:v>
      </x:c>
      <x:c r="E1685" s="16" t="str">
        <x:v>Indonesia Kerinci 250g</x:v>
      </x:c>
      <x:c r="F1685" s="16" t="str">
        <x:v>Endonezya</x:v>
      </x:c>
      <x:c r="G1685" s="17" t="n">
        <x:v>250</x:v>
      </x:c>
      <x:c r="H1685" s="16" t="str">
        <x:v>Erişildi</x:v>
      </x:c>
      <x:c r="I1685" s="18" t="n">
        <x:v>0</x:v>
      </x:c>
      <x:c r="J1685" s="18" t="str">
        <x:v>Erişilemedi</x:v>
      </x:c>
      <x:c r="K1685" s="18" t="n">
        <x:f>IF(AND(ISNUMBER(G1685),ISNUMBER(I1685)),I1685/G1685*1000,"Erişilemedi")</x:f>
        <x:v>0</x:v>
      </x:c>
      <x:c r="L1685" s="16" t="str">
        <x:v>Belirsiz</x:v>
      </x:c>
      <x:c r="M1685" s="16" t="str">
        <x:v>Kahve ürünü</x:v>
      </x:c>
      <x:c r="N1685" s="16" t="str">
        <x:v>Site haritası ürün sayfası</x:v>
      </x:c>
      <x:c r="O1685" s="16" t="str">
        <x:v>Düşük</x:v>
      </x:c>
      <x:c r="P1685" s="19" t="n">
        <x:v>46245</x:v>
      </x:c>
      <x:c r="Q1685" s="20" t="str">
        <x:v>https://www.tropikacoffee.com/product-page/indonesia-kerinci-250g</x:v>
      </x:c>
      <x:c r="R1685" s="20" t="str">
        <x:v>Ürün kimliği korundu; eksik alanlar erişilemedi olarak işaretlenecek.</x:v>
      </x:c>
    </x:row>
    <x:row r="1686" ht="40" customHeight="1">
      <x:c r="A1686" s="16" t="str">
        <x:v>Tropika Coffee Roastery</x:v>
      </x:c>
      <x:c r="B1686" s="16" t="str">
        <x:v>İstanbul</x:v>
      </x:c>
      <x:c r="C1686" s="16" t="str">
        <x:v>Doğrulandı</x:v>
      </x:c>
      <x:c r="D1686" s="16" t="str">
        <x:v>Ürün kaydı</x:v>
      </x:c>
      <x:c r="E1686" s="16" t="str">
        <x:v>Indonesia Tana Toraja 250g</x:v>
      </x:c>
      <x:c r="F1686" s="16" t="str">
        <x:v>Endonezya</x:v>
      </x:c>
      <x:c r="G1686" s="17" t="n">
        <x:v>250</x:v>
      </x:c>
      <x:c r="H1686" s="16" t="str">
        <x:v>Erişildi</x:v>
      </x:c>
      <x:c r="I1686" s="18" t="n">
        <x:v>0</x:v>
      </x:c>
      <x:c r="J1686" s="18" t="str">
        <x:v>Erişilemedi</x:v>
      </x:c>
      <x:c r="K1686" s="18" t="n">
        <x:f>IF(AND(ISNUMBER(G1686),ISNUMBER(I1686)),I1686/G1686*1000,"Erişilemedi")</x:f>
        <x:v>0</x:v>
      </x:c>
      <x:c r="L1686" s="16" t="str">
        <x:v>Belirsiz</x:v>
      </x:c>
      <x:c r="M1686" s="16" t="str">
        <x:v>Kahve ürünü</x:v>
      </x:c>
      <x:c r="N1686" s="16" t="str">
        <x:v>Site haritası ürün sayfası</x:v>
      </x:c>
      <x:c r="O1686" s="16" t="str">
        <x:v>Düşük</x:v>
      </x:c>
      <x:c r="P1686" s="19" t="n">
        <x:v>46245</x:v>
      </x:c>
      <x:c r="Q1686" s="20" t="str">
        <x:v>https://www.tropikacoffee.com/product-page/indonesia-tana-toraja</x:v>
      </x:c>
      <x:c r="R1686" s="20" t="str">
        <x:v>Ürün kimliği korundu; eksik alanlar erişilemedi olarak işaretlenecek.</x:v>
      </x:c>
    </x:row>
    <x:row r="1687" ht="40" customHeight="1">
      <x:c r="A1687" s="16" t="str">
        <x:v>Tropika Coffee Roastery</x:v>
      </x:c>
      <x:c r="B1687" s="16" t="str">
        <x:v>İstanbul</x:v>
      </x:c>
      <x:c r="C1687" s="16" t="str">
        <x:v>Doğrulandı</x:v>
      </x:c>
      <x:c r="D1687" s="16" t="str">
        <x:v>Ürün kaydı</x:v>
      </x:c>
      <x:c r="E1687" s="16" t="str">
        <x:v>Tropika Natura Espresso Blend 1Kg</x:v>
      </x:c>
      <x:c r="F1687" s="16" t="str">
        <x:v>Harman – menşe belirtilmemiş</x:v>
      </x:c>
      <x:c r="G1687" s="17" t="n">
        <x:v>1000</x:v>
      </x:c>
      <x:c r="H1687" s="16" t="str">
        <x:v>Erişildi</x:v>
      </x:c>
      <x:c r="I1687" s="18" t="n">
        <x:v>0</x:v>
      </x:c>
      <x:c r="J1687" s="18" t="str">
        <x:v>Erişilemedi</x:v>
      </x:c>
      <x:c r="K1687" s="18" t="n">
        <x:f>IF(AND(ISNUMBER(G1687),ISNUMBER(I1687)),I1687/G1687*1000,"Erişilemedi")</x:f>
        <x:v>0</x:v>
      </x:c>
      <x:c r="L1687" s="16" t="str">
        <x:v>Belirsiz</x:v>
      </x:c>
      <x:c r="M1687" s="16" t="str">
        <x:v>Harman</x:v>
      </x:c>
      <x:c r="N1687" s="16" t="str">
        <x:v>Site haritası ürün sayfası</x:v>
      </x:c>
      <x:c r="O1687" s="16" t="str">
        <x:v>Düşük</x:v>
      </x:c>
      <x:c r="P1687" s="19" t="n">
        <x:v>46245</x:v>
      </x:c>
      <x:c r="Q1687" s="20" t="str">
        <x:v>https://www.tropikacoffee.com/product-page/tropika-natura-espresso-blend-1</x:v>
      </x:c>
      <x:c r="R1687" s="20" t="str">
        <x:v>Ürün kimliği korundu; eksik alanlar erişilemedi olarak işaretlenecek.</x:v>
      </x:c>
    </x:row>
    <x:row r="1688" ht="40" customHeight="1">
      <x:c r="A1688" s="16" t="str">
        <x:v>Tropika Coffee Roastery</x:v>
      </x:c>
      <x:c r="B1688" s="16" t="str">
        <x:v>İstanbul</x:v>
      </x:c>
      <x:c r="C1688" s="16" t="str">
        <x:v>Doğrulandı</x:v>
      </x:c>
      <x:c r="D1688" s="16" t="str">
        <x:v>Ürün kaydı</x:v>
      </x:c>
      <x:c r="E1688" s="16" t="str">
        <x:v>Tropika Natura Espresso Blend 250g</x:v>
      </x:c>
      <x:c r="F1688" s="16" t="str">
        <x:v>Harman – menşe belirtilmemiş</x:v>
      </x:c>
      <x:c r="G1688" s="17" t="n">
        <x:v>250</x:v>
      </x:c>
      <x:c r="H1688" s="16" t="str">
        <x:v>Erişildi</x:v>
      </x:c>
      <x:c r="I1688" s="18" t="n">
        <x:v>0</x:v>
      </x:c>
      <x:c r="J1688" s="18" t="str">
        <x:v>Erişilemedi</x:v>
      </x:c>
      <x:c r="K1688" s="18" t="n">
        <x:f>IF(AND(ISNUMBER(G1688),ISNUMBER(I1688)),I1688/G1688*1000,"Erişilemedi")</x:f>
        <x:v>0</x:v>
      </x:c>
      <x:c r="L1688" s="16" t="str">
        <x:v>Belirsiz</x:v>
      </x:c>
      <x:c r="M1688" s="16" t="str">
        <x:v>Harman</x:v>
      </x:c>
      <x:c r="N1688" s="16" t="str">
        <x:v>Site haritası ürün sayfası</x:v>
      </x:c>
      <x:c r="O1688" s="16" t="str">
        <x:v>Düşük</x:v>
      </x:c>
      <x:c r="P1688" s="19" t="n">
        <x:v>46245</x:v>
      </x:c>
      <x:c r="Q1688" s="20" t="str">
        <x:v>https://www.tropikacoffee.com/product-page/tropika-natura-espresso-blend</x:v>
      </x:c>
      <x:c r="R1688" s="20" t="str">
        <x:v>Ürün kimliği korundu; eksik alanlar erişilemedi olarak işaretlenecek.</x:v>
      </x:c>
    </x:row>
    <x:row r="1689" ht="40" customHeight="1">
      <x:c r="A1689" s="16" t="str">
        <x:v>Twentysix Coffee</x:v>
      </x:c>
      <x:c r="B1689" s="16" t="str">
        <x:v>İstanbul</x:v>
      </x:c>
      <x:c r="C1689" s="16" t="str">
        <x:v>Kısmi doğrulama</x:v>
      </x:c>
      <x:c r="D1689" s="16" t="str">
        <x:v>Katalog takip kaydı</x:v>
      </x:c>
      <x:c r="E1689" s="16" t="str">
        <x:v>Ürün kataloğu — ayrıntılı ürün verisine erişilemedi</x:v>
      </x:c>
      <x:c r="F1689" s="16" t="str">
        <x:v>Erişilemedi</x:v>
      </x:c>
      <x:c r="G1689" s="17" t="str">
        <x:v>Erişilemedi</x:v>
      </x:c>
      <x:c r="H1689" s="16" t="str">
        <x:v>Erişilemedi</x:v>
      </x:c>
      <x:c r="I1689" s="18" t="str">
        <x:v>Erişilemedi</x:v>
      </x:c>
      <x:c r="J1689" s="18" t="str">
        <x:v>Erişilemedi</x:v>
      </x:c>
      <x:c r="K1689" s="18" t="str">
        <x:f>IF(AND(ISNUMBER(G1689),ISNUMBER(I1689)),I1689/G1689*1000,"Erişilemedi")</x:f>
        <x:v>Erişilemedi</x:v>
      </x:c>
      <x:c r="L1689" s="16" t="str">
        <x:v>Erişilemedi</x:v>
      </x:c>
      <x:c r="M1689" s="16" t="str">
        <x:v>Katalog/takip kaydı</x:v>
      </x:c>
      <x:c r="N1689" s="16" t="str">
        <x:v>Instagram veya mevcut kaynak</x:v>
      </x:c>
      <x:c r="O1689" s="16" t="str">
        <x:v>Takip gerekli</x:v>
      </x:c>
      <x:c r="P1689" s="19" t="n">
        <x:v>46245</x:v>
      </x:c>
      <x:c r="Q1689" s="20" t="str">
        <x:v>Erişilemedi</x:v>
      </x:c>
      <x:c r="R1689" s="20" t="str">
        <x:v>Ürün adı, gramaj ve fiyat birlikte çıkarılamadı. Bağlantı manuel inceleme için korundu.</x:v>
      </x:c>
    </x:row>
    <x:row r="1690" ht="40" customHeight="1">
      <x:c r="A1690" s="16" t="str">
        <x:v>Walker’s Coffee</x:v>
      </x:c>
      <x:c r="B1690" s="16" t="str">
        <x:v>Ankara</x:v>
      </x:c>
      <x:c r="C1690" s="16" t="str">
        <x:v>Kısmi doğrulama</x:v>
      </x:c>
      <x:c r="D1690" s="16" t="str">
        <x:v>Katalog takip kaydı</x:v>
      </x:c>
      <x:c r="E1690" s="16" t="str">
        <x:v>Ürün kataloğu — ayrıntılı ürün verisine erişilemedi</x:v>
      </x:c>
      <x:c r="F1690" s="16" t="str">
        <x:v>Erişilemedi</x:v>
      </x:c>
      <x:c r="G1690" s="17" t="str">
        <x:v>Erişilemedi</x:v>
      </x:c>
      <x:c r="H1690" s="16" t="str">
        <x:v>Erişilemedi</x:v>
      </x:c>
      <x:c r="I1690" s="18" t="str">
        <x:v>Erişilemedi</x:v>
      </x:c>
      <x:c r="J1690" s="18" t="str">
        <x:v>Erişilemedi</x:v>
      </x:c>
      <x:c r="K1690" s="18" t="str">
        <x:f>IF(AND(ISNUMBER(G1690),ISNUMBER(I1690)),I1690/G1690*1000,"Erişilemedi")</x:f>
        <x:v>Erişilemedi</x:v>
      </x:c>
      <x:c r="L1690" s="16" t="str">
        <x:v>Erişilemedi</x:v>
      </x:c>
      <x:c r="M1690" s="16" t="str">
        <x:v>Katalog/takip kaydı</x:v>
      </x:c>
      <x:c r="N1690" s="16" t="str">
        <x:v>Instagram veya mevcut kaynak</x:v>
      </x:c>
      <x:c r="O1690" s="16" t="str">
        <x:v>Takip gerekli</x:v>
      </x:c>
      <x:c r="P1690" s="19" t="n">
        <x:v>46245</x:v>
      </x:c>
      <x:c r="Q1690" s="20" t="str">
        <x:v>Erişilemedi</x:v>
      </x:c>
      <x:c r="R1690" s="20" t="str">
        <x:v>Ürün adı, gramaj ve fiyat birlikte çıkarılamadı. Bağlantı manuel inceleme için korundu.</x:v>
      </x:c>
    </x:row>
    <x:row r="1691" ht="40" customHeight="1">
      <x:c r="A1691" s="16" t="str">
        <x:v>Walter’s Coffee Roastery</x:v>
      </x:c>
      <x:c r="B1691" s="16" t="str">
        <x:v>İstanbul</x:v>
      </x:c>
      <x:c r="C1691" s="16" t="str">
        <x:v>Kısmi doğrulama</x:v>
      </x:c>
      <x:c r="D1691" s="16" t="str">
        <x:v>Ürün kaydı</x:v>
      </x:c>
      <x:c r="E1691" s="16" t="str">
        <x:v>ethiopia mitima shantawene - 250gr</x:v>
      </x:c>
      <x:c r="F1691" s="16" t="str">
        <x:v>Etiyopya</x:v>
      </x:c>
      <x:c r="G1691" s="17" t="n">
        <x:v>250</x:v>
      </x:c>
      <x:c r="H1691" s="16" t="str">
        <x:v>Erişildi</x:v>
      </x:c>
      <x:c r="I1691" s="18" t="n">
        <x:v>0</x:v>
      </x:c>
      <x:c r="J1691" s="18" t="str">
        <x:v>Erişilemedi</x:v>
      </x:c>
      <x:c r="K1691" s="18" t="n">
        <x:f>IF(AND(ISNUMBER(G1691),ISNUMBER(I1691)),I1691/G1691*1000,"Erişilemedi")</x:f>
        <x:v>0</x:v>
      </x:c>
      <x:c r="L1691" s="16" t="str">
        <x:v>Belirsiz</x:v>
      </x:c>
      <x:c r="M1691" s="16" t="str">
        <x:v>Kahve ürünü</x:v>
      </x:c>
      <x:c r="N1691" s="16" t="str">
        <x:v>Site haritası ürün sayfası</x:v>
      </x:c>
      <x:c r="O1691" s="16" t="str">
        <x:v>Düşük</x:v>
      </x:c>
      <x:c r="P1691" s="19" t="n">
        <x:v>46245</x:v>
      </x:c>
      <x:c r="Q1691" s="20" t="str">
        <x:v>https://walterscoffee.com/products/ethiopia-mitima-shantawene-250-gr</x:v>
      </x:c>
      <x:c r="R1691" s="20" t="str">
        <x:v>Ürün kimliği korundu; eksik alanlar erişilemedi olarak işaretlenecek.</x:v>
      </x:c>
    </x:row>
    <x:row r="1692" ht="40" customHeight="1">
      <x:c r="A1692" s="16" t="str">
        <x:v>Walter’s Coffee Roastery</x:v>
      </x:c>
      <x:c r="B1692" s="16" t="str">
        <x:v>İstanbul</x:v>
      </x:c>
      <x:c r="C1692" s="16" t="str">
        <x:v>Kısmi doğrulama</x:v>
      </x:c>
      <x:c r="D1692" s="16" t="str">
        <x:v>Ürün kaydı</x:v>
      </x:c>
      <x:c r="E1692" s="16" t="str">
        <x:v>Ethiopia Mitima Shantawene - 250GR</x:v>
      </x:c>
      <x:c r="F1692" s="16" t="str">
        <x:v>Etiyopya</x:v>
      </x:c>
      <x:c r="G1692" s="17" t="n">
        <x:v>250</x:v>
      </x:c>
      <x:c r="H1692" s="16" t="str">
        <x:v>Erişildi</x:v>
      </x:c>
      <x:c r="I1692" s="18" t="n">
        <x:v>620</x:v>
      </x:c>
      <x:c r="J1692" s="18" t="str">
        <x:v>Erişildi</x:v>
      </x:c>
      <x:c r="K1692" s="18" t="n">
        <x:f>IF(AND(ISNUMBER(G1692),ISNUMBER(I1692)),I1692/G1692*1000,"Erişilemedi")</x:f>
        <x:v>2480</x:v>
      </x:c>
      <x:c r="L1692" s="16" t="str">
        <x:v>Stokta</x:v>
      </x:c>
      <x:c r="M1692" s="16" t="str">
        <x:v>Tek köken/ürün</x:v>
      </x:c>
      <x:c r="N1692" s="16" t="str">
        <x:v>Site haritası + ürün JSON-LD</x:v>
      </x:c>
      <x:c r="O1692" s="16" t="str">
        <x:v>Orta</x:v>
      </x:c>
      <x:c r="P1692" s="19" t="n">
        <x:v>46245</x:v>
      </x:c>
      <x:c r="Q1692" s="20" t="str">
        <x:v>https://walterscoffee.com/products/ethiopia-mitima-shantawene-250-gr</x:v>
      </x:c>
      <x:c r="R1692" s="20" t="str">
        <x:v>Tekil ürün sayfasındaki yapılandırılmış veriden çıkarıldı.</x:v>
      </x:c>
    </x:row>
    <x:row r="1693" ht="40" customHeight="1">
      <x:c r="A1693" s="16" t="str">
        <x:v>Walter’s Coffee Roastery</x:v>
      </x:c>
      <x:c r="B1693" s="16" t="str">
        <x:v>İstanbul</x:v>
      </x:c>
      <x:c r="C1693" s="16" t="str">
        <x:v>Kısmi doğrulama</x:v>
      </x:c>
      <x:c r="D1693" s="16" t="str">
        <x:v>Ürün kaydı</x:v>
      </x:c>
      <x:c r="E1693" s="16" t="str">
        <x:v>guatemala dona linda - 250gr</x:v>
      </x:c>
      <x:c r="F1693" s="16" t="str">
        <x:v>Guatemala</x:v>
      </x:c>
      <x:c r="G1693" s="17" t="n">
        <x:v>250</x:v>
      </x:c>
      <x:c r="H1693" s="16" t="str">
        <x:v>Erişildi</x:v>
      </x:c>
      <x:c r="I1693" s="18" t="n">
        <x:v>0</x:v>
      </x:c>
      <x:c r="J1693" s="18" t="str">
        <x:v>Erişilemedi</x:v>
      </x:c>
      <x:c r="K1693" s="18" t="n">
        <x:f>IF(AND(ISNUMBER(G1693),ISNUMBER(I1693)),I1693/G1693*1000,"Erişilemedi")</x:f>
        <x:v>0</x:v>
      </x:c>
      <x:c r="L1693" s="16" t="str">
        <x:v>Belirsiz</x:v>
      </x:c>
      <x:c r="M1693" s="16" t="str">
        <x:v>Kahve ürünü</x:v>
      </x:c>
      <x:c r="N1693" s="16" t="str">
        <x:v>Site haritası ürün sayfası</x:v>
      </x:c>
      <x:c r="O1693" s="16" t="str">
        <x:v>Düşük</x:v>
      </x:c>
      <x:c r="P1693" s="19" t="n">
        <x:v>46245</x:v>
      </x:c>
      <x:c r="Q1693" s="20" t="str">
        <x:v>https://walterscoffee.com/products/guatemala-dona-linda-250-gr</x:v>
      </x:c>
      <x:c r="R1693" s="20" t="str">
        <x:v>Ürün kimliği korundu; eksik alanlar erişilemedi olarak işaretlenecek.</x:v>
      </x:c>
    </x:row>
    <x:row r="1694" ht="40" customHeight="1">
      <x:c r="A1694" s="16" t="str">
        <x:v>Walter’s Coffee Roastery</x:v>
      </x:c>
      <x:c r="B1694" s="16" t="str">
        <x:v>İstanbul</x:v>
      </x:c>
      <x:c r="C1694" s="16" t="str">
        <x:v>Kısmi doğrulama</x:v>
      </x:c>
      <x:c r="D1694" s="16" t="str">
        <x:v>Ürün kaydı</x:v>
      </x:c>
      <x:c r="E1694" s="16" t="str">
        <x:v>Guatemala Dona Linda - 250GR</x:v>
      </x:c>
      <x:c r="F1694" s="16" t="str">
        <x:v>Guatemala</x:v>
      </x:c>
      <x:c r="G1694" s="17" t="n">
        <x:v>250</x:v>
      </x:c>
      <x:c r="H1694" s="16" t="str">
        <x:v>Erişildi</x:v>
      </x:c>
      <x:c r="I1694" s="18" t="n">
        <x:v>590</x:v>
      </x:c>
      <x:c r="J1694" s="18" t="str">
        <x:v>Erişildi</x:v>
      </x:c>
      <x:c r="K1694" s="18" t="n">
        <x:f>IF(AND(ISNUMBER(G1694),ISNUMBER(I1694)),I1694/G1694*1000,"Erişilemedi")</x:f>
        <x:v>2360</x:v>
      </x:c>
      <x:c r="L1694" s="16" t="str">
        <x:v>Stokta</x:v>
      </x:c>
      <x:c r="M1694" s="16" t="str">
        <x:v>Tek köken/ürün</x:v>
      </x:c>
      <x:c r="N1694" s="16" t="str">
        <x:v>Site haritası + ürün JSON-LD</x:v>
      </x:c>
      <x:c r="O1694" s="16" t="str">
        <x:v>Orta</x:v>
      </x:c>
      <x:c r="P1694" s="19" t="n">
        <x:v>46245</x:v>
      </x:c>
      <x:c r="Q1694" s="20" t="str">
        <x:v>https://walterscoffee.com/products/guatemala-dona-linda-250-gr</x:v>
      </x:c>
      <x:c r="R1694" s="20" t="str">
        <x:v>Tekil ürün sayfasındaki yapılandırılmış veriden çıkarıldı.</x:v>
      </x:c>
    </x:row>
    <x:row r="1695" ht="40" customHeight="1">
      <x:c r="A1695" s="16" t="str">
        <x:v>Walter’s Coffee Roastery</x:v>
      </x:c>
      <x:c r="B1695" s="16" t="str">
        <x:v>İstanbul</x:v>
      </x:c>
      <x:c r="C1695" s="16" t="str">
        <x:v>Kısmi doğrulama</x:v>
      </x:c>
      <x:c r="D1695" s="16" t="str">
        <x:v>Ürün kaydı</x:v>
      </x:c>
      <x:c r="E1695" s="16" t="str">
        <x:v>guatemala oriente - 250gr</x:v>
      </x:c>
      <x:c r="F1695" s="16" t="str">
        <x:v>Guatemala</x:v>
      </x:c>
      <x:c r="G1695" s="17" t="n">
        <x:v>250</x:v>
      </x:c>
      <x:c r="H1695" s="16" t="str">
        <x:v>Erişildi</x:v>
      </x:c>
      <x:c r="I1695" s="18" t="n">
        <x:v>0</x:v>
      </x:c>
      <x:c r="J1695" s="18" t="str">
        <x:v>Erişilemedi</x:v>
      </x:c>
      <x:c r="K1695" s="18" t="n">
        <x:f>IF(AND(ISNUMBER(G1695),ISNUMBER(I1695)),I1695/G1695*1000,"Erişilemedi")</x:f>
        <x:v>0</x:v>
      </x:c>
      <x:c r="L1695" s="16" t="str">
        <x:v>Belirsiz</x:v>
      </x:c>
      <x:c r="M1695" s="16" t="str">
        <x:v>Kahve ürünü</x:v>
      </x:c>
      <x:c r="N1695" s="16" t="str">
        <x:v>Site haritası ürün sayfası</x:v>
      </x:c>
      <x:c r="O1695" s="16" t="str">
        <x:v>Düşük</x:v>
      </x:c>
      <x:c r="P1695" s="19" t="n">
        <x:v>46245</x:v>
      </x:c>
      <x:c r="Q1695" s="20" t="str">
        <x:v>https://walterscoffee.com/products/guatemala-oriente-250-gr</x:v>
      </x:c>
      <x:c r="R1695" s="20" t="str">
        <x:v>Ürün kimliği korundu; eksik alanlar erişilemedi olarak işaretlenecek.</x:v>
      </x:c>
    </x:row>
    <x:row r="1696" ht="40" customHeight="1">
      <x:c r="A1696" s="16" t="str">
        <x:v>Walter’s Coffee Roastery</x:v>
      </x:c>
      <x:c r="B1696" s="16" t="str">
        <x:v>İstanbul</x:v>
      </x:c>
      <x:c r="C1696" s="16" t="str">
        <x:v>Kısmi doğrulama</x:v>
      </x:c>
      <x:c r="D1696" s="16" t="str">
        <x:v>Ürün kaydı</x:v>
      </x:c>
      <x:c r="E1696" s="16" t="str">
        <x:v>Guatemala Oriente - 250GR</x:v>
      </x:c>
      <x:c r="F1696" s="16" t="str">
        <x:v>Guatemala</x:v>
      </x:c>
      <x:c r="G1696" s="17" t="n">
        <x:v>250</x:v>
      </x:c>
      <x:c r="H1696" s="16" t="str">
        <x:v>Erişildi</x:v>
      </x:c>
      <x:c r="I1696" s="18" t="n">
        <x:v>610</x:v>
      </x:c>
      <x:c r="J1696" s="18" t="str">
        <x:v>Erişildi</x:v>
      </x:c>
      <x:c r="K1696" s="18" t="n">
        <x:f>IF(AND(ISNUMBER(G1696),ISNUMBER(I1696)),I1696/G1696*1000,"Erişilemedi")</x:f>
        <x:v>2440</x:v>
      </x:c>
      <x:c r="L1696" s="16" t="str">
        <x:v>Stokta</x:v>
      </x:c>
      <x:c r="M1696" s="16" t="str">
        <x:v>Tek köken/ürün</x:v>
      </x:c>
      <x:c r="N1696" s="16" t="str">
        <x:v>Site haritası + ürün JSON-LD</x:v>
      </x:c>
      <x:c r="O1696" s="16" t="str">
        <x:v>Orta</x:v>
      </x:c>
      <x:c r="P1696" s="19" t="n">
        <x:v>46245</x:v>
      </x:c>
      <x:c r="Q1696" s="20" t="str">
        <x:v>https://walterscoffee.com/products/guatemala-oriente-250-gr</x:v>
      </x:c>
      <x:c r="R1696" s="20" t="str">
        <x:v>Tekil ürün sayfasındaki yapılandırılmış veriden çıkarıldı.</x:v>
      </x:c>
    </x:row>
    <x:row r="1697" ht="40" customHeight="1">
      <x:c r="A1697" s="16" t="str">
        <x:v>Walter’s Coffee Roastery</x:v>
      </x:c>
      <x:c r="B1697" s="16" t="str">
        <x:v>İstanbul</x:v>
      </x:c>
      <x:c r="C1697" s="16" t="str">
        <x:v>Kısmi doğrulama</x:v>
      </x:c>
      <x:c r="D1697" s="16" t="str">
        <x:v>Ürün kaydı</x:v>
      </x:c>
      <x:c r="E1697" s="16" t="str">
        <x:v>honduras tutule - 250gr</x:v>
      </x:c>
      <x:c r="F1697" s="16" t="str">
        <x:v>Honduras</x:v>
      </x:c>
      <x:c r="G1697" s="17" t="n">
        <x:v>250</x:v>
      </x:c>
      <x:c r="H1697" s="16" t="str">
        <x:v>Erişildi</x:v>
      </x:c>
      <x:c r="I1697" s="18" t="n">
        <x:v>0</x:v>
      </x:c>
      <x:c r="J1697" s="18" t="str">
        <x:v>Erişilemedi</x:v>
      </x:c>
      <x:c r="K1697" s="18" t="n">
        <x:f>IF(AND(ISNUMBER(G1697),ISNUMBER(I1697)),I1697/G1697*1000,"Erişilemedi")</x:f>
        <x:v>0</x:v>
      </x:c>
      <x:c r="L1697" s="16" t="str">
        <x:v>Belirsiz</x:v>
      </x:c>
      <x:c r="M1697" s="16" t="str">
        <x:v>Kahve ürünü</x:v>
      </x:c>
      <x:c r="N1697" s="16" t="str">
        <x:v>Site haritası ürün sayfası</x:v>
      </x:c>
      <x:c r="O1697" s="16" t="str">
        <x:v>Düşük</x:v>
      </x:c>
      <x:c r="P1697" s="19" t="n">
        <x:v>46245</x:v>
      </x:c>
      <x:c r="Q1697" s="20" t="str">
        <x:v>https://walterscoffee.com/products/honduras-tutule</x:v>
      </x:c>
      <x:c r="R1697" s="20" t="str">
        <x:v>Ürün kimliği korundu; eksik alanlar erişilemedi olarak işaretlenecek.</x:v>
      </x:c>
    </x:row>
    <x:row r="1698" ht="40" customHeight="1">
      <x:c r="A1698" s="16" t="str">
        <x:v>Walter’s Coffee Roastery</x:v>
      </x:c>
      <x:c r="B1698" s="16" t="str">
        <x:v>İstanbul</x:v>
      </x:c>
      <x:c r="C1698" s="16" t="str">
        <x:v>Kısmi doğrulama</x:v>
      </x:c>
      <x:c r="D1698" s="16" t="str">
        <x:v>Ürün kaydı</x:v>
      </x:c>
      <x:c r="E1698" s="16" t="str">
        <x:v>Honduras Tutule - 250GR</x:v>
      </x:c>
      <x:c r="F1698" s="16" t="str">
        <x:v>Honduras</x:v>
      </x:c>
      <x:c r="G1698" s="17" t="n">
        <x:v>250</x:v>
      </x:c>
      <x:c r="H1698" s="16" t="str">
        <x:v>Erişildi</x:v>
      </x:c>
      <x:c r="I1698" s="18" t="n">
        <x:v>550</x:v>
      </x:c>
      <x:c r="J1698" s="18" t="str">
        <x:v>Erişildi</x:v>
      </x:c>
      <x:c r="K1698" s="18" t="n">
        <x:f>IF(AND(ISNUMBER(G1698),ISNUMBER(I1698)),I1698/G1698*1000,"Erişilemedi")</x:f>
        <x:v>2200</x:v>
      </x:c>
      <x:c r="L1698" s="16" t="str">
        <x:v>Stokta</x:v>
      </x:c>
      <x:c r="M1698" s="16" t="str">
        <x:v>Tek köken/ürün</x:v>
      </x:c>
      <x:c r="N1698" s="16" t="str">
        <x:v>Site haritası + ürün JSON-LD</x:v>
      </x:c>
      <x:c r="O1698" s="16" t="str">
        <x:v>Orta</x:v>
      </x:c>
      <x:c r="P1698" s="19" t="n">
        <x:v>46245</x:v>
      </x:c>
      <x:c r="Q1698" s="20" t="str">
        <x:v>https://walterscoffee.com/products/honduras-tutule</x:v>
      </x:c>
      <x:c r="R1698" s="20" t="str">
        <x:v>Tekil ürün sayfasındaki yapılandırılmış veriden çıkarıldı.</x:v>
      </x:c>
    </x:row>
    <x:row r="1699" ht="40" customHeight="1">
      <x:c r="A1699" s="16" t="str">
        <x:v>Walter’s Coffee Roastery</x:v>
      </x:c>
      <x:c r="B1699" s="16" t="str">
        <x:v>İstanbul</x:v>
      </x:c>
      <x:c r="C1699" s="16" t="str">
        <x:v>Kısmi doğrulama</x:v>
      </x:c>
      <x:c r="D1699" s="16" t="str">
        <x:v>Ürün kaydı</x:v>
      </x:c>
      <x:c r="E1699" s="16" t="str">
        <x:v>rwanda baho - 250gr</x:v>
      </x:c>
      <x:c r="F1699" s="16" t="str">
        <x:v>Ruanda</x:v>
      </x:c>
      <x:c r="G1699" s="17" t="n">
        <x:v>250</x:v>
      </x:c>
      <x:c r="H1699" s="16" t="str">
        <x:v>Erişildi</x:v>
      </x:c>
      <x:c r="I1699" s="18" t="n">
        <x:v>0</x:v>
      </x:c>
      <x:c r="J1699" s="18" t="str">
        <x:v>Erişilemedi</x:v>
      </x:c>
      <x:c r="K1699" s="18" t="n">
        <x:f>IF(AND(ISNUMBER(G1699),ISNUMBER(I1699)),I1699/G1699*1000,"Erişilemedi")</x:f>
        <x:v>0</x:v>
      </x:c>
      <x:c r="L1699" s="16" t="str">
        <x:v>Belirsiz</x:v>
      </x:c>
      <x:c r="M1699" s="16" t="str">
        <x:v>Kahve ürünü</x:v>
      </x:c>
      <x:c r="N1699" s="16" t="str">
        <x:v>Site haritası ürün sayfası</x:v>
      </x:c>
      <x:c r="O1699" s="16" t="str">
        <x:v>Düşük</x:v>
      </x:c>
      <x:c r="P1699" s="19" t="n">
        <x:v>46245</x:v>
      </x:c>
      <x:c r="Q1699" s="20" t="str">
        <x:v>https://walterscoffee.com/products/rwanda-baho-250gr</x:v>
      </x:c>
      <x:c r="R1699" s="20" t="str">
        <x:v>Ürün kimliği korundu; eksik alanlar erişilemedi olarak işaretlenecek.</x:v>
      </x:c>
    </x:row>
    <x:row r="1700" ht="40" customHeight="1">
      <x:c r="A1700" s="16" t="str">
        <x:v>Walter’s Coffee Roastery</x:v>
      </x:c>
      <x:c r="B1700" s="16" t="str">
        <x:v>İstanbul</x:v>
      </x:c>
      <x:c r="C1700" s="16" t="str">
        <x:v>Kısmi doğrulama</x:v>
      </x:c>
      <x:c r="D1700" s="16" t="str">
        <x:v>Ürün kaydı</x:v>
      </x:c>
      <x:c r="E1700" s="16" t="str">
        <x:v>Rwanda Baho - 250GR</x:v>
      </x:c>
      <x:c r="F1700" s="16" t="str">
        <x:v>Ruanda</x:v>
      </x:c>
      <x:c r="G1700" s="17" t="n">
        <x:v>250</x:v>
      </x:c>
      <x:c r="H1700" s="16" t="str">
        <x:v>Erişildi</x:v>
      </x:c>
      <x:c r="I1700" s="18" t="n">
        <x:v>680</x:v>
      </x:c>
      <x:c r="J1700" s="18" t="str">
        <x:v>Erişildi</x:v>
      </x:c>
      <x:c r="K1700" s="18" t="n">
        <x:f>IF(AND(ISNUMBER(G1700),ISNUMBER(I1700)),I1700/G1700*1000,"Erişilemedi")</x:f>
        <x:v>2720</x:v>
      </x:c>
      <x:c r="L1700" s="16" t="str">
        <x:v>Stokta</x:v>
      </x:c>
      <x:c r="M1700" s="16" t="str">
        <x:v>Tek köken/ürün</x:v>
      </x:c>
      <x:c r="N1700" s="16" t="str">
        <x:v>Site haritası + ürün JSON-LD</x:v>
      </x:c>
      <x:c r="O1700" s="16" t="str">
        <x:v>Orta</x:v>
      </x:c>
      <x:c r="P1700" s="19" t="n">
        <x:v>46245</x:v>
      </x:c>
      <x:c r="Q1700" s="20" t="str">
        <x:v>https://walterscoffee.com/products/rwanda-baho-250gr</x:v>
      </x:c>
      <x:c r="R1700" s="20" t="str">
        <x:v>Tekil ürün sayfasındaki yapılandırılmış veriden çıkarıldı.</x:v>
      </x:c>
    </x:row>
    <x:row r="1701" ht="40" customHeight="1">
      <x:c r="A1701" s="16" t="str">
        <x:v>Walter’s Coffee Roastery</x:v>
      </x:c>
      <x:c r="B1701" s="16" t="str">
        <x:v>İstanbul</x:v>
      </x:c>
      <x:c r="C1701" s="16" t="str">
        <x:v>Kısmi doğrulama</x:v>
      </x:c>
      <x:c r="D1701" s="16" t="str">
        <x:v>Ürün kaydı</x:v>
      </x:c>
      <x:c r="E1701" s="16" t="str">
        <x:v>Walter's Tea - SAMBA 50gr.</x:v>
      </x:c>
      <x:c r="F1701" s="16" t="str">
        <x:v>Menşe belirtilmemiş</x:v>
      </x:c>
      <x:c r="G1701" s="17" t="n">
        <x:v>50</x:v>
      </x:c>
      <x:c r="H1701" s="16" t="str">
        <x:v>Erişildi</x:v>
      </x:c>
      <x:c r="I1701" s="18" t="n">
        <x:v>340</x:v>
      </x:c>
      <x:c r="J1701" s="18" t="str">
        <x:v>Erişildi</x:v>
      </x:c>
      <x:c r="K1701" s="18" t="n">
        <x:f>IF(AND(ISNUMBER(G1701),ISNUMBER(I1701)),I1701/G1701*1000,"Erişilemedi")</x:f>
        <x:v>6800</x:v>
      </x:c>
      <x:c r="L1701" s="16" t="str">
        <x:v>Stokta</x:v>
      </x:c>
      <x:c r="M1701" s="16" t="str">
        <x:v>Tek köken/ürün</x:v>
      </x:c>
      <x:c r="N1701" s="16" t="str">
        <x:v>Site haritası + ürün JSON-LD</x:v>
      </x:c>
      <x:c r="O1701" s="16" t="str">
        <x:v>Orta</x:v>
      </x:c>
      <x:c r="P1701" s="19" t="n">
        <x:v>46245</x:v>
      </x:c>
      <x:c r="Q1701" s="20" t="str">
        <x:v>https://walterscoffee.com/products/walters-tea-samba-50gr</x:v>
      </x:c>
      <x:c r="R1701" s="20" t="str">
        <x:v>Tekil ürün sayfasındaki yapılandırılmış veriden çıkarıldı.</x:v>
      </x:c>
    </x:row>
    <x:row r="1702" ht="40" customHeight="1">
      <x:c r="A1702" s="16" t="str">
        <x:v>Walter’s Coffee Roastery</x:v>
      </x:c>
      <x:c r="B1702" s="16" t="str">
        <x:v>İstanbul</x:v>
      </x:c>
      <x:c r="C1702" s="16" t="str">
        <x:v>Kısmi doğrulama</x:v>
      </x:c>
      <x:c r="D1702" s="16" t="str">
        <x:v>Ürün kaydı</x:v>
      </x:c>
      <x:c r="E1702" s="16" t="str">
        <x:v>Walter's Tea - SAMBA 50gr.</x:v>
      </x:c>
      <x:c r="F1702" s="16" t="str">
        <x:v>Menşe belirtilmemiş</x:v>
      </x:c>
      <x:c r="G1702" s="17" t="n">
        <x:v>50</x:v>
      </x:c>
      <x:c r="H1702" s="16" t="str">
        <x:v>Erişildi</x:v>
      </x:c>
      <x:c r="I1702" s="18" t="n">
        <x:v>0</x:v>
      </x:c>
      <x:c r="J1702" s="18" t="str">
        <x:v>Erişilemedi</x:v>
      </x:c>
      <x:c r="K1702" s="18" t="n">
        <x:f>IF(AND(ISNUMBER(G1702),ISNUMBER(I1702)),I1702/G1702*1000,"Erişilemedi")</x:f>
        <x:v>0</x:v>
      </x:c>
      <x:c r="L1702" s="16" t="str">
        <x:v>Belirsiz</x:v>
      </x:c>
      <x:c r="M1702" s="16" t="str">
        <x:v>Kahve ürünü</x:v>
      </x:c>
      <x:c r="N1702" s="16" t="str">
        <x:v>Site haritası ürün sayfası</x:v>
      </x:c>
      <x:c r="O1702" s="16" t="str">
        <x:v>Düşük</x:v>
      </x:c>
      <x:c r="P1702" s="19" t="n">
        <x:v>46245</x:v>
      </x:c>
      <x:c r="Q1702" s="20" t="str">
        <x:v>https://walterscoffee.com/products/walters-tea-samba-50gr</x:v>
      </x:c>
      <x:c r="R1702" s="20" t="str">
        <x:v>Ürün kimliği korundu; eksik alanlar erişilemedi olarak işaretlenecek.</x:v>
      </x:c>
    </x:row>
    <x:row r="1703" ht="40" customHeight="1">
      <x:c r="A1703" s="16" t="str">
        <x:v>Walter’s Coffee Roastery</x:v>
      </x:c>
      <x:c r="B1703" s="16" t="str">
        <x:v>İstanbul</x:v>
      </x:c>
      <x:c r="C1703" s="16" t="str">
        <x:v>Kısmi doğrulama</x:v>
      </x:c>
      <x:c r="D1703" s="16" t="str">
        <x:v>Ürün kaydı</x:v>
      </x:c>
      <x:c r="E1703" s="16" t="str">
        <x:v>Walter's Tea - SPECIAL 50gr</x:v>
      </x:c>
      <x:c r="F1703" s="16" t="str">
        <x:v>Harman – menşe belirtilmemiş</x:v>
      </x:c>
      <x:c r="G1703" s="17" t="n">
        <x:v>50</x:v>
      </x:c>
      <x:c r="H1703" s="16" t="str">
        <x:v>Erişildi</x:v>
      </x:c>
      <x:c r="I1703" s="18" t="n">
        <x:v>340</x:v>
      </x:c>
      <x:c r="J1703" s="18" t="str">
        <x:v>Erişildi</x:v>
      </x:c>
      <x:c r="K1703" s="18" t="n">
        <x:f>IF(AND(ISNUMBER(G1703),ISNUMBER(I1703)),I1703/G1703*1000,"Erişilemedi")</x:f>
        <x:v>6800</x:v>
      </x:c>
      <x:c r="L1703" s="16" t="str">
        <x:v>Stokta</x:v>
      </x:c>
      <x:c r="M1703" s="16" t="str">
        <x:v>Harman</x:v>
      </x:c>
      <x:c r="N1703" s="16" t="str">
        <x:v>Site haritası + ürün JSON-LD</x:v>
      </x:c>
      <x:c r="O1703" s="16" t="str">
        <x:v>Orta</x:v>
      </x:c>
      <x:c r="P1703" s="19" t="n">
        <x:v>46245</x:v>
      </x:c>
      <x:c r="Q1703" s="20" t="str">
        <x:v>https://walterscoffee.com/products/walters-tea-special-50gr</x:v>
      </x:c>
      <x:c r="R1703" s="20" t="str">
        <x:v>Tekil ürün sayfasındaki yapılandırılmış veriden çıkarıldı.</x:v>
      </x:c>
    </x:row>
    <x:row r="1704" ht="40" customHeight="1">
      <x:c r="A1704" s="16" t="str">
        <x:v>Walter’s Coffee Roastery</x:v>
      </x:c>
      <x:c r="B1704" s="16" t="str">
        <x:v>İstanbul</x:v>
      </x:c>
      <x:c r="C1704" s="16" t="str">
        <x:v>Kısmi doğrulama</x:v>
      </x:c>
      <x:c r="D1704" s="16" t="str">
        <x:v>Ürün kaydı</x:v>
      </x:c>
      <x:c r="E1704" s="16" t="str">
        <x:v>Walter's Tea - SPECIAL 50gr</x:v>
      </x:c>
      <x:c r="F1704" s="16" t="str">
        <x:v>Harman – menşe belirtilmemiş</x:v>
      </x:c>
      <x:c r="G1704" s="17" t="n">
        <x:v>50</x:v>
      </x:c>
      <x:c r="H1704" s="16" t="str">
        <x:v>Erişildi</x:v>
      </x:c>
      <x:c r="I1704" s="18" t="n">
        <x:v>0</x:v>
      </x:c>
      <x:c r="J1704" s="18" t="str">
        <x:v>Erişilemedi</x:v>
      </x:c>
      <x:c r="K1704" s="18" t="n">
        <x:f>IF(AND(ISNUMBER(G1704),ISNUMBER(I1704)),I1704/G1704*1000,"Erişilemedi")</x:f>
        <x:v>0</x:v>
      </x:c>
      <x:c r="L1704" s="16" t="str">
        <x:v>Belirsiz</x:v>
      </x:c>
      <x:c r="M1704" s="16" t="str">
        <x:v>Harman</x:v>
      </x:c>
      <x:c r="N1704" s="16" t="str">
        <x:v>Site haritası ürün sayfası</x:v>
      </x:c>
      <x:c r="O1704" s="16" t="str">
        <x:v>Düşük</x:v>
      </x:c>
      <x:c r="P1704" s="19" t="n">
        <x:v>46245</x:v>
      </x:c>
      <x:c r="Q1704" s="20" t="str">
        <x:v>https://walterscoffee.com/products/walters-tea-special-50gr</x:v>
      </x:c>
      <x:c r="R1704" s="20" t="str">
        <x:v>Ürün kimliği korundu; eksik alanlar erişilemedi olarak işaretlenecek.</x:v>
      </x:c>
    </x:row>
    <x:row r="1705" ht="40" customHeight="1">
      <x:c r="A1705" s="16" t="str">
        <x:v>Walter’s Coffee Roastery</x:v>
      </x:c>
      <x:c r="B1705" s="16" t="str">
        <x:v>İstanbul</x:v>
      </x:c>
      <x:c r="C1705" s="16" t="str">
        <x:v>Kısmi doğrulama</x:v>
      </x:c>
      <x:c r="D1705" s="16" t="str">
        <x:v>Ürün kaydı</x:v>
      </x:c>
      <x:c r="E1705" s="16" t="str">
        <x:v>Walters Coffee &amp;ndash; walterscoffee</x:v>
      </x:c>
      <x:c r="F1705" s="16" t="str">
        <x:v>Menşe belirtilmemiş</x:v>
      </x:c>
      <x:c r="G1705" s="17" t="str">
        <x:v>Erişilemedi</x:v>
      </x:c>
      <x:c r="H1705" s="16" t="str">
        <x:v>Erişilemedi</x:v>
      </x:c>
      <x:c r="I1705" s="18" t="n">
        <x:v>0</x:v>
      </x:c>
      <x:c r="J1705" s="18" t="str">
        <x:v>Erişilemedi</x:v>
      </x:c>
      <x:c r="K1705" s="18" t="str">
        <x:f>IF(AND(ISNUMBER(G1705),ISNUMBER(I1705)),I1705/G1705*1000,"Erişilemedi")</x:f>
        <x:v>Erişilemedi</x:v>
      </x:c>
      <x:c r="L1705" s="16" t="str">
        <x:v>Belirsiz</x:v>
      </x:c>
      <x:c r="M1705" s="16" t="str">
        <x:v>Kahve ürünü</x:v>
      </x:c>
      <x:c r="N1705" s="16" t="str">
        <x:v>Site haritası ürün sayfası</x:v>
      </x:c>
      <x:c r="O1705" s="16" t="str">
        <x:v>Düşük</x:v>
      </x:c>
      <x:c r="P1705" s="19" t="n">
        <x:v>46245</x:v>
      </x:c>
      <x:c r="Q1705" s="20" t="str">
        <x:v>https://walterscoffee.com/</x:v>
      </x:c>
      <x:c r="R1705" s="20" t="str">
        <x:v>Ürün kimliği korundu; eksik alanlar erişilemedi olarak işaretlenecek.</x:v>
      </x:c>
    </x:row>
    <x:row r="1706" ht="40" customHeight="1">
      <x:c r="A1706" s="16" t="str">
        <x:v>Whiff Coffee Roastery</x:v>
      </x:c>
      <x:c r="B1706" s="16" t="str">
        <x:v>İstanbul</x:v>
      </x:c>
      <x:c r="C1706" s="16" t="str">
        <x:v>Doğrulandı</x:v>
      </x:c>
      <x:c r="D1706" s="16" t="str">
        <x:v>Ürün kaydı</x:v>
      </x:c>
      <x:c r="E1706" s="16" t="str">
        <x:v>Nitelikli Kahve Dükkanı | Toptan Kahve | Danışmanlık | Whiff Coffee Roastery</x:v>
      </x:c>
      <x:c r="F1706" s="16" t="str">
        <x:v>Menşe belirtilmemiş</x:v>
      </x:c>
      <x:c r="G1706" s="17" t="str">
        <x:v>Erişilemedi</x:v>
      </x:c>
      <x:c r="H1706" s="16" t="str">
        <x:v>Erişilemedi</x:v>
      </x:c>
      <x:c r="I1706" s="18" t="n">
        <x:v>1000</x:v>
      </x:c>
      <x:c r="J1706" s="18" t="str">
        <x:v>Erişildi</x:v>
      </x:c>
      <x:c r="K1706" s="18" t="str">
        <x:f>IF(AND(ISNUMBER(G1706),ISNUMBER(I1706)),I1706/G1706*1000,"Erişilemedi")</x:f>
        <x:v>Erişilemedi</x:v>
      </x:c>
      <x:c r="L1706" s="16" t="str">
        <x:v>Belirsiz</x:v>
      </x:c>
      <x:c r="M1706" s="16" t="str">
        <x:v>Kahve ürünü</x:v>
      </x:c>
      <x:c r="N1706" s="16" t="str">
        <x:v>Site haritası ürün sayfası</x:v>
      </x:c>
      <x:c r="O1706" s="16" t="str">
        <x:v>Düşük</x:v>
      </x:c>
      <x:c r="P1706" s="19" t="n">
        <x:v>46245</x:v>
      </x:c>
      <x:c r="Q1706" s="20" t="str">
        <x:v>https://whiffcoffeeroastery.com</x:v>
      </x:c>
      <x:c r="R1706" s="20" t="str">
        <x:v>Ürün kimliği korundu; eksik alanlar erişilemedi olarak işaretlenecek.</x:v>
      </x:c>
    </x:row>
    <x:row r="1707" ht="40" customHeight="1">
      <x:c r="A1707" s="16" t="str">
        <x:v>Whole Bean Coffee</x:v>
      </x:c>
      <x:c r="B1707" s="16" t="str">
        <x:v>İstanbul</x:v>
      </x:c>
      <x:c r="C1707" s="16" t="str">
        <x:v>Kısmi doğrulama</x:v>
      </x:c>
      <x:c r="D1707" s="16" t="str">
        <x:v>Katalog takip kaydı</x:v>
      </x:c>
      <x:c r="E1707" s="16" t="str">
        <x:v>Ürün kataloğu — ayrıntılı ürün verisine erişilemedi</x:v>
      </x:c>
      <x:c r="F1707" s="16" t="str">
        <x:v>Erişilemedi</x:v>
      </x:c>
      <x:c r="G1707" s="17" t="str">
        <x:v>Erişilemedi</x:v>
      </x:c>
      <x:c r="H1707" s="16" t="str">
        <x:v>Erişilemedi</x:v>
      </x:c>
      <x:c r="I1707" s="18" t="str">
        <x:v>Erişilemedi</x:v>
      </x:c>
      <x:c r="J1707" s="18" t="str">
        <x:v>Erişilemedi</x:v>
      </x:c>
      <x:c r="K1707" s="18" t="str">
        <x:f>IF(AND(ISNUMBER(G1707),ISNUMBER(I1707)),I1707/G1707*1000,"Erişilemedi")</x:f>
        <x:v>Erişilemedi</x:v>
      </x:c>
      <x:c r="L1707" s="16" t="str">
        <x:v>Erişilemedi</x:v>
      </x:c>
      <x:c r="M1707" s="16" t="str">
        <x:v>Katalog/takip kaydı</x:v>
      </x:c>
      <x:c r="N1707" s="16" t="str">
        <x:v>Instagram veya mevcut kaynak</x:v>
      </x:c>
      <x:c r="O1707" s="16" t="str">
        <x:v>Takip gerekli</x:v>
      </x:c>
      <x:c r="P1707" s="19" t="n">
        <x:v>46245</x:v>
      </x:c>
      <x:c r="Q1707" s="20" t="str">
        <x:v>Erişilemedi</x:v>
      </x:c>
      <x:c r="R1707" s="20" t="str">
        <x:v>Ürün adı, gramaj ve fiyat birlikte çıkarılamadı. Bağlantı manuel inceleme için korundu.</x:v>
      </x:c>
    </x:row>
    <x:row r="1708" ht="40" customHeight="1">
      <x:c r="A1708" s="16" t="str">
        <x:v>Williams Roastery</x:v>
      </x:c>
      <x:c r="B1708" s="16" t="str">
        <x:v>İstanbul</x:v>
      </x:c>
      <x:c r="C1708" s="16" t="str">
        <x:v>Doğrulandı</x:v>
      </x:c>
      <x:c r="D1708" s="16" t="str">
        <x:v>Ürün kaydı</x:v>
      </x:c>
      <x:c r="E1708" s="16" t="str">
        <x:v>Brazil Carmo</x:v>
      </x:c>
      <x:c r="F1708" s="16" t="str">
        <x:v>Brezilya</x:v>
      </x:c>
      <x:c r="G1708" s="17" t="str">
        <x:v>Erişilemedi</x:v>
      </x:c>
      <x:c r="H1708" s="16" t="str">
        <x:v>Erişilemedi</x:v>
      </x:c>
      <x:c r="I1708" s="18" t="n">
        <x:v>485</x:v>
      </x:c>
      <x:c r="J1708" s="18" t="str">
        <x:v>Erişildi</x:v>
      </x:c>
      <x:c r="K1708" s="18" t="str">
        <x:f>IF(AND(ISNUMBER(G1708),ISNUMBER(I1708)),I1708/G1708*1000,"Erişilemedi")</x:f>
        <x:v>Erişilemedi</x:v>
      </x:c>
      <x:c r="L1708" s="16" t="str">
        <x:v>Stokta</x:v>
      </x:c>
      <x:c r="M1708" s="16" t="str">
        <x:v>Kahve ürünü</x:v>
      </x:c>
      <x:c r="N1708" s="16" t="str">
        <x:v>WooCommerce Store API</x:v>
      </x:c>
      <x:c r="O1708" s="16" t="str">
        <x:v>Orta</x:v>
      </x:c>
      <x:c r="P1708" s="19" t="n">
        <x:v>46245</x:v>
      </x:c>
      <x:c r="Q1708" s="20" t="str">
        <x:v>https://williamsroastery.com/brazil-carmo/</x:v>
      </x:c>
      <x:c r="R1708" s="20" t="str">
        <x:v>Fiyat veya gramaj eksik olsa da ürün korundu.</x:v>
      </x:c>
    </x:row>
    <x:row r="1709" ht="40" customHeight="1">
      <x:c r="A1709" s="16" t="str">
        <x:v>Williams Roastery</x:v>
      </x:c>
      <x:c r="B1709" s="16" t="str"/>
      <x:c r="C1709" s="16" t="str">
        <x:v>Pilot doğrulaması</x:v>
      </x:c>
      <x:c r="D1709" s="16" t="str">
        <x:v>Ürün kaydı</x:v>
      </x:c>
      <x:c r="E1709" s="16" t="str">
        <x:v>Brazil Carmo</x:v>
      </x:c>
      <x:c r="F1709" s="16" t="str">
        <x:v>Brezilya</x:v>
      </x:c>
      <x:c r="G1709" s="17" t="n">
        <x:v>250</x:v>
      </x:c>
      <x:c r="H1709" s="16" t="str">
        <x:v>Erişildi</x:v>
      </x:c>
      <x:c r="I1709" s="18" t="n">
        <x:v>485</x:v>
      </x:c>
      <x:c r="J1709" s="18" t="str">
        <x:v>Erişildi</x:v>
      </x:c>
      <x:c r="K1709" s="18" t="n">
        <x:f>IF(AND(ISNUMBER(G1709),ISNUMBER(I1709)),I1709/G1709*1000,"Erişilemedi")</x:f>
        <x:v>1940</x:v>
      </x:c>
      <x:c r="L1709" s="16" t="str">
        <x:v>Stokta</x:v>
      </x:c>
      <x:c r="M1709" s="16" t="str">
        <x:v>Tek köken</x:v>
      </x:c>
      <x:c r="N1709" s="16" t="str">
        <x:v>Pilot manuel/API doğrulaması</x:v>
      </x:c>
      <x:c r="O1709" s="16" t="str">
        <x:v>Yüksek</x:v>
      </x:c>
      <x:c r="P1709" s="19" t="n">
        <x:v>46245</x:v>
      </x:c>
      <x:c r="Q1709" s="20" t="str">
        <x:v>https://williamsroastery.com/wp-json/wc/store/v1/products?per_page=100</x:v>
      </x:c>
      <x:c r="R1709" s="20" t="str"/>
    </x:row>
    <x:row r="1710" ht="40" customHeight="1">
      <x:c r="A1710" s="16" t="str">
        <x:v>Williams Roastery</x:v>
      </x:c>
      <x:c r="B1710" s="16" t="str">
        <x:v>İstanbul</x:v>
      </x:c>
      <x:c r="C1710" s="16" t="str">
        <x:v>Doğrulandı</x:v>
      </x:c>
      <x:c r="D1710" s="16" t="str">
        <x:v>Ürün kaydı</x:v>
      </x:c>
      <x:c r="E1710" s="16" t="str">
        <x:v>Colombia La Loma Sidra</x:v>
      </x:c>
      <x:c r="F1710" s="16" t="str">
        <x:v>Kolombiya</x:v>
      </x:c>
      <x:c r="G1710" s="17" t="str">
        <x:v>Erişilemedi</x:v>
      </x:c>
      <x:c r="H1710" s="16" t="str">
        <x:v>Erişilemedi</x:v>
      </x:c>
      <x:c r="I1710" s="18" t="n">
        <x:v>1200</x:v>
      </x:c>
      <x:c r="J1710" s="18" t="str">
        <x:v>Erişildi</x:v>
      </x:c>
      <x:c r="K1710" s="18" t="str">
        <x:f>IF(AND(ISNUMBER(G1710),ISNUMBER(I1710)),I1710/G1710*1000,"Erişilemedi")</x:f>
        <x:v>Erişilemedi</x:v>
      </x:c>
      <x:c r="L1710" s="16" t="str">
        <x:v>Stokta</x:v>
      </x:c>
      <x:c r="M1710" s="16" t="str">
        <x:v>Kahve ürünü</x:v>
      </x:c>
      <x:c r="N1710" s="16" t="str">
        <x:v>WooCommerce Store API</x:v>
      </x:c>
      <x:c r="O1710" s="16" t="str">
        <x:v>Orta</x:v>
      </x:c>
      <x:c r="P1710" s="19" t="n">
        <x:v>46245</x:v>
      </x:c>
      <x:c r="Q1710" s="20" t="str">
        <x:v>https://williamsroastery.com/colombia-la-loma-sidra/</x:v>
      </x:c>
      <x:c r="R1710" s="20" t="str">
        <x:v>Fiyat veya gramaj eksik olsa da ürün korundu.</x:v>
      </x:c>
    </x:row>
    <x:row r="1711" ht="40" customHeight="1">
      <x:c r="A1711" s="16" t="str">
        <x:v>Williams Roastery</x:v>
      </x:c>
      <x:c r="B1711" s="16" t="str"/>
      <x:c r="C1711" s="16" t="str">
        <x:v>Pilot doğrulaması</x:v>
      </x:c>
      <x:c r="D1711" s="16" t="str">
        <x:v>Ürün kaydı</x:v>
      </x:c>
      <x:c r="E1711" s="16" t="str">
        <x:v>Colombia La Loma Sidra</x:v>
      </x:c>
      <x:c r="F1711" s="16" t="str">
        <x:v>Kolombiya</x:v>
      </x:c>
      <x:c r="G1711" s="17" t="n">
        <x:v>250</x:v>
      </x:c>
      <x:c r="H1711" s="16" t="str">
        <x:v>Erişildi</x:v>
      </x:c>
      <x:c r="I1711" s="18" t="n">
        <x:v>1200</x:v>
      </x:c>
      <x:c r="J1711" s="18" t="str">
        <x:v>Erişildi</x:v>
      </x:c>
      <x:c r="K1711" s="18" t="n">
        <x:f>IF(AND(ISNUMBER(G1711),ISNUMBER(I1711)),I1711/G1711*1000,"Erişilemedi")</x:f>
        <x:v>4800</x:v>
      </x:c>
      <x:c r="L1711" s="16" t="str">
        <x:v>Stokta</x:v>
      </x:c>
      <x:c r="M1711" s="16" t="str">
        <x:v>Tek köken</x:v>
      </x:c>
      <x:c r="N1711" s="16" t="str">
        <x:v>Pilot manuel/API doğrulaması</x:v>
      </x:c>
      <x:c r="O1711" s="16" t="str">
        <x:v>Yüksek</x:v>
      </x:c>
      <x:c r="P1711" s="19" t="n">
        <x:v>46245</x:v>
      </x:c>
      <x:c r="Q1711" s="20" t="str">
        <x:v>https://williamsroastery.com/wp-json/wc/store/v1/products?per_page=100</x:v>
      </x:c>
      <x:c r="R1711" s="20" t="str"/>
    </x:row>
    <x:row r="1712" ht="40" customHeight="1">
      <x:c r="A1712" s="16" t="str">
        <x:v>Williams Roastery</x:v>
      </x:c>
      <x:c r="B1712" s="16" t="str">
        <x:v>İstanbul</x:v>
      </x:c>
      <x:c r="C1712" s="16" t="str">
        <x:v>Doğrulandı</x:v>
      </x:c>
      <x:c r="D1712" s="16" t="str">
        <x:v>Ürün kaydı</x:v>
      </x:c>
      <x:c r="E1712" s="16" t="str">
        <x:v>Colombia Monteblanco Citrullus</x:v>
      </x:c>
      <x:c r="F1712" s="16" t="str">
        <x:v>Kolombiya</x:v>
      </x:c>
      <x:c r="G1712" s="17" t="str">
        <x:v>Erişilemedi</x:v>
      </x:c>
      <x:c r="H1712" s="16" t="str">
        <x:v>Erişilemedi</x:v>
      </x:c>
      <x:c r="I1712" s="18" t="n">
        <x:v>950</x:v>
      </x:c>
      <x:c r="J1712" s="18" t="str">
        <x:v>Erişildi</x:v>
      </x:c>
      <x:c r="K1712" s="18" t="str">
        <x:f>IF(AND(ISNUMBER(G1712),ISNUMBER(I1712)),I1712/G1712*1000,"Erişilemedi")</x:f>
        <x:v>Erişilemedi</x:v>
      </x:c>
      <x:c r="L1712" s="16" t="str">
        <x:v>Stokta</x:v>
      </x:c>
      <x:c r="M1712" s="16" t="str">
        <x:v>Kahve ürünü</x:v>
      </x:c>
      <x:c r="N1712" s="16" t="str">
        <x:v>WooCommerce Store API</x:v>
      </x:c>
      <x:c r="O1712" s="16" t="str">
        <x:v>Orta</x:v>
      </x:c>
      <x:c r="P1712" s="19" t="n">
        <x:v>46245</x:v>
      </x:c>
      <x:c r="Q1712" s="20" t="str">
        <x:v>https://williamsroastery.com/colombia-monteblanco-citrullus/</x:v>
      </x:c>
      <x:c r="R1712" s="20" t="str">
        <x:v>Fiyat veya gramaj eksik olsa da ürün korundu.</x:v>
      </x:c>
    </x:row>
    <x:row r="1713" ht="40" customHeight="1">
      <x:c r="A1713" s="16" t="str">
        <x:v>Williams Roastery</x:v>
      </x:c>
      <x:c r="B1713" s="16" t="str"/>
      <x:c r="C1713" s="16" t="str">
        <x:v>Pilot doğrulaması</x:v>
      </x:c>
      <x:c r="D1713" s="16" t="str">
        <x:v>Ürün kaydı</x:v>
      </x:c>
      <x:c r="E1713" s="16" t="str">
        <x:v>Colombia Monteblanco Citrullus</x:v>
      </x:c>
      <x:c r="F1713" s="16" t="str">
        <x:v>Kolombiya</x:v>
      </x:c>
      <x:c r="G1713" s="17" t="n">
        <x:v>250</x:v>
      </x:c>
      <x:c r="H1713" s="16" t="str">
        <x:v>Erişildi</x:v>
      </x:c>
      <x:c r="I1713" s="18" t="n">
        <x:v>950</x:v>
      </x:c>
      <x:c r="J1713" s="18" t="str">
        <x:v>Erişildi</x:v>
      </x:c>
      <x:c r="K1713" s="18" t="n">
        <x:f>IF(AND(ISNUMBER(G1713),ISNUMBER(I1713)),I1713/G1713*1000,"Erişilemedi")</x:f>
        <x:v>3800</x:v>
      </x:c>
      <x:c r="L1713" s="16" t="str">
        <x:v>Stokta</x:v>
      </x:c>
      <x:c r="M1713" s="16" t="str">
        <x:v>Tek köken</x:v>
      </x:c>
      <x:c r="N1713" s="16" t="str">
        <x:v>Pilot manuel/API doğrulaması</x:v>
      </x:c>
      <x:c r="O1713" s="16" t="str">
        <x:v>Yüksek</x:v>
      </x:c>
      <x:c r="P1713" s="19" t="n">
        <x:v>46245</x:v>
      </x:c>
      <x:c r="Q1713" s="20" t="str">
        <x:v>https://williamsroastery.com/wp-json/wc/store/v1/products?per_page=100</x:v>
      </x:c>
      <x:c r="R1713" s="20" t="str"/>
    </x:row>
    <x:row r="1714" ht="40" customHeight="1">
      <x:c r="A1714" s="16" t="str">
        <x:v>Zuhalkız Kahve</x:v>
      </x:c>
      <x:c r="B1714" s="16" t="str">
        <x:v>Gaziantep</x:v>
      </x:c>
      <x:c r="C1714" s="16" t="str">
        <x:v>Kısmi doğrulama</x:v>
      </x:c>
      <x:c r="D1714" s="16" t="str">
        <x:v>Katalog takip kaydı</x:v>
      </x:c>
      <x:c r="E1714" s="16" t="str">
        <x:v>Ürün kataloğu — ayrıntılı ürün verisine erişilemedi</x:v>
      </x:c>
      <x:c r="F1714" s="16" t="str">
        <x:v>Erişilemedi</x:v>
      </x:c>
      <x:c r="G1714" s="17" t="str">
        <x:v>Erişilemedi</x:v>
      </x:c>
      <x:c r="H1714" s="16" t="str">
        <x:v>Erişilemedi</x:v>
      </x:c>
      <x:c r="I1714" s="18" t="str">
        <x:v>Erişilemedi</x:v>
      </x:c>
      <x:c r="J1714" s="18" t="str">
        <x:v>Erişilemedi</x:v>
      </x:c>
      <x:c r="K1714" s="18" t="str">
        <x:f>IF(AND(ISNUMBER(G1714),ISNUMBER(I1714)),I1714/G1714*1000,"Erişilemedi")</x:f>
        <x:v>Erişilemedi</x:v>
      </x:c>
      <x:c r="L1714" s="16" t="str">
        <x:v>Erişilemedi</x:v>
      </x:c>
      <x:c r="M1714" s="16" t="str">
        <x:v>Katalog/takip kaydı</x:v>
      </x:c>
      <x:c r="N1714" s="16" t="str">
        <x:v>Instagram veya mevcut kaynak</x:v>
      </x:c>
      <x:c r="O1714" s="16" t="str">
        <x:v>Takip gerekli</x:v>
      </x:c>
      <x:c r="P1714" s="19" t="n">
        <x:v>46245</x:v>
      </x:c>
      <x:c r="Q1714" s="20" t="str">
        <x:v>Erişilemedi</x:v>
      </x:c>
      <x:c r="R1714" s="20" t="str">
        <x:v>Ürün adı, gramaj ve fiyat birlikte çıkarılamadı. Bağlantı manuel inceleme için korundu.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6faac06d46aa43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7" hidden="0" customWidth="1"/>
    <x:col min="4" max="4" width="20" hidden="0" customWidth="1"/>
    <x:col min="5" max="5" width="21" hidden="0" customWidth="1"/>
    <x:col min="6" max="6" width="17" hidden="0" customWidth="1"/>
    <x:col min="7" max="7" width="17" hidden="0" customWidth="1"/>
    <x:col min="8" max="8" width="34" hidden="0" customWidth="1"/>
  </x:cols>
  <x:sheetData>
    <x:row r="1">
      <x:c r="A1" s="5" t="str">
        <x:v>151 işletmenin filtresiz ürün kapsamı</x:v>
      </x:c>
      <x:c r="B1" s="5"/>
      <x:c r="C1" s="5"/>
      <x:c r="D1" s="5"/>
      <x:c r="E1" s="5"/>
      <x:c r="F1" s="5"/>
      <x:c r="G1" s="5"/>
      <x:c r="H1" s="5"/>
    </x:row>
    <x:row r="3">
      <x:c r="A3" s="23" t="str">
        <x:v>İşletme</x:v>
      </x:c>
      <x:c r="B3" s="23" t="str">
        <x:v>Doğrulama</x:v>
      </x:c>
      <x:c r="C3" s="23" t="str">
        <x:v>Toplam satır</x:v>
      </x:c>
      <x:c r="D3" s="23" t="str">
        <x:v>Adlandırılmış ürün</x:v>
      </x:c>
      <x:c r="E3" s="23" t="str">
        <x:v>Katalog takip satırı</x:v>
      </x:c>
      <x:c r="F3" s="23" t="str">
        <x:v>Fiyatlı satır</x:v>
      </x:c>
      <x:c r="G3" s="23" t="str">
        <x:v>Gramajlı satır</x:v>
      </x:c>
      <x:c r="H3" s="23" t="str">
        <x:v>İnceleme sonucu</x:v>
      </x:c>
    </x:row>
    <x:row r="4">
      <x:c r="A4" t="str">
        <x:v>1978 Coffee Roastery</x:v>
      </x:c>
      <x:c r="B4" t="str">
        <x:f>INDEX('Geniş Ürün Endeksi'!$C$4:$C$1714,MATCH(A4,'Geniş Ürün Endeksi'!$A$4:$A$1714,0))</x:f>
        <x:v>Doğrulandı</x:v>
      </x:c>
      <x:c r="C4" t="n">
        <x:f>COUNTIF('Geniş Ürün Endeksi'!$A$4:$A$1714,A4)</x:f>
        <x:v>13</x:v>
      </x:c>
      <x:c r="D4" t="n">
        <x:f>COUNTIFS('Geniş Ürün Endeksi'!$A$4:$A$1714,A4,'Geniş Ürün Endeksi'!$D$4:$D$1714,"Ürün kaydı")</x:f>
        <x:v>13</x:v>
      </x:c>
      <x:c r="E4" t="n">
        <x:f>COUNTIFS('Geniş Ürün Endeksi'!$A$4:$A$1714,A4,'Geniş Ürün Endeksi'!$D$4:$D$1714,"Katalog takip kaydı")</x:f>
        <x:v>0</x:v>
      </x:c>
      <x:c r="F4" t="n">
        <x:f>COUNTIFS('Geniş Ürün Endeksi'!$A$4:$A$1714,A4,'Geniş Ürün Endeksi'!$J$4:$J$1714,"Erişildi")</x:f>
        <x:v>13</x:v>
      </x:c>
      <x:c r="G4" t="n">
        <x:f>COUNTIFS('Geniş Ürün Endeksi'!$A$4:$A$1714,A4,'Geniş Ürün Endeksi'!$H$4:$H$1714,"Erişildi")</x:f>
        <x:v>8</x:v>
      </x:c>
      <x:c r="H4" t="str">
        <x:f>IF(D4&gt;0,"En az bir ürün adı bulundu","Yalnız katalog/mağaza bağlantısı")</x:f>
        <x:v>En az bir ürün adı bulundu</x:v>
      </x:c>
    </x:row>
    <x:row r="5">
      <x:c r="A5" t="str">
        <x:v>A Roasting Lab</x:v>
      </x:c>
      <x:c r="B5" t="str">
        <x:f>INDEX('Geniş Ürün Endeksi'!$C$4:$C$1714,MATCH(A5,'Geniş Ürün Endeksi'!$A$4:$A$1714,0))</x:f>
        <x:v>Doğrulandı</x:v>
      </x:c>
      <x:c r="C5" t="n">
        <x:f>COUNTIF('Geniş Ürün Endeksi'!$A$4:$A$1714,A5)</x:f>
        <x:v>76</x:v>
      </x:c>
      <x:c r="D5" t="n">
        <x:f>COUNTIFS('Geniş Ürün Endeksi'!$A$4:$A$1714,A5,'Geniş Ürün Endeksi'!$D$4:$D$1714,"Ürün kaydı")</x:f>
        <x:v>76</x:v>
      </x:c>
      <x:c r="E5" t="n">
        <x:f>COUNTIFS('Geniş Ürün Endeksi'!$A$4:$A$1714,A5,'Geniş Ürün Endeksi'!$D$4:$D$1714,"Katalog takip kaydı")</x:f>
        <x:v>0</x:v>
      </x:c>
      <x:c r="F5" t="n">
        <x:f>COUNTIFS('Geniş Ürün Endeksi'!$A$4:$A$1714,A5,'Geniş Ürün Endeksi'!$J$4:$J$1714,"Erişildi")</x:f>
        <x:v>75</x:v>
      </x:c>
      <x:c r="G5" t="n">
        <x:f>COUNTIFS('Geniş Ürün Endeksi'!$A$4:$A$1714,A5,'Geniş Ürün Endeksi'!$H$4:$H$1714,"Erişildi")</x:f>
        <x:v>76</x:v>
      </x:c>
      <x:c r="H5" t="str">
        <x:f>IF(D5&gt;0,"En az bir ürün adı bulundu","Yalnız katalog/mağaza bağlantısı")</x:f>
        <x:v>En az bir ürün adı bulundu</x:v>
      </x:c>
    </x:row>
    <x:row r="6">
      <x:c r="A6" t="str">
        <x:v>A4 Kahve</x:v>
      </x:c>
      <x:c r="B6" t="str">
        <x:f>INDEX('Geniş Ürün Endeksi'!$C$4:$C$1714,MATCH(A6,'Geniş Ürün Endeksi'!$A$4:$A$1714,0))</x:f>
        <x:v>Kısmi doğrulama</x:v>
      </x:c>
      <x:c r="C6" t="n">
        <x:f>COUNTIF('Geniş Ürün Endeksi'!$A$4:$A$1714,A6)</x:f>
        <x:v>1</x:v>
      </x:c>
      <x:c r="D6" t="n">
        <x:f>COUNTIFS('Geniş Ürün Endeksi'!$A$4:$A$1714,A6,'Geniş Ürün Endeksi'!$D$4:$D$1714,"Ürün kaydı")</x:f>
        <x:v>0</x:v>
      </x:c>
      <x:c r="E6" t="n">
        <x:f>COUNTIFS('Geniş Ürün Endeksi'!$A$4:$A$1714,A6,'Geniş Ürün Endeksi'!$D$4:$D$1714,"Katalog takip kaydı")</x:f>
        <x:v>1</x:v>
      </x:c>
      <x:c r="F6" t="n">
        <x:f>COUNTIFS('Geniş Ürün Endeksi'!$A$4:$A$1714,A6,'Geniş Ürün Endeksi'!$J$4:$J$1714,"Erişildi")</x:f>
        <x:v>0</x:v>
      </x:c>
      <x:c r="G6" t="n">
        <x:f>COUNTIFS('Geniş Ürün Endeksi'!$A$4:$A$1714,A6,'Geniş Ürün Endeksi'!$H$4:$H$1714,"Erişildi")</x:f>
        <x:v>0</x:v>
      </x:c>
      <x:c r="H6" t="str">
        <x:f>IF(D6&gt;0,"En az bir ürün adı bulundu","Yalnız katalog/mağaza bağlantısı")</x:f>
        <x:v>Yalnız katalog/mağaza bağlantısı</x:v>
      </x:c>
    </x:row>
    <x:row r="7">
      <x:c r="A7" t="str">
        <x:v>Abdullah Efendi Kahvesi</x:v>
      </x:c>
      <x:c r="B7" t="str">
        <x:f>INDEX('Geniş Ürün Endeksi'!$C$4:$C$1714,MATCH(A7,'Geniş Ürün Endeksi'!$A$4:$A$1714,0))</x:f>
        <x:v>Kısmi doğrulama</x:v>
      </x:c>
      <x:c r="C7" t="n">
        <x:f>COUNTIF('Geniş Ürün Endeksi'!$A$4:$A$1714,A7)</x:f>
        <x:v>1</x:v>
      </x:c>
      <x:c r="D7" t="n">
        <x:f>COUNTIFS('Geniş Ürün Endeksi'!$A$4:$A$1714,A7,'Geniş Ürün Endeksi'!$D$4:$D$1714,"Ürün kaydı")</x:f>
        <x:v>0</x:v>
      </x:c>
      <x:c r="E7" t="n">
        <x:f>COUNTIFS('Geniş Ürün Endeksi'!$A$4:$A$1714,A7,'Geniş Ürün Endeksi'!$D$4:$D$1714,"Katalog takip kaydı")</x:f>
        <x:v>1</x:v>
      </x:c>
      <x:c r="F7" t="n">
        <x:f>COUNTIFS('Geniş Ürün Endeksi'!$A$4:$A$1714,A7,'Geniş Ürün Endeksi'!$J$4:$J$1714,"Erişildi")</x:f>
        <x:v>0</x:v>
      </x:c>
      <x:c r="G7" t="n">
        <x:f>COUNTIFS('Geniş Ürün Endeksi'!$A$4:$A$1714,A7,'Geniş Ürün Endeksi'!$H$4:$H$1714,"Erişildi")</x:f>
        <x:v>0</x:v>
      </x:c>
      <x:c r="H7" t="str">
        <x:f>IF(D7&gt;0,"En az bir ürün adı bulundu","Yalnız katalog/mağaza bağlantısı")</x:f>
        <x:v>Yalnız katalog/mağaza bağlantısı</x:v>
      </x:c>
    </x:row>
    <x:row r="8">
      <x:c r="A8" t="str">
        <x:v>Akademi Kahve</x:v>
      </x:c>
      <x:c r="B8" t="str">
        <x:f>INDEX('Geniş Ürün Endeksi'!$C$4:$C$1714,MATCH(A8,'Geniş Ürün Endeksi'!$A$4:$A$1714,0))</x:f>
        <x:v>Doğrulandı</x:v>
      </x:c>
      <x:c r="C8" t="n">
        <x:f>COUNTIF('Geniş Ürün Endeksi'!$A$4:$A$1714,A8)</x:f>
        <x:v>1</x:v>
      </x:c>
      <x:c r="D8" t="n">
        <x:f>COUNTIFS('Geniş Ürün Endeksi'!$A$4:$A$1714,A8,'Geniş Ürün Endeksi'!$D$4:$D$1714,"Ürün kaydı")</x:f>
        <x:v>0</x:v>
      </x:c>
      <x:c r="E8" t="n">
        <x:f>COUNTIFS('Geniş Ürün Endeksi'!$A$4:$A$1714,A8,'Geniş Ürün Endeksi'!$D$4:$D$1714,"Katalog takip kaydı")</x:f>
        <x:v>1</x:v>
      </x:c>
      <x:c r="F8" t="n">
        <x:f>COUNTIFS('Geniş Ürün Endeksi'!$A$4:$A$1714,A8,'Geniş Ürün Endeksi'!$J$4:$J$1714,"Erişildi")</x:f>
        <x:v>0</x:v>
      </x:c>
      <x:c r="G8" t="n">
        <x:f>COUNTIFS('Geniş Ürün Endeksi'!$A$4:$A$1714,A8,'Geniş Ürün Endeksi'!$H$4:$H$1714,"Erişildi")</x:f>
        <x:v>0</x:v>
      </x:c>
      <x:c r="H8" t="str">
        <x:f>IF(D8&gt;0,"En az bir ürün adı bulundu","Yalnız katalog/mağaza bağlantısı")</x:f>
        <x:v>Yalnız katalog/mağaza bağlantısı</x:v>
      </x:c>
    </x:row>
    <x:row r="9">
      <x:c r="A9" t="str">
        <x:v>Arabica Coffee House</x:v>
      </x:c>
      <x:c r="B9" t="str">
        <x:f>INDEX('Geniş Ürün Endeksi'!$C$4:$C$1714,MATCH(A9,'Geniş Ürün Endeksi'!$A$4:$A$1714,0))</x:f>
        <x:v>Doğrulandı</x:v>
      </x:c>
      <x:c r="C9" t="n">
        <x:f>COUNTIF('Geniş Ürün Endeksi'!$A$4:$A$1714,A9)</x:f>
        <x:v>1</x:v>
      </x:c>
      <x:c r="D9" t="n">
        <x:f>COUNTIFS('Geniş Ürün Endeksi'!$A$4:$A$1714,A9,'Geniş Ürün Endeksi'!$D$4:$D$1714,"Ürün kaydı")</x:f>
        <x:v>0</x:v>
      </x:c>
      <x:c r="E9" t="n">
        <x:f>COUNTIFS('Geniş Ürün Endeksi'!$A$4:$A$1714,A9,'Geniş Ürün Endeksi'!$D$4:$D$1714,"Katalog takip kaydı")</x:f>
        <x:v>1</x:v>
      </x:c>
      <x:c r="F9" t="n">
        <x:f>COUNTIFS('Geniş Ürün Endeksi'!$A$4:$A$1714,A9,'Geniş Ürün Endeksi'!$J$4:$J$1714,"Erişildi")</x:f>
        <x:v>0</x:v>
      </x:c>
      <x:c r="G9" t="n">
        <x:f>COUNTIFS('Geniş Ürün Endeksi'!$A$4:$A$1714,A9,'Geniş Ürün Endeksi'!$H$4:$H$1714,"Erişildi")</x:f>
        <x:v>0</x:v>
      </x:c>
      <x:c r="H9" t="str">
        <x:f>IF(D9&gt;0,"En az bir ürün adı bulundu","Yalnız katalog/mağaza bağlantısı")</x:f>
        <x:v>Yalnız katalog/mağaza bağlantısı</x:v>
      </x:c>
    </x:row>
    <x:row r="10">
      <x:c r="A10" t="str">
        <x:v>Artukbey Kahve</x:v>
      </x:c>
      <x:c r="B10" t="str">
        <x:f>INDEX('Geniş Ürün Endeksi'!$C$4:$C$1714,MATCH(A10,'Geniş Ürün Endeksi'!$A$4:$A$1714,0))</x:f>
        <x:v>Doğrulandı</x:v>
      </x:c>
      <x:c r="C10" t="n">
        <x:f>COUNTIF('Geniş Ürün Endeksi'!$A$4:$A$1714,A10)</x:f>
        <x:v>90</x:v>
      </x:c>
      <x:c r="D10" t="n">
        <x:f>COUNTIFS('Geniş Ürün Endeksi'!$A$4:$A$1714,A10,'Geniş Ürün Endeksi'!$D$4:$D$1714,"Ürün kaydı")</x:f>
        <x:v>90</x:v>
      </x:c>
      <x:c r="E10" t="n">
        <x:f>COUNTIFS('Geniş Ürün Endeksi'!$A$4:$A$1714,A10,'Geniş Ürün Endeksi'!$D$4:$D$1714,"Katalog takip kaydı")</x:f>
        <x:v>0</x:v>
      </x:c>
      <x:c r="F10" t="n">
        <x:f>COUNTIFS('Geniş Ürün Endeksi'!$A$4:$A$1714,A10,'Geniş Ürün Endeksi'!$J$4:$J$1714,"Erişildi")</x:f>
        <x:v>33</x:v>
      </x:c>
      <x:c r="G10" t="n">
        <x:f>COUNTIFS('Geniş Ürün Endeksi'!$A$4:$A$1714,A10,'Geniş Ürün Endeksi'!$H$4:$H$1714,"Erişildi")</x:f>
        <x:v>87</x:v>
      </x:c>
      <x:c r="H10" t="str">
        <x:f>IF(D10&gt;0,"En az bir ürün adı bulundu","Yalnız katalog/mağaza bağlantısı")</x:f>
        <x:v>En az bir ürün adı bulundu</x:v>
      </x:c>
    </x:row>
    <x:row r="11">
      <x:c r="A11" t="str">
        <x:v>Backfield Roasting Co.</x:v>
      </x:c>
      <x:c r="B11" t="str">
        <x:f>INDEX('Geniş Ürün Endeksi'!$C$4:$C$1714,MATCH(A11,'Geniş Ürün Endeksi'!$A$4:$A$1714,0))</x:f>
        <x:v>Kısmi doğrulama</x:v>
      </x:c>
      <x:c r="C11" t="n">
        <x:f>COUNTIF('Geniş Ürün Endeksi'!$A$4:$A$1714,A11)</x:f>
        <x:v>1</x:v>
      </x:c>
      <x:c r="D11" t="n">
        <x:f>COUNTIFS('Geniş Ürün Endeksi'!$A$4:$A$1714,A11,'Geniş Ürün Endeksi'!$D$4:$D$1714,"Ürün kaydı")</x:f>
        <x:v>0</x:v>
      </x:c>
      <x:c r="E11" t="n">
        <x:f>COUNTIFS('Geniş Ürün Endeksi'!$A$4:$A$1714,A11,'Geniş Ürün Endeksi'!$D$4:$D$1714,"Katalog takip kaydı")</x:f>
        <x:v>1</x:v>
      </x:c>
      <x:c r="F11" t="n">
        <x:f>COUNTIFS('Geniş Ürün Endeksi'!$A$4:$A$1714,A11,'Geniş Ürün Endeksi'!$J$4:$J$1714,"Erişildi")</x:f>
        <x:v>0</x:v>
      </x:c>
      <x:c r="G11" t="n">
        <x:f>COUNTIFS('Geniş Ürün Endeksi'!$A$4:$A$1714,A11,'Geniş Ürün Endeksi'!$H$4:$H$1714,"Erişildi")</x:f>
        <x:v>0</x:v>
      </x:c>
      <x:c r="H11" t="str">
        <x:f>IF(D11&gt;0,"En az bir ürün adı bulundu","Yalnız katalog/mağaza bağlantısı")</x:f>
        <x:v>Yalnız katalog/mağaza bağlantısı</x:v>
      </x:c>
    </x:row>
    <x:row r="12">
      <x:c r="A12" t="str">
        <x:v>Baristas Roastery</x:v>
      </x:c>
      <x:c r="B12" t="str">
        <x:f>INDEX('Geniş Ürün Endeksi'!$C$4:$C$1714,MATCH(A12,'Geniş Ürün Endeksi'!$A$4:$A$1714,0))</x:f>
        <x:v>Doğrulandı</x:v>
      </x:c>
      <x:c r="C12" t="n">
        <x:f>COUNTIF('Geniş Ürün Endeksi'!$A$4:$A$1714,A12)</x:f>
        <x:v>1</x:v>
      </x:c>
      <x:c r="D12" t="n">
        <x:f>COUNTIFS('Geniş Ürün Endeksi'!$A$4:$A$1714,A12,'Geniş Ürün Endeksi'!$D$4:$D$1714,"Ürün kaydı")</x:f>
        <x:v>0</x:v>
      </x:c>
      <x:c r="E12" t="n">
        <x:f>COUNTIFS('Geniş Ürün Endeksi'!$A$4:$A$1714,A12,'Geniş Ürün Endeksi'!$D$4:$D$1714,"Katalog takip kaydı")</x:f>
        <x:v>1</x:v>
      </x:c>
      <x:c r="F12" t="n">
        <x:f>COUNTIFS('Geniş Ürün Endeksi'!$A$4:$A$1714,A12,'Geniş Ürün Endeksi'!$J$4:$J$1714,"Erişildi")</x:f>
        <x:v>0</x:v>
      </x:c>
      <x:c r="G12" t="n">
        <x:f>COUNTIFS('Geniş Ürün Endeksi'!$A$4:$A$1714,A12,'Geniş Ürün Endeksi'!$H$4:$H$1714,"Erişildi")</x:f>
        <x:v>0</x:v>
      </x:c>
      <x:c r="H12" t="str">
        <x:f>IF(D12&gt;0,"En az bir ürün adı bulundu","Yalnız katalog/mağaza bağlantısı")</x:f>
        <x:v>Yalnız katalog/mağaza bağlantısı</x:v>
      </x:c>
    </x:row>
    <x:row r="13">
      <x:c r="A13" t="str">
        <x:v>Baristocrat</x:v>
      </x:c>
      <x:c r="B13" t="str">
        <x:f>INDEX('Geniş Ürün Endeksi'!$C$4:$C$1714,MATCH(A13,'Geniş Ürün Endeksi'!$A$4:$A$1714,0))</x:f>
        <x:v>Doğrulandı</x:v>
      </x:c>
      <x:c r="C13" t="n">
        <x:f>COUNTIF('Geniş Ürün Endeksi'!$A$4:$A$1714,A13)</x:f>
        <x:v>2</x:v>
      </x:c>
      <x:c r="D13" t="n">
        <x:f>COUNTIFS('Geniş Ürün Endeksi'!$A$4:$A$1714,A13,'Geniş Ürün Endeksi'!$D$4:$D$1714,"Ürün kaydı")</x:f>
        <x:v>2</x:v>
      </x:c>
      <x:c r="E13" t="n">
        <x:f>COUNTIFS('Geniş Ürün Endeksi'!$A$4:$A$1714,A13,'Geniş Ürün Endeksi'!$D$4:$D$1714,"Katalog takip kaydı")</x:f>
        <x:v>0</x:v>
      </x:c>
      <x:c r="F13" t="n">
        <x:f>COUNTIFS('Geniş Ürün Endeksi'!$A$4:$A$1714,A13,'Geniş Ürün Endeksi'!$J$4:$J$1714,"Erişildi")</x:f>
        <x:v>2</x:v>
      </x:c>
      <x:c r="G13" t="n">
        <x:f>COUNTIFS('Geniş Ürün Endeksi'!$A$4:$A$1714,A13,'Geniş Ürün Endeksi'!$H$4:$H$1714,"Erişildi")</x:f>
        <x:v>0</x:v>
      </x:c>
      <x:c r="H13" t="str">
        <x:f>IF(D13&gt;0,"En az bir ürün adı bulundu","Yalnız katalog/mağaza bağlantısı")</x:f>
        <x:v>En az bir ürün adı bulundu</x:v>
      </x:c>
    </x:row>
    <x:row r="14">
      <x:c r="A14" t="str">
        <x:v>Barney’s Coffee House</x:v>
      </x:c>
      <x:c r="B14" t="str">
        <x:f>INDEX('Geniş Ürün Endeksi'!$C$4:$C$1714,MATCH(A14,'Geniş Ürün Endeksi'!$A$4:$A$1714,0))</x:f>
        <x:v>Kısmi doğrulama</x:v>
      </x:c>
      <x:c r="C14" t="n">
        <x:f>COUNTIF('Geniş Ürün Endeksi'!$A$4:$A$1714,A14)</x:f>
        <x:v>1</x:v>
      </x:c>
      <x:c r="D14" t="n">
        <x:f>COUNTIFS('Geniş Ürün Endeksi'!$A$4:$A$1714,A14,'Geniş Ürün Endeksi'!$D$4:$D$1714,"Ürün kaydı")</x:f>
        <x:v>0</x:v>
      </x:c>
      <x:c r="E14" t="n">
        <x:f>COUNTIFS('Geniş Ürün Endeksi'!$A$4:$A$1714,A14,'Geniş Ürün Endeksi'!$D$4:$D$1714,"Katalog takip kaydı")</x:f>
        <x:v>1</x:v>
      </x:c>
      <x:c r="F14" t="n">
        <x:f>COUNTIFS('Geniş Ürün Endeksi'!$A$4:$A$1714,A14,'Geniş Ürün Endeksi'!$J$4:$J$1714,"Erişildi")</x:f>
        <x:v>0</x:v>
      </x:c>
      <x:c r="G14" t="n">
        <x:f>COUNTIFS('Geniş Ürün Endeksi'!$A$4:$A$1714,A14,'Geniş Ürün Endeksi'!$H$4:$H$1714,"Erişildi")</x:f>
        <x:v>0</x:v>
      </x:c>
      <x:c r="H14" t="str">
        <x:f>IF(D14&gt;0,"En az bir ürün adı bulundu","Yalnız katalog/mağaza bağlantısı")</x:f>
        <x:v>Yalnız katalog/mağaza bağlantısı</x:v>
      </x:c>
    </x:row>
    <x:row r="15">
      <x:c r="A15" t="str">
        <x:v>Ben Coffee Co.</x:v>
      </x:c>
      <x:c r="B15" t="str">
        <x:f>INDEX('Geniş Ürün Endeksi'!$C$4:$C$1714,MATCH(A15,'Geniş Ürün Endeksi'!$A$4:$A$1714,0))</x:f>
        <x:v>Doğrulandı</x:v>
      </x:c>
      <x:c r="C15" t="n">
        <x:f>COUNTIF('Geniş Ürün Endeksi'!$A$4:$A$1714,A15)</x:f>
        <x:v>20</x:v>
      </x:c>
      <x:c r="D15" t="n">
        <x:f>COUNTIFS('Geniş Ürün Endeksi'!$A$4:$A$1714,A15,'Geniş Ürün Endeksi'!$D$4:$D$1714,"Ürün kaydı")</x:f>
        <x:v>20</x:v>
      </x:c>
      <x:c r="E15" t="n">
        <x:f>COUNTIFS('Geniş Ürün Endeksi'!$A$4:$A$1714,A15,'Geniş Ürün Endeksi'!$D$4:$D$1714,"Katalog takip kaydı")</x:f>
        <x:v>0</x:v>
      </x:c>
      <x:c r="F15" t="n">
        <x:f>COUNTIFS('Geniş Ürün Endeksi'!$A$4:$A$1714,A15,'Geniş Ürün Endeksi'!$J$4:$J$1714,"Erişildi")</x:f>
        <x:v>20</x:v>
      </x:c>
      <x:c r="G15" t="n">
        <x:f>COUNTIFS('Geniş Ürün Endeksi'!$A$4:$A$1714,A15,'Geniş Ürün Endeksi'!$H$4:$H$1714,"Erişildi")</x:f>
        <x:v>20</x:v>
      </x:c>
      <x:c r="H15" t="str">
        <x:f>IF(D15&gt;0,"En az bir ürün adı bulundu","Yalnız katalog/mağaza bağlantısı")</x:f>
        <x:v>En az bir ürün adı bulundu</x:v>
      </x:c>
    </x:row>
    <x:row r="16">
      <x:c r="A16" t="str">
        <x:v>Benesso Coffee</x:v>
      </x:c>
      <x:c r="B16" t="str">
        <x:f>INDEX('Geniş Ürün Endeksi'!$C$4:$C$1714,MATCH(A16,'Geniş Ürün Endeksi'!$A$4:$A$1714,0))</x:f>
        <x:v>Kısmi doğrulama</x:v>
      </x:c>
      <x:c r="C16" t="n">
        <x:f>COUNTIF('Geniş Ürün Endeksi'!$A$4:$A$1714,A16)</x:f>
        <x:v>1</x:v>
      </x:c>
      <x:c r="D16" t="n">
        <x:f>COUNTIFS('Geniş Ürün Endeksi'!$A$4:$A$1714,A16,'Geniş Ürün Endeksi'!$D$4:$D$1714,"Ürün kaydı")</x:f>
        <x:v>0</x:v>
      </x:c>
      <x:c r="E16" t="n">
        <x:f>COUNTIFS('Geniş Ürün Endeksi'!$A$4:$A$1714,A16,'Geniş Ürün Endeksi'!$D$4:$D$1714,"Katalog takip kaydı")</x:f>
        <x:v>1</x:v>
      </x:c>
      <x:c r="F16" t="n">
        <x:f>COUNTIFS('Geniş Ürün Endeksi'!$A$4:$A$1714,A16,'Geniş Ürün Endeksi'!$J$4:$J$1714,"Erişildi")</x:f>
        <x:v>0</x:v>
      </x:c>
      <x:c r="G16" t="n">
        <x:f>COUNTIFS('Geniş Ürün Endeksi'!$A$4:$A$1714,A16,'Geniş Ürün Endeksi'!$H$4:$H$1714,"Erişildi")</x:f>
        <x:v>0</x:v>
      </x:c>
      <x:c r="H16" t="str">
        <x:f>IF(D16&gt;0,"En az bir ürün adı bulundu","Yalnız katalog/mağaza bağlantısı")</x:f>
        <x:v>Yalnız katalog/mağaza bağlantısı</x:v>
      </x:c>
    </x:row>
    <x:row r="17">
      <x:c r="A17" t="str">
        <x:v>Blum Coffee</x:v>
      </x:c>
      <x:c r="B17" t="str">
        <x:f>INDEX('Geniş Ürün Endeksi'!$C$4:$C$1714,MATCH(A17,'Geniş Ürün Endeksi'!$A$4:$A$1714,0))</x:f>
        <x:v>Kısmi doğrulama</x:v>
      </x:c>
      <x:c r="C17" t="n">
        <x:f>COUNTIF('Geniş Ürün Endeksi'!$A$4:$A$1714,A17)</x:f>
        <x:v>1</x:v>
      </x:c>
      <x:c r="D17" t="n">
        <x:f>COUNTIFS('Geniş Ürün Endeksi'!$A$4:$A$1714,A17,'Geniş Ürün Endeksi'!$D$4:$D$1714,"Ürün kaydı")</x:f>
        <x:v>0</x:v>
      </x:c>
      <x:c r="E17" t="n">
        <x:f>COUNTIFS('Geniş Ürün Endeksi'!$A$4:$A$1714,A17,'Geniş Ürün Endeksi'!$D$4:$D$1714,"Katalog takip kaydı")</x:f>
        <x:v>1</x:v>
      </x:c>
      <x:c r="F17" t="n">
        <x:f>COUNTIFS('Geniş Ürün Endeksi'!$A$4:$A$1714,A17,'Geniş Ürün Endeksi'!$J$4:$J$1714,"Erişildi")</x:f>
        <x:v>0</x:v>
      </x:c>
      <x:c r="G17" t="n">
        <x:f>COUNTIFS('Geniş Ürün Endeksi'!$A$4:$A$1714,A17,'Geniş Ürün Endeksi'!$H$4:$H$1714,"Erişildi")</x:f>
        <x:v>0</x:v>
      </x:c>
      <x:c r="H17" t="str">
        <x:f>IF(D17&gt;0,"En az bir ürün adı bulundu","Yalnız katalog/mağaza bağlantısı")</x:f>
        <x:v>Yalnız katalog/mağaza bağlantısı</x:v>
      </x:c>
    </x:row>
    <x:row r="18">
      <x:c r="A18" t="str">
        <x:v>Boxx Coffee Roasters</x:v>
      </x:c>
      <x:c r="B18" t="str">
        <x:f>INDEX('Geniş Ürün Endeksi'!$C$4:$C$1714,MATCH(A18,'Geniş Ürün Endeksi'!$A$4:$A$1714,0))</x:f>
        <x:v>Doğrulandı</x:v>
      </x:c>
      <x:c r="C18" t="n">
        <x:f>COUNTIF('Geniş Ürün Endeksi'!$A$4:$A$1714,A18)</x:f>
        <x:v>21</x:v>
      </x:c>
      <x:c r="D18" t="n">
        <x:f>COUNTIFS('Geniş Ürün Endeksi'!$A$4:$A$1714,A18,'Geniş Ürün Endeksi'!$D$4:$D$1714,"Ürün kaydı")</x:f>
        <x:v>21</x:v>
      </x:c>
      <x:c r="E18" t="n">
        <x:f>COUNTIFS('Geniş Ürün Endeksi'!$A$4:$A$1714,A18,'Geniş Ürün Endeksi'!$D$4:$D$1714,"Katalog takip kaydı")</x:f>
        <x:v>0</x:v>
      </x:c>
      <x:c r="F18" t="n">
        <x:f>COUNTIFS('Geniş Ürün Endeksi'!$A$4:$A$1714,A18,'Geniş Ürün Endeksi'!$J$4:$J$1714,"Erişildi")</x:f>
        <x:v>21</x:v>
      </x:c>
      <x:c r="G18" t="n">
        <x:f>COUNTIFS('Geniş Ürün Endeksi'!$A$4:$A$1714,A18,'Geniş Ürün Endeksi'!$H$4:$H$1714,"Erişildi")</x:f>
        <x:v>21</x:v>
      </x:c>
      <x:c r="H18" t="str">
        <x:f>IF(D18&gt;0,"En az bir ürün adı bulundu","Yalnız katalog/mağaza bağlantısı")</x:f>
        <x:v>En az bir ürün adı bulundu</x:v>
      </x:c>
    </x:row>
    <x:row r="19">
      <x:c r="A19" t="str">
        <x:v>Bravo Coffee Roastery</x:v>
      </x:c>
      <x:c r="B19" t="str">
        <x:f>INDEX('Geniş Ürün Endeksi'!$C$4:$C$1714,MATCH(A19,'Geniş Ürün Endeksi'!$A$4:$A$1714,0))</x:f>
        <x:v>Doğrulandı</x:v>
      </x:c>
      <x:c r="C19" t="n">
        <x:f>COUNTIF('Geniş Ürün Endeksi'!$A$4:$A$1714,A19)</x:f>
        <x:v>12</x:v>
      </x:c>
      <x:c r="D19" t="n">
        <x:f>COUNTIFS('Geniş Ürün Endeksi'!$A$4:$A$1714,A19,'Geniş Ürün Endeksi'!$D$4:$D$1714,"Ürün kaydı")</x:f>
        <x:v>12</x:v>
      </x:c>
      <x:c r="E19" t="n">
        <x:f>COUNTIFS('Geniş Ürün Endeksi'!$A$4:$A$1714,A19,'Geniş Ürün Endeksi'!$D$4:$D$1714,"Katalog takip kaydı")</x:f>
        <x:v>0</x:v>
      </x:c>
      <x:c r="F19" t="n">
        <x:f>COUNTIFS('Geniş Ürün Endeksi'!$A$4:$A$1714,A19,'Geniş Ürün Endeksi'!$J$4:$J$1714,"Erişildi")</x:f>
        <x:v>9</x:v>
      </x:c>
      <x:c r="G19" t="n">
        <x:f>COUNTIFS('Geniş Ürün Endeksi'!$A$4:$A$1714,A19,'Geniş Ürün Endeksi'!$H$4:$H$1714,"Erişildi")</x:f>
        <x:v>5</x:v>
      </x:c>
      <x:c r="H19" t="str">
        <x:f>IF(D19&gt;0,"En az bir ürün adı bulundu","Yalnız katalog/mağaza bağlantısı")</x:f>
        <x:v>En az bir ürün adı bulundu</x:v>
      </x:c>
    </x:row>
    <x:row r="20">
      <x:c r="A20" t="str">
        <x:v>Bu Coffee Roastery</x:v>
      </x:c>
      <x:c r="B20" t="str">
        <x:f>INDEX('Geniş Ürün Endeksi'!$C$4:$C$1714,MATCH(A20,'Geniş Ürün Endeksi'!$A$4:$A$1714,0))</x:f>
        <x:v>Doğrulandı</x:v>
      </x:c>
      <x:c r="C20" t="n">
        <x:f>COUNTIF('Geniş Ürün Endeksi'!$A$4:$A$1714,A20)</x:f>
        <x:v>34</x:v>
      </x:c>
      <x:c r="D20" t="n">
        <x:f>COUNTIFS('Geniş Ürün Endeksi'!$A$4:$A$1714,A20,'Geniş Ürün Endeksi'!$D$4:$D$1714,"Ürün kaydı")</x:f>
        <x:v>34</x:v>
      </x:c>
      <x:c r="E20" t="n">
        <x:f>COUNTIFS('Geniş Ürün Endeksi'!$A$4:$A$1714,A20,'Geniş Ürün Endeksi'!$D$4:$D$1714,"Katalog takip kaydı")</x:f>
        <x:v>0</x:v>
      </x:c>
      <x:c r="F20" t="n">
        <x:f>COUNTIFS('Geniş Ürün Endeksi'!$A$4:$A$1714,A20,'Geniş Ürün Endeksi'!$J$4:$J$1714,"Erişildi")</x:f>
        <x:v>0</x:v>
      </x:c>
      <x:c r="G20" t="n">
        <x:f>COUNTIFS('Geniş Ürün Endeksi'!$A$4:$A$1714,A20,'Geniş Ürün Endeksi'!$H$4:$H$1714,"Erişildi")</x:f>
        <x:v>0</x:v>
      </x:c>
      <x:c r="H20" t="str">
        <x:f>IF(D20&gt;0,"En az bir ürün adı bulundu","Yalnız katalog/mağaza bağlantısı")</x:f>
        <x:v>En az bir ürün adı bulundu</x:v>
      </x:c>
    </x:row>
    <x:row r="21">
      <x:c r="A21" t="str">
        <x:v>cafeMU</x:v>
      </x:c>
      <x:c r="B21" t="str">
        <x:f>INDEX('Geniş Ürün Endeksi'!$C$4:$C$1714,MATCH(A21,'Geniş Ürün Endeksi'!$A$4:$A$1714,0))</x:f>
        <x:v>Doğrulandı</x:v>
      </x:c>
      <x:c r="C21" t="n">
        <x:f>COUNTIF('Geniş Ürün Endeksi'!$A$4:$A$1714,A21)</x:f>
        <x:v>10</x:v>
      </x:c>
      <x:c r="D21" t="n">
        <x:f>COUNTIFS('Geniş Ürün Endeksi'!$A$4:$A$1714,A21,'Geniş Ürün Endeksi'!$D$4:$D$1714,"Ürün kaydı")</x:f>
        <x:v>10</x:v>
      </x:c>
      <x:c r="E21" t="n">
        <x:f>COUNTIFS('Geniş Ürün Endeksi'!$A$4:$A$1714,A21,'Geniş Ürün Endeksi'!$D$4:$D$1714,"Katalog takip kaydı")</x:f>
        <x:v>0</x:v>
      </x:c>
      <x:c r="F21" t="n">
        <x:f>COUNTIFS('Geniş Ürün Endeksi'!$A$4:$A$1714,A21,'Geniş Ürün Endeksi'!$J$4:$J$1714,"Erişildi")</x:f>
        <x:v>7</x:v>
      </x:c>
      <x:c r="G21" t="n">
        <x:f>COUNTIFS('Geniş Ürün Endeksi'!$A$4:$A$1714,A21,'Geniş Ürün Endeksi'!$H$4:$H$1714,"Erişildi")</x:f>
        <x:v>0</x:v>
      </x:c>
      <x:c r="H21" t="str">
        <x:f>IF(D21&gt;0,"En az bir ürün adı bulundu","Yalnız katalog/mağaza bağlantısı")</x:f>
        <x:v>En az bir ürün adı bulundu</x:v>
      </x:c>
    </x:row>
    <x:row r="22">
      <x:c r="A22" t="str">
        <x:v>Calibre Coffee</x:v>
      </x:c>
      <x:c r="B22" t="str">
        <x:f>INDEX('Geniş Ürün Endeksi'!$C$4:$C$1714,MATCH(A22,'Geniş Ürün Endeksi'!$A$4:$A$1714,0))</x:f>
        <x:v>Kısmi doğrulama</x:v>
      </x:c>
      <x:c r="C22" t="n">
        <x:f>COUNTIF('Geniş Ürün Endeksi'!$A$4:$A$1714,A22)</x:f>
        <x:v>1</x:v>
      </x:c>
      <x:c r="D22" t="n">
        <x:f>COUNTIFS('Geniş Ürün Endeksi'!$A$4:$A$1714,A22,'Geniş Ürün Endeksi'!$D$4:$D$1714,"Ürün kaydı")</x:f>
        <x:v>0</x:v>
      </x:c>
      <x:c r="E22" t="n">
        <x:f>COUNTIFS('Geniş Ürün Endeksi'!$A$4:$A$1714,A22,'Geniş Ürün Endeksi'!$D$4:$D$1714,"Katalog takip kaydı")</x:f>
        <x:v>1</x:v>
      </x:c>
      <x:c r="F22" t="n">
        <x:f>COUNTIFS('Geniş Ürün Endeksi'!$A$4:$A$1714,A22,'Geniş Ürün Endeksi'!$J$4:$J$1714,"Erişildi")</x:f>
        <x:v>0</x:v>
      </x:c>
      <x:c r="G22" t="n">
        <x:f>COUNTIFS('Geniş Ürün Endeksi'!$A$4:$A$1714,A22,'Geniş Ürün Endeksi'!$H$4:$H$1714,"Erişildi")</x:f>
        <x:v>0</x:v>
      </x:c>
      <x:c r="H22" t="str">
        <x:f>IF(D22&gt;0,"En az bir ürün adı bulundu","Yalnız katalog/mağaza bağlantısı")</x:f>
        <x:v>Yalnız katalog/mağaza bağlantısı</x:v>
      </x:c>
    </x:row>
    <x:row r="23">
      <x:c r="A23" t="str">
        <x:v>Celsius Coffee</x:v>
      </x:c>
      <x:c r="B23" t="str">
        <x:f>INDEX('Geniş Ürün Endeksi'!$C$4:$C$1714,MATCH(A23,'Geniş Ürün Endeksi'!$A$4:$A$1714,0))</x:f>
        <x:v>Kısmi doğrulama</x:v>
      </x:c>
      <x:c r="C23" t="n">
        <x:f>COUNTIF('Geniş Ürün Endeksi'!$A$4:$A$1714,A23)</x:f>
        <x:v>1</x:v>
      </x:c>
      <x:c r="D23" t="n">
        <x:f>COUNTIFS('Geniş Ürün Endeksi'!$A$4:$A$1714,A23,'Geniş Ürün Endeksi'!$D$4:$D$1714,"Ürün kaydı")</x:f>
        <x:v>0</x:v>
      </x:c>
      <x:c r="E23" t="n">
        <x:f>COUNTIFS('Geniş Ürün Endeksi'!$A$4:$A$1714,A23,'Geniş Ürün Endeksi'!$D$4:$D$1714,"Katalog takip kaydı")</x:f>
        <x:v>1</x:v>
      </x:c>
      <x:c r="F23" t="n">
        <x:f>COUNTIFS('Geniş Ürün Endeksi'!$A$4:$A$1714,A23,'Geniş Ürün Endeksi'!$J$4:$J$1714,"Erişildi")</x:f>
        <x:v>0</x:v>
      </x:c>
      <x:c r="G23" t="n">
        <x:f>COUNTIFS('Geniş Ürün Endeksi'!$A$4:$A$1714,A23,'Geniş Ürün Endeksi'!$H$4:$H$1714,"Erişildi")</x:f>
        <x:v>0</x:v>
      </x:c>
      <x:c r="H23" t="str">
        <x:f>IF(D23&gt;0,"En az bir ürün adı bulundu","Yalnız katalog/mağaza bağlantısı")</x:f>
        <x:v>Yalnız katalog/mağaza bağlantısı</x:v>
      </x:c>
    </x:row>
    <x:row r="24">
      <x:c r="A24" t="str">
        <x:v>Cho Coffee Roastery</x:v>
      </x:c>
      <x:c r="B24" t="str">
        <x:f>INDEX('Geniş Ürün Endeksi'!$C$4:$C$1714,MATCH(A24,'Geniş Ürün Endeksi'!$A$4:$A$1714,0))</x:f>
        <x:v>Kısmi doğrulama</x:v>
      </x:c>
      <x:c r="C24" t="n">
        <x:f>COUNTIF('Geniş Ürün Endeksi'!$A$4:$A$1714,A24)</x:f>
        <x:v>38</x:v>
      </x:c>
      <x:c r="D24" t="n">
        <x:f>COUNTIFS('Geniş Ürün Endeksi'!$A$4:$A$1714,A24,'Geniş Ürün Endeksi'!$D$4:$D$1714,"Ürün kaydı")</x:f>
        <x:v>38</x:v>
      </x:c>
      <x:c r="E24" t="n">
        <x:f>COUNTIFS('Geniş Ürün Endeksi'!$A$4:$A$1714,A24,'Geniş Ürün Endeksi'!$D$4:$D$1714,"Katalog takip kaydı")</x:f>
        <x:v>0</x:v>
      </x:c>
      <x:c r="F24" t="n">
        <x:f>COUNTIFS('Geniş Ürün Endeksi'!$A$4:$A$1714,A24,'Geniş Ürün Endeksi'!$J$4:$J$1714,"Erişildi")</x:f>
        <x:v>18</x:v>
      </x:c>
      <x:c r="G24" t="n">
        <x:f>COUNTIFS('Geniş Ürün Endeksi'!$A$4:$A$1714,A24,'Geniş Ürün Endeksi'!$H$4:$H$1714,"Erişildi")</x:f>
        <x:v>0</x:v>
      </x:c>
      <x:c r="H24" t="str">
        <x:f>IF(D24&gt;0,"En az bir ürün adı bulundu","Yalnız katalog/mağaza bağlantısı")</x:f>
        <x:v>En az bir ürün adı bulundu</x:v>
      </x:c>
    </x:row>
    <x:row r="25">
      <x:c r="A25" t="str">
        <x:v>Clean Cup Coffee</x:v>
      </x:c>
      <x:c r="B25" t="str">
        <x:f>INDEX('Geniş Ürün Endeksi'!$C$4:$C$1714,MATCH(A25,'Geniş Ürün Endeksi'!$A$4:$A$1714,0))</x:f>
        <x:v>Kısmi doğrulama</x:v>
      </x:c>
      <x:c r="C25" t="n">
        <x:f>COUNTIF('Geniş Ürün Endeksi'!$A$4:$A$1714,A25)</x:f>
        <x:v>1</x:v>
      </x:c>
      <x:c r="D25" t="n">
        <x:f>COUNTIFS('Geniş Ürün Endeksi'!$A$4:$A$1714,A25,'Geniş Ürün Endeksi'!$D$4:$D$1714,"Ürün kaydı")</x:f>
        <x:v>0</x:v>
      </x:c>
      <x:c r="E25" t="n">
        <x:f>COUNTIFS('Geniş Ürün Endeksi'!$A$4:$A$1714,A25,'Geniş Ürün Endeksi'!$D$4:$D$1714,"Katalog takip kaydı")</x:f>
        <x:v>1</x:v>
      </x:c>
      <x:c r="F25" t="n">
        <x:f>COUNTIFS('Geniş Ürün Endeksi'!$A$4:$A$1714,A25,'Geniş Ürün Endeksi'!$J$4:$J$1714,"Erişildi")</x:f>
        <x:v>0</x:v>
      </x:c>
      <x:c r="G25" t="n">
        <x:f>COUNTIFS('Geniş Ürün Endeksi'!$A$4:$A$1714,A25,'Geniş Ürün Endeksi'!$H$4:$H$1714,"Erişildi")</x:f>
        <x:v>0</x:v>
      </x:c>
      <x:c r="H25" t="str">
        <x:f>IF(D25&gt;0,"En az bir ürün adı bulundu","Yalnız katalog/mağaza bağlantısı")</x:f>
        <x:v>Yalnız katalog/mağaza bağlantısı</x:v>
      </x:c>
    </x:row>
    <x:row r="26">
      <x:c r="A26" t="str">
        <x:v>Coach Coffee Company</x:v>
      </x:c>
      <x:c r="B26" t="str">
        <x:f>INDEX('Geniş Ürün Endeksi'!$C$4:$C$1714,MATCH(A26,'Geniş Ürün Endeksi'!$A$4:$A$1714,0))</x:f>
        <x:v>Kısmi doğrulama</x:v>
      </x:c>
      <x:c r="C26" t="n">
        <x:f>COUNTIF('Geniş Ürün Endeksi'!$A$4:$A$1714,A26)</x:f>
        <x:v>48</x:v>
      </x:c>
      <x:c r="D26" t="n">
        <x:f>COUNTIFS('Geniş Ürün Endeksi'!$A$4:$A$1714,A26,'Geniş Ürün Endeksi'!$D$4:$D$1714,"Ürün kaydı")</x:f>
        <x:v>48</x:v>
      </x:c>
      <x:c r="E26" t="n">
        <x:f>COUNTIFS('Geniş Ürün Endeksi'!$A$4:$A$1714,A26,'Geniş Ürün Endeksi'!$D$4:$D$1714,"Katalog takip kaydı")</x:f>
        <x:v>0</x:v>
      </x:c>
      <x:c r="F26" t="n">
        <x:f>COUNTIFS('Geniş Ürün Endeksi'!$A$4:$A$1714,A26,'Geniş Ürün Endeksi'!$J$4:$J$1714,"Erişildi")</x:f>
        <x:v>44</x:v>
      </x:c>
      <x:c r="G26" t="n">
        <x:f>COUNTIFS('Geniş Ürün Endeksi'!$A$4:$A$1714,A26,'Geniş Ürün Endeksi'!$H$4:$H$1714,"Erişildi")</x:f>
        <x:v>21</x:v>
      </x:c>
      <x:c r="H26" t="str">
        <x:f>IF(D26&gt;0,"En az bir ürün adı bulundu","Yalnız katalog/mağaza bağlantısı")</x:f>
        <x:v>En az bir ürün adı bulundu</x:v>
      </x:c>
    </x:row>
    <x:row r="27">
      <x:c r="A27" t="str">
        <x:v>Coffee Code Roasters</x:v>
      </x:c>
      <x:c r="B27" t="str">
        <x:f>INDEX('Geniş Ürün Endeksi'!$C$4:$C$1714,MATCH(A27,'Geniş Ürün Endeksi'!$A$4:$A$1714,0))</x:f>
        <x:v>Doğrulandı</x:v>
      </x:c>
      <x:c r="C27" t="n">
        <x:f>COUNTIF('Geniş Ürün Endeksi'!$A$4:$A$1714,A27)</x:f>
        <x:v>15</x:v>
      </x:c>
      <x:c r="D27" t="n">
        <x:f>COUNTIFS('Geniş Ürün Endeksi'!$A$4:$A$1714,A27,'Geniş Ürün Endeksi'!$D$4:$D$1714,"Ürün kaydı")</x:f>
        <x:v>15</x:v>
      </x:c>
      <x:c r="E27" t="n">
        <x:f>COUNTIFS('Geniş Ürün Endeksi'!$A$4:$A$1714,A27,'Geniş Ürün Endeksi'!$D$4:$D$1714,"Katalog takip kaydı")</x:f>
        <x:v>0</x:v>
      </x:c>
      <x:c r="F27" t="n">
        <x:f>COUNTIFS('Geniş Ürün Endeksi'!$A$4:$A$1714,A27,'Geniş Ürün Endeksi'!$J$4:$J$1714,"Erişildi")</x:f>
        <x:v>15</x:v>
      </x:c>
      <x:c r="G27" t="n">
        <x:f>COUNTIFS('Geniş Ürün Endeksi'!$A$4:$A$1714,A27,'Geniş Ürün Endeksi'!$H$4:$H$1714,"Erişildi")</x:f>
        <x:v>7</x:v>
      </x:c>
      <x:c r="H27" t="str">
        <x:f>IF(D27&gt;0,"En az bir ürün adı bulundu","Yalnız katalog/mağaza bağlantısı")</x:f>
        <x:v>En az bir ürün adı bulundu</x:v>
      </x:c>
    </x:row>
    <x:row r="28">
      <x:c r="A28" t="str">
        <x:v>Coffee Department</x:v>
      </x:c>
      <x:c r="B28" t="str">
        <x:f>INDEX('Geniş Ürün Endeksi'!$C$4:$C$1714,MATCH(A28,'Geniş Ürün Endeksi'!$A$4:$A$1714,0))</x:f>
        <x:v>Doğrulandı</x:v>
      </x:c>
      <x:c r="C28" t="n">
        <x:f>COUNTIF('Geniş Ürün Endeksi'!$A$4:$A$1714,A28)</x:f>
        <x:v>12</x:v>
      </x:c>
      <x:c r="D28" t="n">
        <x:f>COUNTIFS('Geniş Ürün Endeksi'!$A$4:$A$1714,A28,'Geniş Ürün Endeksi'!$D$4:$D$1714,"Ürün kaydı")</x:f>
        <x:v>12</x:v>
      </x:c>
      <x:c r="E28" t="n">
        <x:f>COUNTIFS('Geniş Ürün Endeksi'!$A$4:$A$1714,A28,'Geniş Ürün Endeksi'!$D$4:$D$1714,"Katalog takip kaydı")</x:f>
        <x:v>0</x:v>
      </x:c>
      <x:c r="F28" t="n">
        <x:f>COUNTIFS('Geniş Ürün Endeksi'!$A$4:$A$1714,A28,'Geniş Ürün Endeksi'!$J$4:$J$1714,"Erişildi")</x:f>
        <x:v>0</x:v>
      </x:c>
      <x:c r="G28" t="n">
        <x:f>COUNTIFS('Geniş Ürün Endeksi'!$A$4:$A$1714,A28,'Geniş Ürün Endeksi'!$H$4:$H$1714,"Erişildi")</x:f>
        <x:v>0</x:v>
      </x:c>
      <x:c r="H28" t="str">
        <x:f>IF(D28&gt;0,"En az bir ürün adı bulundu","Yalnız katalog/mağaza bağlantısı")</x:f>
        <x:v>En az bir ürün adı bulundu</x:v>
      </x:c>
    </x:row>
    <x:row r="29">
      <x:c r="A29" t="str">
        <x:v>Coffee Friendzone</x:v>
      </x:c>
      <x:c r="B29" t="str">
        <x:f>INDEX('Geniş Ürün Endeksi'!$C$4:$C$1714,MATCH(A29,'Geniş Ürün Endeksi'!$A$4:$A$1714,0))</x:f>
        <x:v>Kısmi doğrulama</x:v>
      </x:c>
      <x:c r="C29" t="n">
        <x:f>COUNTIF('Geniş Ürün Endeksi'!$A$4:$A$1714,A29)</x:f>
        <x:v>23</x:v>
      </x:c>
      <x:c r="D29" t="n">
        <x:f>COUNTIFS('Geniş Ürün Endeksi'!$A$4:$A$1714,A29,'Geniş Ürün Endeksi'!$D$4:$D$1714,"Ürün kaydı")</x:f>
        <x:v>23</x:v>
      </x:c>
      <x:c r="E29" t="n">
        <x:f>COUNTIFS('Geniş Ürün Endeksi'!$A$4:$A$1714,A29,'Geniş Ürün Endeksi'!$D$4:$D$1714,"Katalog takip kaydı")</x:f>
        <x:v>0</x:v>
      </x:c>
      <x:c r="F29" t="n">
        <x:f>COUNTIFS('Geniş Ürün Endeksi'!$A$4:$A$1714,A29,'Geniş Ürün Endeksi'!$J$4:$J$1714,"Erişildi")</x:f>
        <x:v>23</x:v>
      </x:c>
      <x:c r="G29" t="n">
        <x:f>COUNTIFS('Geniş Ürün Endeksi'!$A$4:$A$1714,A29,'Geniş Ürün Endeksi'!$H$4:$H$1714,"Erişildi")</x:f>
        <x:v>14</x:v>
      </x:c>
      <x:c r="H29" t="str">
        <x:f>IF(D29&gt;0,"En az bir ürün adı bulundu","Yalnız katalog/mağaza bağlantısı")</x:f>
        <x:v>En az bir ürün adı bulundu</x:v>
      </x:c>
    </x:row>
    <x:row r="30">
      <x:c r="A30" t="str">
        <x:v>Coffee Lab</x:v>
      </x:c>
      <x:c r="B30" t="str">
        <x:f>INDEX('Geniş Ürün Endeksi'!$C$4:$C$1714,MATCH(A30,'Geniş Ürün Endeksi'!$A$4:$A$1714,0))</x:f>
        <x:v>Doğrulandı</x:v>
      </x:c>
      <x:c r="C30" t="n">
        <x:f>COUNTIF('Geniş Ürün Endeksi'!$A$4:$A$1714,A30)</x:f>
        <x:v>15</x:v>
      </x:c>
      <x:c r="D30" t="n">
        <x:f>COUNTIFS('Geniş Ürün Endeksi'!$A$4:$A$1714,A30,'Geniş Ürün Endeksi'!$D$4:$D$1714,"Ürün kaydı")</x:f>
        <x:v>15</x:v>
      </x:c>
      <x:c r="E30" t="n">
        <x:f>COUNTIFS('Geniş Ürün Endeksi'!$A$4:$A$1714,A30,'Geniş Ürün Endeksi'!$D$4:$D$1714,"Katalog takip kaydı")</x:f>
        <x:v>0</x:v>
      </x:c>
      <x:c r="F30" t="n">
        <x:f>COUNTIFS('Geniş Ürün Endeksi'!$A$4:$A$1714,A30,'Geniş Ürün Endeksi'!$J$4:$J$1714,"Erişildi")</x:f>
        <x:v>0</x:v>
      </x:c>
      <x:c r="G30" t="n">
        <x:f>COUNTIFS('Geniş Ürün Endeksi'!$A$4:$A$1714,A30,'Geniş Ürün Endeksi'!$H$4:$H$1714,"Erişildi")</x:f>
        <x:v>0</x:v>
      </x:c>
      <x:c r="H30" t="str">
        <x:f>IF(D30&gt;0,"En az bir ürün adı bulundu","Yalnız katalog/mağaza bağlantısı")</x:f>
        <x:v>En az bir ürün adı bulundu</x:v>
      </x:c>
    </x:row>
    <x:row r="31">
      <x:c r="A31" t="str">
        <x:v>Coffee Manifesto</x:v>
      </x:c>
      <x:c r="B31" t="str">
        <x:f>INDEX('Geniş Ürün Endeksi'!$C$4:$C$1714,MATCH(A31,'Geniş Ürün Endeksi'!$A$4:$A$1714,0))</x:f>
        <x:v>Doğrulandı</x:v>
      </x:c>
      <x:c r="C31" t="n">
        <x:f>COUNTIF('Geniş Ürün Endeksi'!$A$4:$A$1714,A31)</x:f>
        <x:v>27</x:v>
      </x:c>
      <x:c r="D31" t="n">
        <x:f>COUNTIFS('Geniş Ürün Endeksi'!$A$4:$A$1714,A31,'Geniş Ürün Endeksi'!$D$4:$D$1714,"Ürün kaydı")</x:f>
        <x:v>27</x:v>
      </x:c>
      <x:c r="E31" t="n">
        <x:f>COUNTIFS('Geniş Ürün Endeksi'!$A$4:$A$1714,A31,'Geniş Ürün Endeksi'!$D$4:$D$1714,"Katalog takip kaydı")</x:f>
        <x:v>0</x:v>
      </x:c>
      <x:c r="F31" t="n">
        <x:f>COUNTIFS('Geniş Ürün Endeksi'!$A$4:$A$1714,A31,'Geniş Ürün Endeksi'!$J$4:$J$1714,"Erişildi")</x:f>
        <x:v>27</x:v>
      </x:c>
      <x:c r="G31" t="n">
        <x:f>COUNTIFS('Geniş Ürün Endeksi'!$A$4:$A$1714,A31,'Geniş Ürün Endeksi'!$H$4:$H$1714,"Erişildi")</x:f>
        <x:v>25</x:v>
      </x:c>
      <x:c r="H31" t="str">
        <x:f>IF(D31&gt;0,"En az bir ürün adı bulundu","Yalnız katalog/mağaza bağlantısı")</x:f>
        <x:v>En az bir ürün adı bulundu</x:v>
      </x:c>
    </x:row>
    <x:row r="32">
      <x:c r="A32" t="str">
        <x:v>Coffee Project</x:v>
      </x:c>
      <x:c r="B32" t="str">
        <x:f>INDEX('Geniş Ürün Endeksi'!$C$4:$C$1714,MATCH(A32,'Geniş Ürün Endeksi'!$A$4:$A$1714,0))</x:f>
        <x:v>Doğrulandı</x:v>
      </x:c>
      <x:c r="C32" t="n">
        <x:f>COUNTIF('Geniş Ürün Endeksi'!$A$4:$A$1714,A32)</x:f>
        <x:v>54</x:v>
      </x:c>
      <x:c r="D32" t="n">
        <x:f>COUNTIFS('Geniş Ürün Endeksi'!$A$4:$A$1714,A32,'Geniş Ürün Endeksi'!$D$4:$D$1714,"Ürün kaydı")</x:f>
        <x:v>54</x:v>
      </x:c>
      <x:c r="E32" t="n">
        <x:f>COUNTIFS('Geniş Ürün Endeksi'!$A$4:$A$1714,A32,'Geniş Ürün Endeksi'!$D$4:$D$1714,"Katalog takip kaydı")</x:f>
        <x:v>0</x:v>
      </x:c>
      <x:c r="F32" t="n">
        <x:f>COUNTIFS('Geniş Ürün Endeksi'!$A$4:$A$1714,A32,'Geniş Ürün Endeksi'!$J$4:$J$1714,"Erişildi")</x:f>
        <x:v>12</x:v>
      </x:c>
      <x:c r="G32" t="n">
        <x:f>COUNTIFS('Geniş Ürün Endeksi'!$A$4:$A$1714,A32,'Geniş Ürün Endeksi'!$H$4:$H$1714,"Erişildi")</x:f>
        <x:v>16</x:v>
      </x:c>
      <x:c r="H32" t="str">
        <x:f>IF(D32&gt;0,"En az bir ürün adı bulundu","Yalnız katalog/mağaza bağlantısı")</x:f>
        <x:v>En az bir ürün adı bulundu</x:v>
      </x:c>
    </x:row>
    <x:row r="33">
      <x:c r="A33" t="str">
        <x:v>Coffee Sapiens</x:v>
      </x:c>
      <x:c r="B33" t="str">
        <x:f>INDEX('Geniş Ürün Endeksi'!$C$4:$C$1714,MATCH(A33,'Geniş Ürün Endeksi'!$A$4:$A$1714,0))</x:f>
        <x:v>Doğrulandı</x:v>
      </x:c>
      <x:c r="C33" t="n">
        <x:f>COUNTIF('Geniş Ürün Endeksi'!$A$4:$A$1714,A33)</x:f>
        <x:v>1</x:v>
      </x:c>
      <x:c r="D33" t="n">
        <x:f>COUNTIFS('Geniş Ürün Endeksi'!$A$4:$A$1714,A33,'Geniş Ürün Endeksi'!$D$4:$D$1714,"Ürün kaydı")</x:f>
        <x:v>0</x:v>
      </x:c>
      <x:c r="E33" t="n">
        <x:f>COUNTIFS('Geniş Ürün Endeksi'!$A$4:$A$1714,A33,'Geniş Ürün Endeksi'!$D$4:$D$1714,"Katalog takip kaydı")</x:f>
        <x:v>1</x:v>
      </x:c>
      <x:c r="F33" t="n">
        <x:f>COUNTIFS('Geniş Ürün Endeksi'!$A$4:$A$1714,A33,'Geniş Ürün Endeksi'!$J$4:$J$1714,"Erişildi")</x:f>
        <x:v>0</x:v>
      </x:c>
      <x:c r="G33" t="n">
        <x:f>COUNTIFS('Geniş Ürün Endeksi'!$A$4:$A$1714,A33,'Geniş Ürün Endeksi'!$H$4:$H$1714,"Erişildi")</x:f>
        <x:v>0</x:v>
      </x:c>
      <x:c r="H33" t="str">
        <x:f>IF(D33&gt;0,"En az bir ürün adı bulundu","Yalnız katalog/mağaza bağlantısı")</x:f>
        <x:v>Yalnız katalog/mağaza bağlantısı</x:v>
      </x:c>
    </x:row>
    <x:row r="34">
      <x:c r="A34" t="str">
        <x:v>Coffee Tropic</x:v>
      </x:c>
      <x:c r="B34" t="str">
        <x:f>INDEX('Geniş Ürün Endeksi'!$C$4:$C$1714,MATCH(A34,'Geniş Ürün Endeksi'!$A$4:$A$1714,0))</x:f>
        <x:v>Doğrulandı</x:v>
      </x:c>
      <x:c r="C34" t="n">
        <x:f>COUNTIF('Geniş Ürün Endeksi'!$A$4:$A$1714,A34)</x:f>
        <x:v>21</x:v>
      </x:c>
      <x:c r="D34" t="n">
        <x:f>COUNTIFS('Geniş Ürün Endeksi'!$A$4:$A$1714,A34,'Geniş Ürün Endeksi'!$D$4:$D$1714,"Ürün kaydı")</x:f>
        <x:v>21</x:v>
      </x:c>
      <x:c r="E34" t="n">
        <x:f>COUNTIFS('Geniş Ürün Endeksi'!$A$4:$A$1714,A34,'Geniş Ürün Endeksi'!$D$4:$D$1714,"Katalog takip kaydı")</x:f>
        <x:v>0</x:v>
      </x:c>
      <x:c r="F34" t="n">
        <x:f>COUNTIFS('Geniş Ürün Endeksi'!$A$4:$A$1714,A34,'Geniş Ürün Endeksi'!$J$4:$J$1714,"Erişildi")</x:f>
        <x:v>21</x:v>
      </x:c>
      <x:c r="G34" t="n">
        <x:f>COUNTIFS('Geniş Ürün Endeksi'!$A$4:$A$1714,A34,'Geniş Ürün Endeksi'!$H$4:$H$1714,"Erişildi")</x:f>
        <x:v>19</x:v>
      </x:c>
      <x:c r="H34" t="str">
        <x:f>IF(D34&gt;0,"En az bir ürün adı bulundu","Yalnız katalog/mağaza bağlantısı")</x:f>
        <x:v>En az bir ürün adı bulundu</x:v>
      </x:c>
    </x:row>
    <x:row r="35">
      <x:c r="A35" t="str">
        <x:v>Coffee.dat</x:v>
      </x:c>
      <x:c r="B35" t="str">
        <x:f>INDEX('Geniş Ürün Endeksi'!$C$4:$C$1714,MATCH(A35,'Geniş Ürün Endeksi'!$A$4:$A$1714,0))</x:f>
        <x:v>Kısmi doğrulama</x:v>
      </x:c>
      <x:c r="C35" t="n">
        <x:f>COUNTIF('Geniş Ürün Endeksi'!$A$4:$A$1714,A35)</x:f>
        <x:v>1</x:v>
      </x:c>
      <x:c r="D35" t="n">
        <x:f>COUNTIFS('Geniş Ürün Endeksi'!$A$4:$A$1714,A35,'Geniş Ürün Endeksi'!$D$4:$D$1714,"Ürün kaydı")</x:f>
        <x:v>0</x:v>
      </x:c>
      <x:c r="E35" t="n">
        <x:f>COUNTIFS('Geniş Ürün Endeksi'!$A$4:$A$1714,A35,'Geniş Ürün Endeksi'!$D$4:$D$1714,"Katalog takip kaydı")</x:f>
        <x:v>1</x:v>
      </x:c>
      <x:c r="F35" t="n">
        <x:f>COUNTIFS('Geniş Ürün Endeksi'!$A$4:$A$1714,A35,'Geniş Ürün Endeksi'!$J$4:$J$1714,"Erişildi")</x:f>
        <x:v>0</x:v>
      </x:c>
      <x:c r="G35" t="n">
        <x:f>COUNTIFS('Geniş Ürün Endeksi'!$A$4:$A$1714,A35,'Geniş Ürün Endeksi'!$H$4:$H$1714,"Erişildi")</x:f>
        <x:v>0</x:v>
      </x:c>
      <x:c r="H35" t="str">
        <x:f>IF(D35&gt;0,"En az bir ürün adı bulundu","Yalnız katalog/mağaza bağlantısı")</x:f>
        <x:v>Yalnız katalog/mağaza bağlantısı</x:v>
      </x:c>
    </x:row>
    <x:row r="36">
      <x:c r="A36" t="str">
        <x:v>Coffeeizim Coffee Roastery</x:v>
      </x:c>
      <x:c r="B36" t="str">
        <x:f>INDEX('Geniş Ürün Endeksi'!$C$4:$C$1714,MATCH(A36,'Geniş Ürün Endeksi'!$A$4:$A$1714,0))</x:f>
        <x:v>Doğrulandı</x:v>
      </x:c>
      <x:c r="C36" t="n">
        <x:f>COUNTIF('Geniş Ürün Endeksi'!$A$4:$A$1714,A36)</x:f>
        <x:v>1</x:v>
      </x:c>
      <x:c r="D36" t="n">
        <x:f>COUNTIFS('Geniş Ürün Endeksi'!$A$4:$A$1714,A36,'Geniş Ürün Endeksi'!$D$4:$D$1714,"Ürün kaydı")</x:f>
        <x:v>0</x:v>
      </x:c>
      <x:c r="E36" t="n">
        <x:f>COUNTIFS('Geniş Ürün Endeksi'!$A$4:$A$1714,A36,'Geniş Ürün Endeksi'!$D$4:$D$1714,"Katalog takip kaydı")</x:f>
        <x:v>1</x:v>
      </x:c>
      <x:c r="F36" t="n">
        <x:f>COUNTIFS('Geniş Ürün Endeksi'!$A$4:$A$1714,A36,'Geniş Ürün Endeksi'!$J$4:$J$1714,"Erişildi")</x:f>
        <x:v>0</x:v>
      </x:c>
      <x:c r="G36" t="n">
        <x:f>COUNTIFS('Geniş Ürün Endeksi'!$A$4:$A$1714,A36,'Geniş Ürün Endeksi'!$H$4:$H$1714,"Erişildi")</x:f>
        <x:v>0</x:v>
      </x:c>
      <x:c r="H36" t="str">
        <x:f>IF(D36&gt;0,"En az bir ürün adı bulundu","Yalnız katalog/mağaza bağlantısı")</x:f>
        <x:v>Yalnız katalog/mağaza bağlantısı</x:v>
      </x:c>
    </x:row>
    <x:row r="37">
      <x:c r="A37" t="str">
        <x:v>Coffeemamma</x:v>
      </x:c>
      <x:c r="B37" t="str">
        <x:f>INDEX('Geniş Ürün Endeksi'!$C$4:$C$1714,MATCH(A37,'Geniş Ürün Endeksi'!$A$4:$A$1714,0))</x:f>
        <x:v>Doğrulandı</x:v>
      </x:c>
      <x:c r="C37" t="n">
        <x:f>COUNTIF('Geniş Ürün Endeksi'!$A$4:$A$1714,A37)</x:f>
        <x:v>20</x:v>
      </x:c>
      <x:c r="D37" t="n">
        <x:f>COUNTIFS('Geniş Ürün Endeksi'!$A$4:$A$1714,A37,'Geniş Ürün Endeksi'!$D$4:$D$1714,"Ürün kaydı")</x:f>
        <x:v>20</x:v>
      </x:c>
      <x:c r="E37" t="n">
        <x:f>COUNTIFS('Geniş Ürün Endeksi'!$A$4:$A$1714,A37,'Geniş Ürün Endeksi'!$D$4:$D$1714,"Katalog takip kaydı")</x:f>
        <x:v>0</x:v>
      </x:c>
      <x:c r="F37" t="n">
        <x:f>COUNTIFS('Geniş Ürün Endeksi'!$A$4:$A$1714,A37,'Geniş Ürün Endeksi'!$J$4:$J$1714,"Erişildi")</x:f>
        <x:v>20</x:v>
      </x:c>
      <x:c r="G37" t="n">
        <x:f>COUNTIFS('Geniş Ürün Endeksi'!$A$4:$A$1714,A37,'Geniş Ürün Endeksi'!$H$4:$H$1714,"Erişildi")</x:f>
        <x:v>9</x:v>
      </x:c>
      <x:c r="H37" t="str">
        <x:f>IF(D37&gt;0,"En az bir ürün adı bulundu","Yalnız katalog/mağaza bağlantısı")</x:f>
        <x:v>En az bir ürün adı bulundu</x:v>
      </x:c>
    </x:row>
    <x:row r="38">
      <x:c r="A38" t="str">
        <x:v>CoffeeNutz</x:v>
      </x:c>
      <x:c r="B38" t="str">
        <x:f>INDEX('Geniş Ürün Endeksi'!$C$4:$C$1714,MATCH(A38,'Geniş Ürün Endeksi'!$A$4:$A$1714,0))</x:f>
        <x:v>Kısmi doğrulama</x:v>
      </x:c>
      <x:c r="C38" t="n">
        <x:f>COUNTIF('Geniş Ürün Endeksi'!$A$4:$A$1714,A38)</x:f>
        <x:v>1</x:v>
      </x:c>
      <x:c r="D38" t="n">
        <x:f>COUNTIFS('Geniş Ürün Endeksi'!$A$4:$A$1714,A38,'Geniş Ürün Endeksi'!$D$4:$D$1714,"Ürün kaydı")</x:f>
        <x:v>0</x:v>
      </x:c>
      <x:c r="E38" t="n">
        <x:f>COUNTIFS('Geniş Ürün Endeksi'!$A$4:$A$1714,A38,'Geniş Ürün Endeksi'!$D$4:$D$1714,"Katalog takip kaydı")</x:f>
        <x:v>1</x:v>
      </x:c>
      <x:c r="F38" t="n">
        <x:f>COUNTIFS('Geniş Ürün Endeksi'!$A$4:$A$1714,A38,'Geniş Ürün Endeksi'!$J$4:$J$1714,"Erişildi")</x:f>
        <x:v>0</x:v>
      </x:c>
      <x:c r="G38" t="n">
        <x:f>COUNTIFS('Geniş Ürün Endeksi'!$A$4:$A$1714,A38,'Geniş Ürün Endeksi'!$H$4:$H$1714,"Erişildi")</x:f>
        <x:v>0</x:v>
      </x:c>
      <x:c r="H38" t="str">
        <x:f>IF(D38&gt;0,"En az bir ürün adı bulundu","Yalnız katalog/mağaza bağlantısı")</x:f>
        <x:v>Yalnız katalog/mağaza bağlantısı</x:v>
      </x:c>
    </x:row>
    <x:row r="39">
      <x:c r="A39" t="str">
        <x:v>Coffeerem Roastery</x:v>
      </x:c>
      <x:c r="B39" t="str">
        <x:f>INDEX('Geniş Ürün Endeksi'!$C$4:$C$1714,MATCH(A39,'Geniş Ürün Endeksi'!$A$4:$A$1714,0))</x:f>
        <x:v>Kısmi doğrulama</x:v>
      </x:c>
      <x:c r="C39" t="n">
        <x:f>COUNTIF('Geniş Ürün Endeksi'!$A$4:$A$1714,A39)</x:f>
        <x:v>26</x:v>
      </x:c>
      <x:c r="D39" t="n">
        <x:f>COUNTIFS('Geniş Ürün Endeksi'!$A$4:$A$1714,A39,'Geniş Ürün Endeksi'!$D$4:$D$1714,"Ürün kaydı")</x:f>
        <x:v>26</x:v>
      </x:c>
      <x:c r="E39" t="n">
        <x:f>COUNTIFS('Geniş Ürün Endeksi'!$A$4:$A$1714,A39,'Geniş Ürün Endeksi'!$D$4:$D$1714,"Katalog takip kaydı")</x:f>
        <x:v>0</x:v>
      </x:c>
      <x:c r="F39" t="n">
        <x:f>COUNTIFS('Geniş Ürün Endeksi'!$A$4:$A$1714,A39,'Geniş Ürün Endeksi'!$J$4:$J$1714,"Erişildi")</x:f>
        <x:v>26</x:v>
      </x:c>
      <x:c r="G39" t="n">
        <x:f>COUNTIFS('Geniş Ürün Endeksi'!$A$4:$A$1714,A39,'Geniş Ürün Endeksi'!$H$4:$H$1714,"Erişildi")</x:f>
        <x:v>8</x:v>
      </x:c>
      <x:c r="H39" t="str">
        <x:f>IF(D39&gt;0,"En az bir ürün adı bulundu","Yalnız katalog/mağaza bağlantısı")</x:f>
        <x:v>En az bir ürün adı bulundu</x:v>
      </x:c>
    </x:row>
    <x:row r="40">
      <x:c r="A40" t="str">
        <x:v>Coffy</x:v>
      </x:c>
      <x:c r="B40" t="str">
        <x:f>INDEX('Geniş Ürün Endeksi'!$C$4:$C$1714,MATCH(A40,'Geniş Ürün Endeksi'!$A$4:$A$1714,0))</x:f>
        <x:v>Kısmi doğrulama</x:v>
      </x:c>
      <x:c r="C40" t="n">
        <x:f>COUNTIF('Geniş Ürün Endeksi'!$A$4:$A$1714,A40)</x:f>
        <x:v>1</x:v>
      </x:c>
      <x:c r="D40" t="n">
        <x:f>COUNTIFS('Geniş Ürün Endeksi'!$A$4:$A$1714,A40,'Geniş Ürün Endeksi'!$D$4:$D$1714,"Ürün kaydı")</x:f>
        <x:v>0</x:v>
      </x:c>
      <x:c r="E40" t="n">
        <x:f>COUNTIFS('Geniş Ürün Endeksi'!$A$4:$A$1714,A40,'Geniş Ürün Endeksi'!$D$4:$D$1714,"Katalog takip kaydı")</x:f>
        <x:v>1</x:v>
      </x:c>
      <x:c r="F40" t="n">
        <x:f>COUNTIFS('Geniş Ürün Endeksi'!$A$4:$A$1714,A40,'Geniş Ürün Endeksi'!$J$4:$J$1714,"Erişildi")</x:f>
        <x:v>0</x:v>
      </x:c>
      <x:c r="G40" t="n">
        <x:f>COUNTIFS('Geniş Ürün Endeksi'!$A$4:$A$1714,A40,'Geniş Ürün Endeksi'!$H$4:$H$1714,"Erişildi")</x:f>
        <x:v>0</x:v>
      </x:c>
      <x:c r="H40" t="str">
        <x:f>IF(D40&gt;0,"En az bir ürün adı bulundu","Yalnız katalog/mağaza bağlantısı")</x:f>
        <x:v>Yalnız katalog/mağaza bağlantısı</x:v>
      </x:c>
    </x:row>
    <x:row r="41">
      <x:c r="A41" t="str">
        <x:v>Collective Coffee Roasters</x:v>
      </x:c>
      <x:c r="B41" t="str">
        <x:f>INDEX('Geniş Ürün Endeksi'!$C$4:$C$1714,MATCH(A41,'Geniş Ürün Endeksi'!$A$4:$A$1714,0))</x:f>
        <x:v>Kısmi doğrulama</x:v>
      </x:c>
      <x:c r="C41" t="n">
        <x:f>COUNTIF('Geniş Ürün Endeksi'!$A$4:$A$1714,A41)</x:f>
        <x:v>15</x:v>
      </x:c>
      <x:c r="D41" t="n">
        <x:f>COUNTIFS('Geniş Ürün Endeksi'!$A$4:$A$1714,A41,'Geniş Ürün Endeksi'!$D$4:$D$1714,"Ürün kaydı")</x:f>
        <x:v>15</x:v>
      </x:c>
      <x:c r="E41" t="n">
        <x:f>COUNTIFS('Geniş Ürün Endeksi'!$A$4:$A$1714,A41,'Geniş Ürün Endeksi'!$D$4:$D$1714,"Katalog takip kaydı")</x:f>
        <x:v>0</x:v>
      </x:c>
      <x:c r="F41" t="n">
        <x:f>COUNTIFS('Geniş Ürün Endeksi'!$A$4:$A$1714,A41,'Geniş Ürün Endeksi'!$J$4:$J$1714,"Erişildi")</x:f>
        <x:v>0</x:v>
      </x:c>
      <x:c r="G41" t="n">
        <x:f>COUNTIFS('Geniş Ürün Endeksi'!$A$4:$A$1714,A41,'Geniş Ürün Endeksi'!$H$4:$H$1714,"Erişildi")</x:f>
        <x:v>0</x:v>
      </x:c>
      <x:c r="H41" t="str">
        <x:f>IF(D41&gt;0,"En az bir ürün adı bulundu","Yalnız katalog/mağaza bağlantısı")</x:f>
        <x:v>En az bir ürün adı bulundu</x:v>
      </x:c>
    </x:row>
    <x:row r="42">
      <x:c r="A42" t="str">
        <x:v>Cup of Joy</x:v>
      </x:c>
      <x:c r="B42" t="str">
        <x:f>INDEX('Geniş Ürün Endeksi'!$C$4:$C$1714,MATCH(A42,'Geniş Ürün Endeksi'!$A$4:$A$1714,0))</x:f>
        <x:v>Kısmi doğrulama</x:v>
      </x:c>
      <x:c r="C42" t="n">
        <x:f>COUNTIF('Geniş Ürün Endeksi'!$A$4:$A$1714,A42)</x:f>
        <x:v>1</x:v>
      </x:c>
      <x:c r="D42" t="n">
        <x:f>COUNTIFS('Geniş Ürün Endeksi'!$A$4:$A$1714,A42,'Geniş Ürün Endeksi'!$D$4:$D$1714,"Ürün kaydı")</x:f>
        <x:v>0</x:v>
      </x:c>
      <x:c r="E42" t="n">
        <x:f>COUNTIFS('Geniş Ürün Endeksi'!$A$4:$A$1714,A42,'Geniş Ürün Endeksi'!$D$4:$D$1714,"Katalog takip kaydı")</x:f>
        <x:v>1</x:v>
      </x:c>
      <x:c r="F42" t="n">
        <x:f>COUNTIFS('Geniş Ürün Endeksi'!$A$4:$A$1714,A42,'Geniş Ürün Endeksi'!$J$4:$J$1714,"Erişildi")</x:f>
        <x:v>0</x:v>
      </x:c>
      <x:c r="G42" t="n">
        <x:f>COUNTIFS('Geniş Ürün Endeksi'!$A$4:$A$1714,A42,'Geniş Ürün Endeksi'!$H$4:$H$1714,"Erişildi")</x:f>
        <x:v>0</x:v>
      </x:c>
      <x:c r="H42" t="str">
        <x:f>IF(D42&gt;0,"En az bir ürün adı bulundu","Yalnız katalog/mağaza bağlantısı")</x:f>
        <x:v>Yalnız katalog/mağaza bağlantısı</x:v>
      </x:c>
    </x:row>
    <x:row r="43">
      <x:c r="A43" t="str">
        <x:v>Daphne Coffee Co.</x:v>
      </x:c>
      <x:c r="B43" t="str">
        <x:f>INDEX('Geniş Ürün Endeksi'!$C$4:$C$1714,MATCH(A43,'Geniş Ürün Endeksi'!$A$4:$A$1714,0))</x:f>
        <x:v>Kısmi doğrulama</x:v>
      </x:c>
      <x:c r="C43" t="n">
        <x:f>COUNTIF('Geniş Ürün Endeksi'!$A$4:$A$1714,A43)</x:f>
        <x:v>1</x:v>
      </x:c>
      <x:c r="D43" t="n">
        <x:f>COUNTIFS('Geniş Ürün Endeksi'!$A$4:$A$1714,A43,'Geniş Ürün Endeksi'!$D$4:$D$1714,"Ürün kaydı")</x:f>
        <x:v>0</x:v>
      </x:c>
      <x:c r="E43" t="n">
        <x:f>COUNTIFS('Geniş Ürün Endeksi'!$A$4:$A$1714,A43,'Geniş Ürün Endeksi'!$D$4:$D$1714,"Katalog takip kaydı")</x:f>
        <x:v>1</x:v>
      </x:c>
      <x:c r="F43" t="n">
        <x:f>COUNTIFS('Geniş Ürün Endeksi'!$A$4:$A$1714,A43,'Geniş Ürün Endeksi'!$J$4:$J$1714,"Erişildi")</x:f>
        <x:v>0</x:v>
      </x:c>
      <x:c r="G43" t="n">
        <x:f>COUNTIFS('Geniş Ürün Endeksi'!$A$4:$A$1714,A43,'Geniş Ürün Endeksi'!$H$4:$H$1714,"Erişildi")</x:f>
        <x:v>0</x:v>
      </x:c>
      <x:c r="H43" t="str">
        <x:f>IF(D43&gt;0,"En az bir ürün adı bulundu","Yalnız katalog/mağaza bağlantısı")</x:f>
        <x:v>Yalnız katalog/mağaza bağlantısı</x:v>
      </x:c>
    </x:row>
    <x:row r="44">
      <x:c r="A44" t="str">
        <x:v>Deal Coffee Co.</x:v>
      </x:c>
      <x:c r="B44" t="str">
        <x:f>INDEX('Geniş Ürün Endeksi'!$C$4:$C$1714,MATCH(A44,'Geniş Ürün Endeksi'!$A$4:$A$1714,0))</x:f>
        <x:v>Doğrulandı</x:v>
      </x:c>
      <x:c r="C44" t="n">
        <x:f>COUNTIF('Geniş Ürün Endeksi'!$A$4:$A$1714,A44)</x:f>
        <x:v>5</x:v>
      </x:c>
      <x:c r="D44" t="n">
        <x:f>COUNTIFS('Geniş Ürün Endeksi'!$A$4:$A$1714,A44,'Geniş Ürün Endeksi'!$D$4:$D$1714,"Ürün kaydı")</x:f>
        <x:v>5</x:v>
      </x:c>
      <x:c r="E44" t="n">
        <x:f>COUNTIFS('Geniş Ürün Endeksi'!$A$4:$A$1714,A44,'Geniş Ürün Endeksi'!$D$4:$D$1714,"Katalog takip kaydı")</x:f>
        <x:v>0</x:v>
      </x:c>
      <x:c r="F44" t="n">
        <x:f>COUNTIFS('Geniş Ürün Endeksi'!$A$4:$A$1714,A44,'Geniş Ürün Endeksi'!$J$4:$J$1714,"Erişildi")</x:f>
        <x:v>5</x:v>
      </x:c>
      <x:c r="G44" t="n">
        <x:f>COUNTIFS('Geniş Ürün Endeksi'!$A$4:$A$1714,A44,'Geniş Ürün Endeksi'!$H$4:$H$1714,"Erişildi")</x:f>
        <x:v>1</x:v>
      </x:c>
      <x:c r="H44" t="str">
        <x:f>IF(D44&gt;0,"En az bir ürün adı bulundu","Yalnız katalog/mağaza bağlantısı")</x:f>
        <x:v>En az bir ürün adı bulundu</x:v>
      </x:c>
    </x:row>
    <x:row r="45">
      <x:c r="A45" t="str">
        <x:v>Depo Coffee Roasting</x:v>
      </x:c>
      <x:c r="B45" t="str">
        <x:f>INDEX('Geniş Ürün Endeksi'!$C$4:$C$1714,MATCH(A45,'Geniş Ürün Endeksi'!$A$4:$A$1714,0))</x:f>
        <x:v>Doğrulandı</x:v>
      </x:c>
      <x:c r="C45" t="n">
        <x:f>COUNTIF('Geniş Ürün Endeksi'!$A$4:$A$1714,A45)</x:f>
        <x:v>3</x:v>
      </x:c>
      <x:c r="D45" t="n">
        <x:f>COUNTIFS('Geniş Ürün Endeksi'!$A$4:$A$1714,A45,'Geniş Ürün Endeksi'!$D$4:$D$1714,"Ürün kaydı")</x:f>
        <x:v>3</x:v>
      </x:c>
      <x:c r="E45" t="n">
        <x:f>COUNTIFS('Geniş Ürün Endeksi'!$A$4:$A$1714,A45,'Geniş Ürün Endeksi'!$D$4:$D$1714,"Katalog takip kaydı")</x:f>
        <x:v>0</x:v>
      </x:c>
      <x:c r="F45" t="n">
        <x:f>COUNTIFS('Geniş Ürün Endeksi'!$A$4:$A$1714,A45,'Geniş Ürün Endeksi'!$J$4:$J$1714,"Erişildi")</x:f>
        <x:v>0</x:v>
      </x:c>
      <x:c r="G45" t="n">
        <x:f>COUNTIFS('Geniş Ürün Endeksi'!$A$4:$A$1714,A45,'Geniş Ürün Endeksi'!$H$4:$H$1714,"Erişildi")</x:f>
        <x:v>2</x:v>
      </x:c>
      <x:c r="H45" t="str">
        <x:f>IF(D45&gt;0,"En az bir ürün adı bulundu","Yalnız katalog/mağaza bağlantısı")</x:f>
        <x:v>En az bir ürün adı bulundu</x:v>
      </x:c>
    </x:row>
    <x:row r="46">
      <x:c r="A46" t="str">
        <x:v>der Röster</x:v>
      </x:c>
      <x:c r="B46" t="str">
        <x:f>INDEX('Geniş Ürün Endeksi'!$C$4:$C$1714,MATCH(A46,'Geniş Ürün Endeksi'!$A$4:$A$1714,0))</x:f>
        <x:v>Doğrulandı</x:v>
      </x:c>
      <x:c r="C46" t="n">
        <x:f>COUNTIF('Geniş Ürün Endeksi'!$A$4:$A$1714,A46)</x:f>
        <x:v>1</x:v>
      </x:c>
      <x:c r="D46" t="n">
        <x:f>COUNTIFS('Geniş Ürün Endeksi'!$A$4:$A$1714,A46,'Geniş Ürün Endeksi'!$D$4:$D$1714,"Ürün kaydı")</x:f>
        <x:v>0</x:v>
      </x:c>
      <x:c r="E46" t="n">
        <x:f>COUNTIFS('Geniş Ürün Endeksi'!$A$4:$A$1714,A46,'Geniş Ürün Endeksi'!$D$4:$D$1714,"Katalog takip kaydı")</x:f>
        <x:v>1</x:v>
      </x:c>
      <x:c r="F46" t="n">
        <x:f>COUNTIFS('Geniş Ürün Endeksi'!$A$4:$A$1714,A46,'Geniş Ürün Endeksi'!$J$4:$J$1714,"Erişildi")</x:f>
        <x:v>0</x:v>
      </x:c>
      <x:c r="G46" t="n">
        <x:f>COUNTIFS('Geniş Ürün Endeksi'!$A$4:$A$1714,A46,'Geniş Ürün Endeksi'!$H$4:$H$1714,"Erişildi")</x:f>
        <x:v>0</x:v>
      </x:c>
      <x:c r="H46" t="str">
        <x:f>IF(D46&gt;0,"En az bir ürün adı bulundu","Yalnız katalog/mağaza bağlantısı")</x:f>
        <x:v>Yalnız katalog/mağaza bağlantısı</x:v>
      </x:c>
    </x:row>
    <x:row r="47">
      <x:c r="A47" t="str">
        <x:v>Edition Coffee Roastery</x:v>
      </x:c>
      <x:c r="B47" t="str">
        <x:f>INDEX('Geniş Ürün Endeksi'!$C$4:$C$1714,MATCH(A47,'Geniş Ürün Endeksi'!$A$4:$A$1714,0))</x:f>
        <x:v>Doğrulandı</x:v>
      </x:c>
      <x:c r="C47" t="n">
        <x:f>COUNTIF('Geniş Ürün Endeksi'!$A$4:$A$1714,A47)</x:f>
        <x:v>1</x:v>
      </x:c>
      <x:c r="D47" t="n">
        <x:f>COUNTIFS('Geniş Ürün Endeksi'!$A$4:$A$1714,A47,'Geniş Ürün Endeksi'!$D$4:$D$1714,"Ürün kaydı")</x:f>
        <x:v>1</x:v>
      </x:c>
      <x:c r="E47" t="n">
        <x:f>COUNTIFS('Geniş Ürün Endeksi'!$A$4:$A$1714,A47,'Geniş Ürün Endeksi'!$D$4:$D$1714,"Katalog takip kaydı")</x:f>
        <x:v>0</x:v>
      </x:c>
      <x:c r="F47" t="n">
        <x:f>COUNTIFS('Geniş Ürün Endeksi'!$A$4:$A$1714,A47,'Geniş Ürün Endeksi'!$J$4:$J$1714,"Erişildi")</x:f>
        <x:v>1</x:v>
      </x:c>
      <x:c r="G47" t="n">
        <x:f>COUNTIFS('Geniş Ürün Endeksi'!$A$4:$A$1714,A47,'Geniş Ürün Endeksi'!$H$4:$H$1714,"Erişildi")</x:f>
        <x:v>0</x:v>
      </x:c>
      <x:c r="H47" t="str">
        <x:f>IF(D47&gt;0,"En az bir ürün adı bulundu","Yalnız katalog/mağaza bağlantısı")</x:f>
        <x:v>En az bir ürün adı bulundu</x:v>
      </x:c>
    </x:row>
    <x:row r="48">
      <x:c r="A48" t="str">
        <x:v>Espressolab</x:v>
      </x:c>
      <x:c r="B48" t="str">
        <x:f>INDEX('Geniş Ürün Endeksi'!$C$4:$C$1714,MATCH(A48,'Geniş Ürün Endeksi'!$A$4:$A$1714,0))</x:f>
        <x:v>Doğrulandı</x:v>
      </x:c>
      <x:c r="C48" t="n">
        <x:f>COUNTIF('Geniş Ürün Endeksi'!$A$4:$A$1714,A48)</x:f>
        <x:v>1</x:v>
      </x:c>
      <x:c r="D48" t="n">
        <x:f>COUNTIFS('Geniş Ürün Endeksi'!$A$4:$A$1714,A48,'Geniş Ürün Endeksi'!$D$4:$D$1714,"Ürün kaydı")</x:f>
        <x:v>0</x:v>
      </x:c>
      <x:c r="E48" t="n">
        <x:f>COUNTIFS('Geniş Ürün Endeksi'!$A$4:$A$1714,A48,'Geniş Ürün Endeksi'!$D$4:$D$1714,"Katalog takip kaydı")</x:f>
        <x:v>1</x:v>
      </x:c>
      <x:c r="F48" t="n">
        <x:f>COUNTIFS('Geniş Ürün Endeksi'!$A$4:$A$1714,A48,'Geniş Ürün Endeksi'!$J$4:$J$1714,"Erişildi")</x:f>
        <x:v>0</x:v>
      </x:c>
      <x:c r="G48" t="n">
        <x:f>COUNTIFS('Geniş Ürün Endeksi'!$A$4:$A$1714,A48,'Geniş Ürün Endeksi'!$H$4:$H$1714,"Erişildi")</x:f>
        <x:v>0</x:v>
      </x:c>
      <x:c r="H48" t="str">
        <x:f>IF(D48&gt;0,"En az bir ürün adı bulundu","Yalnız katalog/mağaza bağlantısı")</x:f>
        <x:v>Yalnız katalog/mağaza bağlantısı</x:v>
      </x:c>
    </x:row>
    <x:row r="49">
      <x:c r="A49" t="str">
        <x:v>Fam Coffee</x:v>
      </x:c>
      <x:c r="B49" t="str">
        <x:f>INDEX('Geniş Ürün Endeksi'!$C$4:$C$1714,MATCH(A49,'Geniş Ürün Endeksi'!$A$4:$A$1714,0))</x:f>
        <x:v>Kısmi doğrulama</x:v>
      </x:c>
      <x:c r="C49" t="n">
        <x:f>COUNTIF('Geniş Ürün Endeksi'!$A$4:$A$1714,A49)</x:f>
        <x:v>1</x:v>
      </x:c>
      <x:c r="D49" t="n">
        <x:f>COUNTIFS('Geniş Ürün Endeksi'!$A$4:$A$1714,A49,'Geniş Ürün Endeksi'!$D$4:$D$1714,"Ürün kaydı")</x:f>
        <x:v>0</x:v>
      </x:c>
      <x:c r="E49" t="n">
        <x:f>COUNTIFS('Geniş Ürün Endeksi'!$A$4:$A$1714,A49,'Geniş Ürün Endeksi'!$D$4:$D$1714,"Katalog takip kaydı")</x:f>
        <x:v>1</x:v>
      </x:c>
      <x:c r="F49" t="n">
        <x:f>COUNTIFS('Geniş Ürün Endeksi'!$A$4:$A$1714,A49,'Geniş Ürün Endeksi'!$J$4:$J$1714,"Erişildi")</x:f>
        <x:v>0</x:v>
      </x:c>
      <x:c r="G49" t="n">
        <x:f>COUNTIFS('Geniş Ürün Endeksi'!$A$4:$A$1714,A49,'Geniş Ürün Endeksi'!$H$4:$H$1714,"Erişildi")</x:f>
        <x:v>0</x:v>
      </x:c>
      <x:c r="H49" t="str">
        <x:f>IF(D49&gt;0,"En az bir ürün adı bulundu","Yalnız katalog/mağaza bağlantısı")</x:f>
        <x:v>Yalnız katalog/mağaza bağlantısı</x:v>
      </x:c>
    </x:row>
    <x:row r="50">
      <x:c r="A50" t="str">
        <x:v>Federal Coffee</x:v>
      </x:c>
      <x:c r="B50" t="str">
        <x:f>INDEX('Geniş Ürün Endeksi'!$C$4:$C$1714,MATCH(A50,'Geniş Ürün Endeksi'!$A$4:$A$1714,0))</x:f>
        <x:v>Kısmi doğrulama</x:v>
      </x:c>
      <x:c r="C50" t="n">
        <x:f>COUNTIF('Geniş Ürün Endeksi'!$A$4:$A$1714,A50)</x:f>
        <x:v>1</x:v>
      </x:c>
      <x:c r="D50" t="n">
        <x:f>COUNTIFS('Geniş Ürün Endeksi'!$A$4:$A$1714,A50,'Geniş Ürün Endeksi'!$D$4:$D$1714,"Ürün kaydı")</x:f>
        <x:v>0</x:v>
      </x:c>
      <x:c r="E50" t="n">
        <x:f>COUNTIFS('Geniş Ürün Endeksi'!$A$4:$A$1714,A50,'Geniş Ürün Endeksi'!$D$4:$D$1714,"Katalog takip kaydı")</x:f>
        <x:v>1</x:v>
      </x:c>
      <x:c r="F50" t="n">
        <x:f>COUNTIFS('Geniş Ürün Endeksi'!$A$4:$A$1714,A50,'Geniş Ürün Endeksi'!$J$4:$J$1714,"Erişildi")</x:f>
        <x:v>0</x:v>
      </x:c>
      <x:c r="G50" t="n">
        <x:f>COUNTIFS('Geniş Ürün Endeksi'!$A$4:$A$1714,A50,'Geniş Ürün Endeksi'!$H$4:$H$1714,"Erişildi")</x:f>
        <x:v>0</x:v>
      </x:c>
      <x:c r="H50" t="str">
        <x:f>IF(D50&gt;0,"En az bir ürün adı bulundu","Yalnız katalog/mağaza bağlantısı")</x:f>
        <x:v>Yalnız katalog/mağaza bağlantısı</x:v>
      </x:c>
    </x:row>
    <x:row r="51">
      <x:c r="A51" t="str">
        <x:v>Four Letter Word Coffee</x:v>
      </x:c>
      <x:c r="B51" t="str">
        <x:f>INDEX('Geniş Ürün Endeksi'!$C$4:$C$1714,MATCH(A51,'Geniş Ürün Endeksi'!$A$4:$A$1714,0))</x:f>
        <x:v>Doğrulandı</x:v>
      </x:c>
      <x:c r="C51" t="n">
        <x:f>COUNTIF('Geniş Ürün Endeksi'!$A$4:$A$1714,A51)</x:f>
        <x:v>40</x:v>
      </x:c>
      <x:c r="D51" t="n">
        <x:f>COUNTIFS('Geniş Ürün Endeksi'!$A$4:$A$1714,A51,'Geniş Ürün Endeksi'!$D$4:$D$1714,"Ürün kaydı")</x:f>
        <x:v>40</x:v>
      </x:c>
      <x:c r="E51" t="n">
        <x:f>COUNTIFS('Geniş Ürün Endeksi'!$A$4:$A$1714,A51,'Geniş Ürün Endeksi'!$D$4:$D$1714,"Katalog takip kaydı")</x:f>
        <x:v>0</x:v>
      </x:c>
      <x:c r="F51" t="n">
        <x:f>COUNTIFS('Geniş Ürün Endeksi'!$A$4:$A$1714,A51,'Geniş Ürün Endeksi'!$J$4:$J$1714,"Erişildi")</x:f>
        <x:v>1</x:v>
      </x:c>
      <x:c r="G51" t="n">
        <x:f>COUNTIFS('Geniş Ürün Endeksi'!$A$4:$A$1714,A51,'Geniş Ürün Endeksi'!$H$4:$H$1714,"Erişildi")</x:f>
        <x:v>0</x:v>
      </x:c>
      <x:c r="H51" t="str">
        <x:f>IF(D51&gt;0,"En az bir ürün adı bulundu","Yalnız katalog/mağaza bağlantısı")</x:f>
        <x:v>En az bir ürün adı bulundu</x:v>
      </x:c>
    </x:row>
    <x:row r="52">
      <x:c r="A52" t="str">
        <x:v>Fuga Coffee</x:v>
      </x:c>
      <x:c r="B52" t="str">
        <x:f>INDEX('Geniş Ürün Endeksi'!$C$4:$C$1714,MATCH(A52,'Geniş Ürün Endeksi'!$A$4:$A$1714,0))</x:f>
        <x:v>Doğrulandı</x:v>
      </x:c>
      <x:c r="C52" t="n">
        <x:f>COUNTIF('Geniş Ürün Endeksi'!$A$4:$A$1714,A52)</x:f>
        <x:v>46</x:v>
      </x:c>
      <x:c r="D52" t="n">
        <x:f>COUNTIFS('Geniş Ürün Endeksi'!$A$4:$A$1714,A52,'Geniş Ürün Endeksi'!$D$4:$D$1714,"Ürün kaydı")</x:f>
        <x:v>46</x:v>
      </x:c>
      <x:c r="E52" t="n">
        <x:f>COUNTIFS('Geniş Ürün Endeksi'!$A$4:$A$1714,A52,'Geniş Ürün Endeksi'!$D$4:$D$1714,"Katalog takip kaydı")</x:f>
        <x:v>0</x:v>
      </x:c>
      <x:c r="F52" t="n">
        <x:f>COUNTIFS('Geniş Ürün Endeksi'!$A$4:$A$1714,A52,'Geniş Ürün Endeksi'!$J$4:$J$1714,"Erişildi")</x:f>
        <x:v>27</x:v>
      </x:c>
      <x:c r="G52" t="n">
        <x:f>COUNTIFS('Geniş Ürün Endeksi'!$A$4:$A$1714,A52,'Geniş Ürün Endeksi'!$H$4:$H$1714,"Erişildi")</x:f>
        <x:v>16</x:v>
      </x:c>
      <x:c r="H52" t="str">
        <x:f>IF(D52&gt;0,"En az bir ürün adı bulundu","Yalnız katalog/mağaza bağlantısı")</x:f>
        <x:v>En az bir ürün adı bulundu</x:v>
      </x:c>
    </x:row>
    <x:row r="53">
      <x:c r="A53" t="str">
        <x:v>Good Coffee</x:v>
      </x:c>
      <x:c r="B53" t="str">
        <x:f>INDEX('Geniş Ürün Endeksi'!$C$4:$C$1714,MATCH(A53,'Geniş Ürün Endeksi'!$A$4:$A$1714,0))</x:f>
        <x:v>Doğrulandı</x:v>
      </x:c>
      <x:c r="C53" t="n">
        <x:f>COUNTIF('Geniş Ürün Endeksi'!$A$4:$A$1714,A53)</x:f>
        <x:v>31</x:v>
      </x:c>
      <x:c r="D53" t="n">
        <x:f>COUNTIFS('Geniş Ürün Endeksi'!$A$4:$A$1714,A53,'Geniş Ürün Endeksi'!$D$4:$D$1714,"Ürün kaydı")</x:f>
        <x:v>31</x:v>
      </x:c>
      <x:c r="E53" t="n">
        <x:f>COUNTIFS('Geniş Ürün Endeksi'!$A$4:$A$1714,A53,'Geniş Ürün Endeksi'!$D$4:$D$1714,"Katalog takip kaydı")</x:f>
        <x:v>0</x:v>
      </x:c>
      <x:c r="F53" t="n">
        <x:f>COUNTIFS('Geniş Ürün Endeksi'!$A$4:$A$1714,A53,'Geniş Ürün Endeksi'!$J$4:$J$1714,"Erişildi")</x:f>
        <x:v>31</x:v>
      </x:c>
      <x:c r="G53" t="n">
        <x:f>COUNTIFS('Geniş Ürün Endeksi'!$A$4:$A$1714,A53,'Geniş Ürün Endeksi'!$H$4:$H$1714,"Erişildi")</x:f>
        <x:v>31</x:v>
      </x:c>
      <x:c r="H53" t="str">
        <x:f>IF(D53&gt;0,"En az bir ürün adı bulundu","Yalnız katalog/mağaza bağlantısı")</x:f>
        <x:v>En az bir ürün adı bulundu</x:v>
      </x:c>
    </x:row>
    <x:row r="54">
      <x:c r="A54" t="str">
        <x:v>Gourme Coffee</x:v>
      </x:c>
      <x:c r="B54" t="str">
        <x:f>INDEX('Geniş Ürün Endeksi'!$C$4:$C$1714,MATCH(A54,'Geniş Ürün Endeksi'!$A$4:$A$1714,0))</x:f>
        <x:v>Kısmi doğrulama</x:v>
      </x:c>
      <x:c r="C54" t="n">
        <x:f>COUNTIF('Geniş Ürün Endeksi'!$A$4:$A$1714,A54)</x:f>
        <x:v>1</x:v>
      </x:c>
      <x:c r="D54" t="n">
        <x:f>COUNTIFS('Geniş Ürün Endeksi'!$A$4:$A$1714,A54,'Geniş Ürün Endeksi'!$D$4:$D$1714,"Ürün kaydı")</x:f>
        <x:v>0</x:v>
      </x:c>
      <x:c r="E54" t="n">
        <x:f>COUNTIFS('Geniş Ürün Endeksi'!$A$4:$A$1714,A54,'Geniş Ürün Endeksi'!$D$4:$D$1714,"Katalog takip kaydı")</x:f>
        <x:v>1</x:v>
      </x:c>
      <x:c r="F54" t="n">
        <x:f>COUNTIFS('Geniş Ürün Endeksi'!$A$4:$A$1714,A54,'Geniş Ürün Endeksi'!$J$4:$J$1714,"Erişildi")</x:f>
        <x:v>0</x:v>
      </x:c>
      <x:c r="G54" t="n">
        <x:f>COUNTIFS('Geniş Ürün Endeksi'!$A$4:$A$1714,A54,'Geniş Ürün Endeksi'!$H$4:$H$1714,"Erişildi")</x:f>
        <x:v>0</x:v>
      </x:c>
      <x:c r="H54" t="str">
        <x:f>IF(D54&gt;0,"En az bir ürün adı bulundu","Yalnız katalog/mağaza bağlantısı")</x:f>
        <x:v>Yalnız katalog/mağaza bağlantısı</x:v>
      </x:c>
    </x:row>
    <x:row r="55">
      <x:c r="A55" t="str">
        <x:v>Gönül Kahvesi</x:v>
      </x:c>
      <x:c r="B55" t="str">
        <x:f>INDEX('Geniş Ürün Endeksi'!$C$4:$C$1714,MATCH(A55,'Geniş Ürün Endeksi'!$A$4:$A$1714,0))</x:f>
        <x:v>Doğrulandı</x:v>
      </x:c>
      <x:c r="C55" t="n">
        <x:f>COUNTIF('Geniş Ürün Endeksi'!$A$4:$A$1714,A55)</x:f>
        <x:v>1</x:v>
      </x:c>
      <x:c r="D55" t="n">
        <x:f>COUNTIFS('Geniş Ürün Endeksi'!$A$4:$A$1714,A55,'Geniş Ürün Endeksi'!$D$4:$D$1714,"Ürün kaydı")</x:f>
        <x:v>0</x:v>
      </x:c>
      <x:c r="E55" t="n">
        <x:f>COUNTIFS('Geniş Ürün Endeksi'!$A$4:$A$1714,A55,'Geniş Ürün Endeksi'!$D$4:$D$1714,"Katalog takip kaydı")</x:f>
        <x:v>1</x:v>
      </x:c>
      <x:c r="F55" t="n">
        <x:f>COUNTIFS('Geniş Ürün Endeksi'!$A$4:$A$1714,A55,'Geniş Ürün Endeksi'!$J$4:$J$1714,"Erişildi")</x:f>
        <x:v>0</x:v>
      </x:c>
      <x:c r="G55" t="n">
        <x:f>COUNTIFS('Geniş Ürün Endeksi'!$A$4:$A$1714,A55,'Geniş Ürün Endeksi'!$H$4:$H$1714,"Erişildi")</x:f>
        <x:v>0</x:v>
      </x:c>
      <x:c r="H55" t="str">
        <x:f>IF(D55&gt;0,"En az bir ürün adı bulundu","Yalnız katalog/mağaza bağlantısı")</x:f>
        <x:v>Yalnız katalog/mağaza bağlantısı</x:v>
      </x:c>
    </x:row>
    <x:row r="56">
      <x:c r="A56" t="str">
        <x:v>Gramaj Coffee Roastery</x:v>
      </x:c>
      <x:c r="B56" t="str">
        <x:f>INDEX('Geniş Ürün Endeksi'!$C$4:$C$1714,MATCH(A56,'Geniş Ürün Endeksi'!$A$4:$A$1714,0))</x:f>
        <x:v>Doğrulandı</x:v>
      </x:c>
      <x:c r="C56" t="n">
        <x:f>COUNTIF('Geniş Ürün Endeksi'!$A$4:$A$1714,A56)</x:f>
        <x:v>5</x:v>
      </x:c>
      <x:c r="D56" t="n">
        <x:f>COUNTIFS('Geniş Ürün Endeksi'!$A$4:$A$1714,A56,'Geniş Ürün Endeksi'!$D$4:$D$1714,"Ürün kaydı")</x:f>
        <x:v>5</x:v>
      </x:c>
      <x:c r="E56" t="n">
        <x:f>COUNTIFS('Geniş Ürün Endeksi'!$A$4:$A$1714,A56,'Geniş Ürün Endeksi'!$D$4:$D$1714,"Katalog takip kaydı")</x:f>
        <x:v>0</x:v>
      </x:c>
      <x:c r="F56" t="n">
        <x:f>COUNTIFS('Geniş Ürün Endeksi'!$A$4:$A$1714,A56,'Geniş Ürün Endeksi'!$J$4:$J$1714,"Erişildi")</x:f>
        <x:v>5</x:v>
      </x:c>
      <x:c r="G56" t="n">
        <x:f>COUNTIFS('Geniş Ürün Endeksi'!$A$4:$A$1714,A56,'Geniş Ürün Endeksi'!$H$4:$H$1714,"Erişildi")</x:f>
        <x:v>0</x:v>
      </x:c>
      <x:c r="H56" t="str">
        <x:f>IF(D56&gt;0,"En az bir ürün adı bulundu","Yalnız katalog/mağaza bağlantısı")</x:f>
        <x:v>En az bir ürün adı bulundu</x:v>
      </x:c>
    </x:row>
    <x:row r="57">
      <x:c r="A57" t="str">
        <x:v>Grano Coffee</x:v>
      </x:c>
      <x:c r="B57" t="str">
        <x:f>INDEX('Geniş Ürün Endeksi'!$C$4:$C$1714,MATCH(A57,'Geniş Ürün Endeksi'!$A$4:$A$1714,0))</x:f>
        <x:v>Kısmi doğrulama</x:v>
      </x:c>
      <x:c r="C57" t="n">
        <x:f>COUNTIF('Geniş Ürün Endeksi'!$A$4:$A$1714,A57)</x:f>
        <x:v>1</x:v>
      </x:c>
      <x:c r="D57" t="n">
        <x:f>COUNTIFS('Geniş Ürün Endeksi'!$A$4:$A$1714,A57,'Geniş Ürün Endeksi'!$D$4:$D$1714,"Ürün kaydı")</x:f>
        <x:v>0</x:v>
      </x:c>
      <x:c r="E57" t="n">
        <x:f>COUNTIFS('Geniş Ürün Endeksi'!$A$4:$A$1714,A57,'Geniş Ürün Endeksi'!$D$4:$D$1714,"Katalog takip kaydı")</x:f>
        <x:v>1</x:v>
      </x:c>
      <x:c r="F57" t="n">
        <x:f>COUNTIFS('Geniş Ürün Endeksi'!$A$4:$A$1714,A57,'Geniş Ürün Endeksi'!$J$4:$J$1714,"Erişildi")</x:f>
        <x:v>0</x:v>
      </x:c>
      <x:c r="G57" t="n">
        <x:f>COUNTIFS('Geniş Ürün Endeksi'!$A$4:$A$1714,A57,'Geniş Ürün Endeksi'!$H$4:$H$1714,"Erişildi")</x:f>
        <x:v>0</x:v>
      </x:c>
      <x:c r="H57" t="str">
        <x:f>IF(D57&gt;0,"En az bir ürün adı bulundu","Yalnız katalog/mağaza bağlantısı")</x:f>
        <x:v>Yalnız katalog/mağaza bağlantısı</x:v>
      </x:c>
    </x:row>
    <x:row r="58">
      <x:c r="A58" t="str">
        <x:v>Greenwich Coffee</x:v>
      </x:c>
      <x:c r="B58" t="str">
        <x:f>INDEX('Geniş Ürün Endeksi'!$C$4:$C$1714,MATCH(A58,'Geniş Ürün Endeksi'!$A$4:$A$1714,0))</x:f>
        <x:v>Doğrulandı</x:v>
      </x:c>
      <x:c r="C58" t="n">
        <x:f>COUNTIF('Geniş Ürün Endeksi'!$A$4:$A$1714,A58)</x:f>
        <x:v>1</x:v>
      </x:c>
      <x:c r="D58" t="n">
        <x:f>COUNTIFS('Geniş Ürün Endeksi'!$A$4:$A$1714,A58,'Geniş Ürün Endeksi'!$D$4:$D$1714,"Ürün kaydı")</x:f>
        <x:v>1</x:v>
      </x:c>
      <x:c r="E58" t="n">
        <x:f>COUNTIFS('Geniş Ürün Endeksi'!$A$4:$A$1714,A58,'Geniş Ürün Endeksi'!$D$4:$D$1714,"Katalog takip kaydı")</x:f>
        <x:v>0</x:v>
      </x:c>
      <x:c r="F58" t="n">
        <x:f>COUNTIFS('Geniş Ürün Endeksi'!$A$4:$A$1714,A58,'Geniş Ürün Endeksi'!$J$4:$J$1714,"Erişildi")</x:f>
        <x:v>1</x:v>
      </x:c>
      <x:c r="G58" t="n">
        <x:f>COUNTIFS('Geniş Ürün Endeksi'!$A$4:$A$1714,A58,'Geniş Ürün Endeksi'!$H$4:$H$1714,"Erişildi")</x:f>
        <x:v>0</x:v>
      </x:c>
      <x:c r="H58" t="str">
        <x:f>IF(D58&gt;0,"En az bir ürün adı bulundu","Yalnız katalog/mağaza bağlantısı")</x:f>
        <x:v>En az bir ürün adı bulundu</x:v>
      </x:c>
    </x:row>
    <x:row r="59">
      <x:c r="A59" t="str">
        <x:v>Guten Morgen Roastery</x:v>
      </x:c>
      <x:c r="B59" t="str">
        <x:f>INDEX('Geniş Ürün Endeksi'!$C$4:$C$1714,MATCH(A59,'Geniş Ürün Endeksi'!$A$4:$A$1714,0))</x:f>
        <x:v>Doğrulandı</x:v>
      </x:c>
      <x:c r="C59" t="n">
        <x:f>COUNTIF('Geniş Ürün Endeksi'!$A$4:$A$1714,A59)</x:f>
        <x:v>4</x:v>
      </x:c>
      <x:c r="D59" t="n">
        <x:f>COUNTIFS('Geniş Ürün Endeksi'!$A$4:$A$1714,A59,'Geniş Ürün Endeksi'!$D$4:$D$1714,"Ürün kaydı")</x:f>
        <x:v>4</x:v>
      </x:c>
      <x:c r="E59" t="n">
        <x:f>COUNTIFS('Geniş Ürün Endeksi'!$A$4:$A$1714,A59,'Geniş Ürün Endeksi'!$D$4:$D$1714,"Katalog takip kaydı")</x:f>
        <x:v>0</x:v>
      </x:c>
      <x:c r="F59" t="n">
        <x:f>COUNTIFS('Geniş Ürün Endeksi'!$A$4:$A$1714,A59,'Geniş Ürün Endeksi'!$J$4:$J$1714,"Erişildi")</x:f>
        <x:v>4</x:v>
      </x:c>
      <x:c r="G59" t="n">
        <x:f>COUNTIFS('Geniş Ürün Endeksi'!$A$4:$A$1714,A59,'Geniş Ürün Endeksi'!$H$4:$H$1714,"Erişildi")</x:f>
        <x:v>0</x:v>
      </x:c>
      <x:c r="H59" t="str">
        <x:f>IF(D59&gt;0,"En az bir ürün adı bulundu","Yalnız katalog/mağaza bağlantısı")</x:f>
        <x:v>En az bir ürün adı bulundu</x:v>
      </x:c>
    </x:row>
    <x:row r="60">
      <x:c r="A60" t="str">
        <x:v>Hana Coffee</x:v>
      </x:c>
      <x:c r="B60" t="str">
        <x:f>INDEX('Geniş Ürün Endeksi'!$C$4:$C$1714,MATCH(A60,'Geniş Ürün Endeksi'!$A$4:$A$1714,0))</x:f>
        <x:v>Kısmi doğrulama</x:v>
      </x:c>
      <x:c r="C60" t="n">
        <x:f>COUNTIF('Geniş Ürün Endeksi'!$A$4:$A$1714,A60)</x:f>
        <x:v>1</x:v>
      </x:c>
      <x:c r="D60" t="n">
        <x:f>COUNTIFS('Geniş Ürün Endeksi'!$A$4:$A$1714,A60,'Geniş Ürün Endeksi'!$D$4:$D$1714,"Ürün kaydı")</x:f>
        <x:v>0</x:v>
      </x:c>
      <x:c r="E60" t="n">
        <x:f>COUNTIFS('Geniş Ürün Endeksi'!$A$4:$A$1714,A60,'Geniş Ürün Endeksi'!$D$4:$D$1714,"Katalog takip kaydı")</x:f>
        <x:v>1</x:v>
      </x:c>
      <x:c r="F60" t="n">
        <x:f>COUNTIFS('Geniş Ürün Endeksi'!$A$4:$A$1714,A60,'Geniş Ürün Endeksi'!$J$4:$J$1714,"Erişildi")</x:f>
        <x:v>0</x:v>
      </x:c>
      <x:c r="G60" t="n">
        <x:f>COUNTIFS('Geniş Ürün Endeksi'!$A$4:$A$1714,A60,'Geniş Ürün Endeksi'!$H$4:$H$1714,"Erişildi")</x:f>
        <x:v>0</x:v>
      </x:c>
      <x:c r="H60" t="str">
        <x:f>IF(D60&gt;0,"En az bir ürün adı bulundu","Yalnız katalog/mağaza bağlantısı")</x:f>
        <x:v>Yalnız katalog/mağaza bağlantısı</x:v>
      </x:c>
    </x:row>
    <x:row r="61">
      <x:c r="A61" t="str">
        <x:v>Harput Dibek</x:v>
      </x:c>
      <x:c r="B61" t="str">
        <x:f>INDEX('Geniş Ürün Endeksi'!$C$4:$C$1714,MATCH(A61,'Geniş Ürün Endeksi'!$A$4:$A$1714,0))</x:f>
        <x:v>Doğrulandı</x:v>
      </x:c>
      <x:c r="C61" t="n">
        <x:f>COUNTIF('Geniş Ürün Endeksi'!$A$4:$A$1714,A61)</x:f>
        <x:v>16</x:v>
      </x:c>
      <x:c r="D61" t="n">
        <x:f>COUNTIFS('Geniş Ürün Endeksi'!$A$4:$A$1714,A61,'Geniş Ürün Endeksi'!$D$4:$D$1714,"Ürün kaydı")</x:f>
        <x:v>16</x:v>
      </x:c>
      <x:c r="E61" t="n">
        <x:f>COUNTIFS('Geniş Ürün Endeksi'!$A$4:$A$1714,A61,'Geniş Ürün Endeksi'!$D$4:$D$1714,"Katalog takip kaydı")</x:f>
        <x:v>0</x:v>
      </x:c>
      <x:c r="F61" t="n">
        <x:f>COUNTIFS('Geniş Ürün Endeksi'!$A$4:$A$1714,A61,'Geniş Ürün Endeksi'!$J$4:$J$1714,"Erişildi")</x:f>
        <x:v>16</x:v>
      </x:c>
      <x:c r="G61" t="n">
        <x:f>COUNTIFS('Geniş Ürün Endeksi'!$A$4:$A$1714,A61,'Geniş Ürün Endeksi'!$H$4:$H$1714,"Erişildi")</x:f>
        <x:v>14</x:v>
      </x:c>
      <x:c r="H61" t="str">
        <x:f>IF(D61&gt;0,"En az bir ürün adı bulundu","Yalnız katalog/mağaza bağlantısı")</x:f>
        <x:v>En az bir ürün adı bulundu</x:v>
      </x:c>
    </x:row>
    <x:row r="62">
      <x:c r="A62" t="str">
        <x:v>Homestead Coffee</x:v>
      </x:c>
      <x:c r="B62" t="str">
        <x:f>INDEX('Geniş Ürün Endeksi'!$C$4:$C$1714,MATCH(A62,'Geniş Ürün Endeksi'!$A$4:$A$1714,0))</x:f>
        <x:v>Kısmi doğrulama</x:v>
      </x:c>
      <x:c r="C62" t="n">
        <x:f>COUNTIF('Geniş Ürün Endeksi'!$A$4:$A$1714,A62)</x:f>
        <x:v>1</x:v>
      </x:c>
      <x:c r="D62" t="n">
        <x:f>COUNTIFS('Geniş Ürün Endeksi'!$A$4:$A$1714,A62,'Geniş Ürün Endeksi'!$D$4:$D$1714,"Ürün kaydı")</x:f>
        <x:v>0</x:v>
      </x:c>
      <x:c r="E62" t="n">
        <x:f>COUNTIFS('Geniş Ürün Endeksi'!$A$4:$A$1714,A62,'Geniş Ürün Endeksi'!$D$4:$D$1714,"Katalog takip kaydı")</x:f>
        <x:v>1</x:v>
      </x:c>
      <x:c r="F62" t="n">
        <x:f>COUNTIFS('Geniş Ürün Endeksi'!$A$4:$A$1714,A62,'Geniş Ürün Endeksi'!$J$4:$J$1714,"Erişildi")</x:f>
        <x:v>0</x:v>
      </x:c>
      <x:c r="G62" t="n">
        <x:f>COUNTIFS('Geniş Ürün Endeksi'!$A$4:$A$1714,A62,'Geniş Ürün Endeksi'!$H$4:$H$1714,"Erişildi")</x:f>
        <x:v>0</x:v>
      </x:c>
      <x:c r="H62" t="str">
        <x:f>IF(D62&gt;0,"En az bir ürün adı bulundu","Yalnız katalog/mağaza bağlantısı")</x:f>
        <x:v>Yalnız katalog/mağaza bağlantısı</x:v>
      </x:c>
    </x:row>
    <x:row r="63">
      <x:c r="A63" t="str">
        <x:v>Hound Coffee</x:v>
      </x:c>
      <x:c r="B63" t="str">
        <x:f>INDEX('Geniş Ürün Endeksi'!$C$4:$C$1714,MATCH(A63,'Geniş Ürün Endeksi'!$A$4:$A$1714,0))</x:f>
        <x:v>Kısmi doğrulama</x:v>
      </x:c>
      <x:c r="C63" t="n">
        <x:f>COUNTIF('Geniş Ürün Endeksi'!$A$4:$A$1714,A63)</x:f>
        <x:v>1</x:v>
      </x:c>
      <x:c r="D63" t="n">
        <x:f>COUNTIFS('Geniş Ürün Endeksi'!$A$4:$A$1714,A63,'Geniş Ürün Endeksi'!$D$4:$D$1714,"Ürün kaydı")</x:f>
        <x:v>0</x:v>
      </x:c>
      <x:c r="E63" t="n">
        <x:f>COUNTIFS('Geniş Ürün Endeksi'!$A$4:$A$1714,A63,'Geniş Ürün Endeksi'!$D$4:$D$1714,"Katalog takip kaydı")</x:f>
        <x:v>1</x:v>
      </x:c>
      <x:c r="F63" t="n">
        <x:f>COUNTIFS('Geniş Ürün Endeksi'!$A$4:$A$1714,A63,'Geniş Ürün Endeksi'!$J$4:$J$1714,"Erişildi")</x:f>
        <x:v>0</x:v>
      </x:c>
      <x:c r="G63" t="n">
        <x:f>COUNTIFS('Geniş Ürün Endeksi'!$A$4:$A$1714,A63,'Geniş Ürün Endeksi'!$H$4:$H$1714,"Erişildi")</x:f>
        <x:v>0</x:v>
      </x:c>
      <x:c r="H63" t="str">
        <x:f>IF(D63&gt;0,"En az bir ürün adı bulundu","Yalnız katalog/mağaza bağlantısı")</x:f>
        <x:v>Yalnız katalog/mağaza bağlantısı</x:v>
      </x:c>
    </x:row>
    <x:row r="64">
      <x:c r="A64" t="str">
        <x:v>Hoya Coffee</x:v>
      </x:c>
      <x:c r="B64" t="str">
        <x:f>INDEX('Geniş Ürün Endeksi'!$C$4:$C$1714,MATCH(A64,'Geniş Ürün Endeksi'!$A$4:$A$1714,0))</x:f>
        <x:v>Kısmi doğrulama</x:v>
      </x:c>
      <x:c r="C64" t="n">
        <x:f>COUNTIF('Geniş Ürün Endeksi'!$A$4:$A$1714,A64)</x:f>
        <x:v>1</x:v>
      </x:c>
      <x:c r="D64" t="n">
        <x:f>COUNTIFS('Geniş Ürün Endeksi'!$A$4:$A$1714,A64,'Geniş Ürün Endeksi'!$D$4:$D$1714,"Ürün kaydı")</x:f>
        <x:v>0</x:v>
      </x:c>
      <x:c r="E64" t="n">
        <x:f>COUNTIFS('Geniş Ürün Endeksi'!$A$4:$A$1714,A64,'Geniş Ürün Endeksi'!$D$4:$D$1714,"Katalog takip kaydı")</x:f>
        <x:v>1</x:v>
      </x:c>
      <x:c r="F64" t="n">
        <x:f>COUNTIFS('Geniş Ürün Endeksi'!$A$4:$A$1714,A64,'Geniş Ürün Endeksi'!$J$4:$J$1714,"Erişildi")</x:f>
        <x:v>0</x:v>
      </x:c>
      <x:c r="G64" t="n">
        <x:f>COUNTIFS('Geniş Ürün Endeksi'!$A$4:$A$1714,A64,'Geniş Ürün Endeksi'!$H$4:$H$1714,"Erişildi")</x:f>
        <x:v>0</x:v>
      </x:c>
      <x:c r="H64" t="str">
        <x:f>IF(D64&gt;0,"En az bir ürün adı bulundu","Yalnız katalog/mağaza bağlantısı")</x:f>
        <x:v>Yalnız katalog/mağaza bağlantısı</x:v>
      </x:c>
    </x:row>
    <x:row r="65">
      <x:c r="A65" t="str">
        <x:v>ICC Coffee Roastery / Istanbul Coffee Company</x:v>
      </x:c>
      <x:c r="B65" t="str">
        <x:f>INDEX('Geniş Ürün Endeksi'!$C$4:$C$1714,MATCH(A65,'Geniş Ürün Endeksi'!$A$4:$A$1714,0))</x:f>
        <x:v>Kısmi doğrulama</x:v>
      </x:c>
      <x:c r="C65" t="n">
        <x:f>COUNTIF('Geniş Ürün Endeksi'!$A$4:$A$1714,A65)</x:f>
        <x:v>1</x:v>
      </x:c>
      <x:c r="D65" t="n">
        <x:f>COUNTIFS('Geniş Ürün Endeksi'!$A$4:$A$1714,A65,'Geniş Ürün Endeksi'!$D$4:$D$1714,"Ürün kaydı")</x:f>
        <x:v>0</x:v>
      </x:c>
      <x:c r="E65" t="n">
        <x:f>COUNTIFS('Geniş Ürün Endeksi'!$A$4:$A$1714,A65,'Geniş Ürün Endeksi'!$D$4:$D$1714,"Katalog takip kaydı")</x:f>
        <x:v>1</x:v>
      </x:c>
      <x:c r="F65" t="n">
        <x:f>COUNTIFS('Geniş Ürün Endeksi'!$A$4:$A$1714,A65,'Geniş Ürün Endeksi'!$J$4:$J$1714,"Erişildi")</x:f>
        <x:v>0</x:v>
      </x:c>
      <x:c r="G65" t="n">
        <x:f>COUNTIFS('Geniş Ürün Endeksi'!$A$4:$A$1714,A65,'Geniş Ürün Endeksi'!$H$4:$H$1714,"Erişildi")</x:f>
        <x:v>0</x:v>
      </x:c>
      <x:c r="H65" t="str">
        <x:f>IF(D65&gt;0,"En az bir ürün adı bulundu","Yalnız katalog/mağaza bağlantısı")</x:f>
        <x:v>Yalnız katalog/mağaza bağlantısı</x:v>
      </x:c>
    </x:row>
    <x:row r="66">
      <x:c r="A66" t="str">
        <x:v>Just Coffee &amp; Roastery</x:v>
      </x:c>
      <x:c r="B66" t="str">
        <x:f>INDEX('Geniş Ürün Endeksi'!$C$4:$C$1714,MATCH(A66,'Geniş Ürün Endeksi'!$A$4:$A$1714,0))</x:f>
        <x:v>Kısmi doğrulama</x:v>
      </x:c>
      <x:c r="C66" t="n">
        <x:f>COUNTIF('Geniş Ürün Endeksi'!$A$4:$A$1714,A66)</x:f>
        <x:v>10</x:v>
      </x:c>
      <x:c r="D66" t="n">
        <x:f>COUNTIFS('Geniş Ürün Endeksi'!$A$4:$A$1714,A66,'Geniş Ürün Endeksi'!$D$4:$D$1714,"Ürün kaydı")</x:f>
        <x:v>10</x:v>
      </x:c>
      <x:c r="E66" t="n">
        <x:f>COUNTIFS('Geniş Ürün Endeksi'!$A$4:$A$1714,A66,'Geniş Ürün Endeksi'!$D$4:$D$1714,"Katalog takip kaydı")</x:f>
        <x:v>0</x:v>
      </x:c>
      <x:c r="F66" t="n">
        <x:f>COUNTIFS('Geniş Ürün Endeksi'!$A$4:$A$1714,A66,'Geniş Ürün Endeksi'!$J$4:$J$1714,"Erişildi")</x:f>
        <x:v>10</x:v>
      </x:c>
      <x:c r="G66" t="n">
        <x:f>COUNTIFS('Geniş Ürün Endeksi'!$A$4:$A$1714,A66,'Geniş Ürün Endeksi'!$H$4:$H$1714,"Erişildi")</x:f>
        <x:v>0</x:v>
      </x:c>
      <x:c r="H66" t="str">
        <x:f>IF(D66&gt;0,"En az bir ürün adı bulundu","Yalnız katalog/mağaza bağlantısı")</x:f>
        <x:v>En az bir ürün adı bulundu</x:v>
      </x:c>
    </x:row>
    <x:row r="67">
      <x:c r="A67" t="str">
        <x:v>Kaave Roastery</x:v>
      </x:c>
      <x:c r="B67" t="str">
        <x:f>INDEX('Geniş Ürün Endeksi'!$C$4:$C$1714,MATCH(A67,'Geniş Ürün Endeksi'!$A$4:$A$1714,0))</x:f>
        <x:v>Doğrulandı</x:v>
      </x:c>
      <x:c r="C67" t="n">
        <x:f>COUNTIF('Geniş Ürün Endeksi'!$A$4:$A$1714,A67)</x:f>
        <x:v>41</x:v>
      </x:c>
      <x:c r="D67" t="n">
        <x:f>COUNTIFS('Geniş Ürün Endeksi'!$A$4:$A$1714,A67,'Geniş Ürün Endeksi'!$D$4:$D$1714,"Ürün kaydı")</x:f>
        <x:v>41</x:v>
      </x:c>
      <x:c r="E67" t="n">
        <x:f>COUNTIFS('Geniş Ürün Endeksi'!$A$4:$A$1714,A67,'Geniş Ürün Endeksi'!$D$4:$D$1714,"Katalog takip kaydı")</x:f>
        <x:v>0</x:v>
      </x:c>
      <x:c r="F67" t="n">
        <x:f>COUNTIFS('Geniş Ürün Endeksi'!$A$4:$A$1714,A67,'Geniş Ürün Endeksi'!$J$4:$J$1714,"Erişildi")</x:f>
        <x:v>0</x:v>
      </x:c>
      <x:c r="G67" t="n">
        <x:f>COUNTIFS('Geniş Ürün Endeksi'!$A$4:$A$1714,A67,'Geniş Ürün Endeksi'!$H$4:$H$1714,"Erişildi")</x:f>
        <x:v>36</x:v>
      </x:c>
      <x:c r="H67" t="str">
        <x:f>IF(D67&gt;0,"En az bir ürün adı bulundu","Yalnız katalog/mağaza bağlantısı")</x:f>
        <x:v>En az bir ürün adı bulundu</x:v>
      </x:c>
    </x:row>
    <x:row r="68">
      <x:c r="A68" t="str">
        <x:v>Kafein Kültür</x:v>
      </x:c>
      <x:c r="B68" t="str">
        <x:f>INDEX('Geniş Ürün Endeksi'!$C$4:$C$1714,MATCH(A68,'Geniş Ürün Endeksi'!$A$4:$A$1714,0))</x:f>
        <x:v>Kısmi doğrulama</x:v>
      </x:c>
      <x:c r="C68" t="n">
        <x:f>COUNTIF('Geniş Ürün Endeksi'!$A$4:$A$1714,A68)</x:f>
        <x:v>1</x:v>
      </x:c>
      <x:c r="D68" t="n">
        <x:f>COUNTIFS('Geniş Ürün Endeksi'!$A$4:$A$1714,A68,'Geniş Ürün Endeksi'!$D$4:$D$1714,"Ürün kaydı")</x:f>
        <x:v>0</x:v>
      </x:c>
      <x:c r="E68" t="n">
        <x:f>COUNTIFS('Geniş Ürün Endeksi'!$A$4:$A$1714,A68,'Geniş Ürün Endeksi'!$D$4:$D$1714,"Katalog takip kaydı")</x:f>
        <x:v>1</x:v>
      </x:c>
      <x:c r="F68" t="n">
        <x:f>COUNTIFS('Geniş Ürün Endeksi'!$A$4:$A$1714,A68,'Geniş Ürün Endeksi'!$J$4:$J$1714,"Erişildi")</x:f>
        <x:v>0</x:v>
      </x:c>
      <x:c r="G68" t="n">
        <x:f>COUNTIFS('Geniş Ürün Endeksi'!$A$4:$A$1714,A68,'Geniş Ürün Endeksi'!$H$4:$H$1714,"Erişildi")</x:f>
        <x:v>0</x:v>
      </x:c>
      <x:c r="H68" t="str">
        <x:f>IF(D68&gt;0,"En az bir ürün adı bulundu","Yalnız katalog/mağaza bağlantısı")</x:f>
        <x:v>Yalnız katalog/mağaza bağlantısı</x:v>
      </x:c>
    </x:row>
    <x:row r="69">
      <x:c r="A69" t="str">
        <x:v>Kafeingo</x:v>
      </x:c>
      <x:c r="B69" t="str">
        <x:f>INDEX('Geniş Ürün Endeksi'!$C$4:$C$1714,MATCH(A69,'Geniş Ürün Endeksi'!$A$4:$A$1714,0))</x:f>
        <x:v>Doğrulandı</x:v>
      </x:c>
      <x:c r="C69" t="n">
        <x:f>COUNTIF('Geniş Ürün Endeksi'!$A$4:$A$1714,A69)</x:f>
        <x:v>1</x:v>
      </x:c>
      <x:c r="D69" t="n">
        <x:f>COUNTIFS('Geniş Ürün Endeksi'!$A$4:$A$1714,A69,'Geniş Ürün Endeksi'!$D$4:$D$1714,"Ürün kaydı")</x:f>
        <x:v>0</x:v>
      </x:c>
      <x:c r="E69" t="n">
        <x:f>COUNTIFS('Geniş Ürün Endeksi'!$A$4:$A$1714,A69,'Geniş Ürün Endeksi'!$D$4:$D$1714,"Katalog takip kaydı")</x:f>
        <x:v>1</x:v>
      </x:c>
      <x:c r="F69" t="n">
        <x:f>COUNTIFS('Geniş Ürün Endeksi'!$A$4:$A$1714,A69,'Geniş Ürün Endeksi'!$J$4:$J$1714,"Erişildi")</x:f>
        <x:v>0</x:v>
      </x:c>
      <x:c r="G69" t="n">
        <x:f>COUNTIFS('Geniş Ürün Endeksi'!$A$4:$A$1714,A69,'Geniş Ürün Endeksi'!$H$4:$H$1714,"Erişildi")</x:f>
        <x:v>0</x:v>
      </x:c>
      <x:c r="H69" t="str">
        <x:f>IF(D69&gt;0,"En az bir ürün adı bulundu","Yalnız katalog/mağaza bağlantısı")</x:f>
        <x:v>Yalnız katalog/mağaza bağlantısı</x:v>
      </x:c>
    </x:row>
    <x:row r="70">
      <x:c r="A70" t="str">
        <x:v>Kahve Diyarı</x:v>
      </x:c>
      <x:c r="B70" t="str">
        <x:f>INDEX('Geniş Ürün Endeksi'!$C$4:$C$1714,MATCH(A70,'Geniş Ürün Endeksi'!$A$4:$A$1714,0))</x:f>
        <x:v>Kısmi doğrulama</x:v>
      </x:c>
      <x:c r="C70" t="n">
        <x:f>COUNTIF('Geniş Ürün Endeksi'!$A$4:$A$1714,A70)</x:f>
        <x:v>1</x:v>
      </x:c>
      <x:c r="D70" t="n">
        <x:f>COUNTIFS('Geniş Ürün Endeksi'!$A$4:$A$1714,A70,'Geniş Ürün Endeksi'!$D$4:$D$1714,"Ürün kaydı")</x:f>
        <x:v>0</x:v>
      </x:c>
      <x:c r="E70" t="n">
        <x:f>COUNTIFS('Geniş Ürün Endeksi'!$A$4:$A$1714,A70,'Geniş Ürün Endeksi'!$D$4:$D$1714,"Katalog takip kaydı")</x:f>
        <x:v>1</x:v>
      </x:c>
      <x:c r="F70" t="n">
        <x:f>COUNTIFS('Geniş Ürün Endeksi'!$A$4:$A$1714,A70,'Geniş Ürün Endeksi'!$J$4:$J$1714,"Erişildi")</x:f>
        <x:v>0</x:v>
      </x:c>
      <x:c r="G70" t="n">
        <x:f>COUNTIFS('Geniş Ürün Endeksi'!$A$4:$A$1714,A70,'Geniş Ürün Endeksi'!$H$4:$H$1714,"Erişildi")</x:f>
        <x:v>0</x:v>
      </x:c>
      <x:c r="H70" t="str">
        <x:f>IF(D70&gt;0,"En az bir ürün adı bulundu","Yalnız katalog/mağaza bağlantısı")</x:f>
        <x:v>Yalnız katalog/mağaza bağlantısı</x:v>
      </x:c>
    </x:row>
    <x:row r="71">
      <x:c r="A71" t="str">
        <x:v>Kahve Dünyası</x:v>
      </x:c>
      <x:c r="B71" t="str">
        <x:f>INDEX('Geniş Ürün Endeksi'!$C$4:$C$1714,MATCH(A71,'Geniş Ürün Endeksi'!$A$4:$A$1714,0))</x:f>
        <x:v>Doğrulandı</x:v>
      </x:c>
      <x:c r="C71" t="n">
        <x:f>COUNTIF('Geniş Ürün Endeksi'!$A$4:$A$1714,A71)</x:f>
        <x:v>41</x:v>
      </x:c>
      <x:c r="D71" t="n">
        <x:f>COUNTIFS('Geniş Ürün Endeksi'!$A$4:$A$1714,A71,'Geniş Ürün Endeksi'!$D$4:$D$1714,"Ürün kaydı")</x:f>
        <x:v>41</x:v>
      </x:c>
      <x:c r="E71" t="n">
        <x:f>COUNTIFS('Geniş Ürün Endeksi'!$A$4:$A$1714,A71,'Geniş Ürün Endeksi'!$D$4:$D$1714,"Katalog takip kaydı")</x:f>
        <x:v>0</x:v>
      </x:c>
      <x:c r="F71" t="n">
        <x:f>COUNTIFS('Geniş Ürün Endeksi'!$A$4:$A$1714,A71,'Geniş Ürün Endeksi'!$J$4:$J$1714,"Erişildi")</x:f>
        <x:v>41</x:v>
      </x:c>
      <x:c r="G71" t="n">
        <x:f>COUNTIFS('Geniş Ürün Endeksi'!$A$4:$A$1714,A71,'Geniş Ürün Endeksi'!$H$4:$H$1714,"Erişildi")</x:f>
        <x:v>33</x:v>
      </x:c>
      <x:c r="H71" t="str">
        <x:f>IF(D71&gt;0,"En az bir ürün adı bulundu","Yalnız katalog/mağaza bağlantısı")</x:f>
        <x:v>En az bir ürün adı bulundu</x:v>
      </x:c>
    </x:row>
    <x:row r="72">
      <x:c r="A72" t="str">
        <x:v>Kahve Fabrikası</x:v>
      </x:c>
      <x:c r="B72" t="str">
        <x:f>INDEX('Geniş Ürün Endeksi'!$C$4:$C$1714,MATCH(A72,'Geniş Ürün Endeksi'!$A$4:$A$1714,0))</x:f>
        <x:v>Doğrulandı</x:v>
      </x:c>
      <x:c r="C72" t="n">
        <x:f>COUNTIF('Geniş Ürün Endeksi'!$A$4:$A$1714,A72)</x:f>
        <x:v>1</x:v>
      </x:c>
      <x:c r="D72" t="n">
        <x:f>COUNTIFS('Geniş Ürün Endeksi'!$A$4:$A$1714,A72,'Geniş Ürün Endeksi'!$D$4:$D$1714,"Ürün kaydı")</x:f>
        <x:v>0</x:v>
      </x:c>
      <x:c r="E72" t="n">
        <x:f>COUNTIFS('Geniş Ürün Endeksi'!$A$4:$A$1714,A72,'Geniş Ürün Endeksi'!$D$4:$D$1714,"Katalog takip kaydı")</x:f>
        <x:v>1</x:v>
      </x:c>
      <x:c r="F72" t="n">
        <x:f>COUNTIFS('Geniş Ürün Endeksi'!$A$4:$A$1714,A72,'Geniş Ürün Endeksi'!$J$4:$J$1714,"Erişildi")</x:f>
        <x:v>0</x:v>
      </x:c>
      <x:c r="G72" t="n">
        <x:f>COUNTIFS('Geniş Ürün Endeksi'!$A$4:$A$1714,A72,'Geniş Ürün Endeksi'!$H$4:$H$1714,"Erişildi")</x:f>
        <x:v>0</x:v>
      </x:c>
      <x:c r="H72" t="str">
        <x:f>IF(D72&gt;0,"En az bir ürün adı bulundu","Yalnız katalog/mağaza bağlantısı")</x:f>
        <x:v>Yalnız katalog/mağaza bağlantısı</x:v>
      </x:c>
    </x:row>
    <x:row r="73">
      <x:c r="A73" t="str">
        <x:v>Kahve.com / Moliendo</x:v>
      </x:c>
      <x:c r="B73" t="str">
        <x:f>INDEX('Geniş Ürün Endeksi'!$C$4:$C$1714,MATCH(A73,'Geniş Ürün Endeksi'!$A$4:$A$1714,0))</x:f>
        <x:v>Doğrulandı</x:v>
      </x:c>
      <x:c r="C73" t="n">
        <x:f>COUNTIF('Geniş Ürün Endeksi'!$A$4:$A$1714,A73)</x:f>
        <x:v>31</x:v>
      </x:c>
      <x:c r="D73" t="n">
        <x:f>COUNTIFS('Geniş Ürün Endeksi'!$A$4:$A$1714,A73,'Geniş Ürün Endeksi'!$D$4:$D$1714,"Ürün kaydı")</x:f>
        <x:v>31</x:v>
      </x:c>
      <x:c r="E73" t="n">
        <x:f>COUNTIFS('Geniş Ürün Endeksi'!$A$4:$A$1714,A73,'Geniş Ürün Endeksi'!$D$4:$D$1714,"Katalog takip kaydı")</x:f>
        <x:v>0</x:v>
      </x:c>
      <x:c r="F73" t="n">
        <x:f>COUNTIFS('Geniş Ürün Endeksi'!$A$4:$A$1714,A73,'Geniş Ürün Endeksi'!$J$4:$J$1714,"Erişildi")</x:f>
        <x:v>31</x:v>
      </x:c>
      <x:c r="G73" t="n">
        <x:f>COUNTIFS('Geniş Ürün Endeksi'!$A$4:$A$1714,A73,'Geniş Ürün Endeksi'!$H$4:$H$1714,"Erişildi")</x:f>
        <x:v>1</x:v>
      </x:c>
      <x:c r="H73" t="str">
        <x:f>IF(D73&gt;0,"En az bir ürün adı bulundu","Yalnız katalog/mağaza bağlantısı")</x:f>
        <x:v>En az bir ürün adı bulundu</x:v>
      </x:c>
    </x:row>
    <x:row r="74">
      <x:c r="A74" t="str">
        <x:v>Kakule Kahve</x:v>
      </x:c>
      <x:c r="B74" t="str">
        <x:f>INDEX('Geniş Ürün Endeksi'!$C$4:$C$1714,MATCH(A74,'Geniş Ürün Endeksi'!$A$4:$A$1714,0))</x:f>
        <x:v>Kısmi doğrulama</x:v>
      </x:c>
      <x:c r="C74" t="n">
        <x:f>COUNTIF('Geniş Ürün Endeksi'!$A$4:$A$1714,A74)</x:f>
        <x:v>1</x:v>
      </x:c>
      <x:c r="D74" t="n">
        <x:f>COUNTIFS('Geniş Ürün Endeksi'!$A$4:$A$1714,A74,'Geniş Ürün Endeksi'!$D$4:$D$1714,"Ürün kaydı")</x:f>
        <x:v>0</x:v>
      </x:c>
      <x:c r="E74" t="n">
        <x:f>COUNTIFS('Geniş Ürün Endeksi'!$A$4:$A$1714,A74,'Geniş Ürün Endeksi'!$D$4:$D$1714,"Katalog takip kaydı")</x:f>
        <x:v>1</x:v>
      </x:c>
      <x:c r="F74" t="n">
        <x:f>COUNTIFS('Geniş Ürün Endeksi'!$A$4:$A$1714,A74,'Geniş Ürün Endeksi'!$J$4:$J$1714,"Erişildi")</x:f>
        <x:v>0</x:v>
      </x:c>
      <x:c r="G74" t="n">
        <x:f>COUNTIFS('Geniş Ürün Endeksi'!$A$4:$A$1714,A74,'Geniş Ürün Endeksi'!$H$4:$H$1714,"Erişildi")</x:f>
        <x:v>0</x:v>
      </x:c>
      <x:c r="H74" t="str">
        <x:f>IF(D74&gt;0,"En az bir ürün adı bulundu","Yalnız katalog/mağaza bağlantısı")</x:f>
        <x:v>Yalnız katalog/mağaza bağlantısı</x:v>
      </x:c>
    </x:row>
    <x:row r="75">
      <x:c r="A75" t="str">
        <x:v>Kava Coffee</x:v>
      </x:c>
      <x:c r="B75" t="str">
        <x:f>INDEX('Geniş Ürün Endeksi'!$C$4:$C$1714,MATCH(A75,'Geniş Ürün Endeksi'!$A$4:$A$1714,0))</x:f>
        <x:v>Kısmi doğrulama</x:v>
      </x:c>
      <x:c r="C75" t="n">
        <x:f>COUNTIF('Geniş Ürün Endeksi'!$A$4:$A$1714,A75)</x:f>
        <x:v>1</x:v>
      </x:c>
      <x:c r="D75" t="n">
        <x:f>COUNTIFS('Geniş Ürün Endeksi'!$A$4:$A$1714,A75,'Geniş Ürün Endeksi'!$D$4:$D$1714,"Ürün kaydı")</x:f>
        <x:v>0</x:v>
      </x:c>
      <x:c r="E75" t="n">
        <x:f>COUNTIFS('Geniş Ürün Endeksi'!$A$4:$A$1714,A75,'Geniş Ürün Endeksi'!$D$4:$D$1714,"Katalog takip kaydı")</x:f>
        <x:v>1</x:v>
      </x:c>
      <x:c r="F75" t="n">
        <x:f>COUNTIFS('Geniş Ürün Endeksi'!$A$4:$A$1714,A75,'Geniş Ürün Endeksi'!$J$4:$J$1714,"Erişildi")</x:f>
        <x:v>0</x:v>
      </x:c>
      <x:c r="G75" t="n">
        <x:f>COUNTIFS('Geniş Ürün Endeksi'!$A$4:$A$1714,A75,'Geniş Ürün Endeksi'!$H$4:$H$1714,"Erişildi")</x:f>
        <x:v>0</x:v>
      </x:c>
      <x:c r="H75" t="str">
        <x:f>IF(D75&gt;0,"En az bir ürün adı bulundu","Yalnız katalog/mağaza bağlantısı")</x:f>
        <x:v>Yalnız katalog/mağaza bağlantısı</x:v>
      </x:c>
    </x:row>
    <x:row r="76">
      <x:c r="A76" t="str">
        <x:v>Keçi Coffee Roastery</x:v>
      </x:c>
      <x:c r="B76" t="str">
        <x:f>INDEX('Geniş Ürün Endeksi'!$C$4:$C$1714,MATCH(A76,'Geniş Ürün Endeksi'!$A$4:$A$1714,0))</x:f>
        <x:v>Kısmi doğrulama</x:v>
      </x:c>
      <x:c r="C76" t="n">
        <x:f>COUNTIF('Geniş Ürün Endeksi'!$A$4:$A$1714,A76)</x:f>
        <x:v>1</x:v>
      </x:c>
      <x:c r="D76" t="n">
        <x:f>COUNTIFS('Geniş Ürün Endeksi'!$A$4:$A$1714,A76,'Geniş Ürün Endeksi'!$D$4:$D$1714,"Ürün kaydı")</x:f>
        <x:v>0</x:v>
      </x:c>
      <x:c r="E76" t="n">
        <x:f>COUNTIFS('Geniş Ürün Endeksi'!$A$4:$A$1714,A76,'Geniş Ürün Endeksi'!$D$4:$D$1714,"Katalog takip kaydı")</x:f>
        <x:v>1</x:v>
      </x:c>
      <x:c r="F76" t="n">
        <x:f>COUNTIFS('Geniş Ürün Endeksi'!$A$4:$A$1714,A76,'Geniş Ürün Endeksi'!$J$4:$J$1714,"Erişildi")</x:f>
        <x:v>0</x:v>
      </x:c>
      <x:c r="G76" t="n">
        <x:f>COUNTIFS('Geniş Ürün Endeksi'!$A$4:$A$1714,A76,'Geniş Ürün Endeksi'!$H$4:$H$1714,"Erişildi")</x:f>
        <x:v>0</x:v>
      </x:c>
      <x:c r="H76" t="str">
        <x:f>IF(D76&gt;0,"En az bir ürün adı bulundu","Yalnız katalog/mağaza bağlantısı")</x:f>
        <x:v>Yalnız katalog/mağaza bağlantısı</x:v>
      </x:c>
    </x:row>
    <x:row r="77">
      <x:c r="A77" t="str">
        <x:v>Keobs Coffee Roastery</x:v>
      </x:c>
      <x:c r="B77" t="str">
        <x:f>INDEX('Geniş Ürün Endeksi'!$C$4:$C$1714,MATCH(A77,'Geniş Ürün Endeksi'!$A$4:$A$1714,0))</x:f>
        <x:v>Doğrulandı</x:v>
      </x:c>
      <x:c r="C77" t="n">
        <x:f>COUNTIF('Geniş Ürün Endeksi'!$A$4:$A$1714,A77)</x:f>
        <x:v>18</x:v>
      </x:c>
      <x:c r="D77" t="n">
        <x:f>COUNTIFS('Geniş Ürün Endeksi'!$A$4:$A$1714,A77,'Geniş Ürün Endeksi'!$D$4:$D$1714,"Ürün kaydı")</x:f>
        <x:v>18</x:v>
      </x:c>
      <x:c r="E77" t="n">
        <x:f>COUNTIFS('Geniş Ürün Endeksi'!$A$4:$A$1714,A77,'Geniş Ürün Endeksi'!$D$4:$D$1714,"Katalog takip kaydı")</x:f>
        <x:v>0</x:v>
      </x:c>
      <x:c r="F77" t="n">
        <x:f>COUNTIFS('Geniş Ürün Endeksi'!$A$4:$A$1714,A77,'Geniş Ürün Endeksi'!$J$4:$J$1714,"Erişildi")</x:f>
        <x:v>13</x:v>
      </x:c>
      <x:c r="G77" t="n">
        <x:f>COUNTIFS('Geniş Ürün Endeksi'!$A$4:$A$1714,A77,'Geniş Ürün Endeksi'!$H$4:$H$1714,"Erişildi")</x:f>
        <x:v>2</x:v>
      </x:c>
      <x:c r="H77" t="str">
        <x:f>IF(D77&gt;0,"En az bir ürün adı bulundu","Yalnız katalog/mağaza bağlantısı")</x:f>
        <x:v>En az bir ürün adı bulundu</x:v>
      </x:c>
    </x:row>
    <x:row r="78">
      <x:c r="A78" t="str">
        <x:v>Kernel Coffee</x:v>
      </x:c>
      <x:c r="B78" t="str">
        <x:f>INDEX('Geniş Ürün Endeksi'!$C$4:$C$1714,MATCH(A78,'Geniş Ürün Endeksi'!$A$4:$A$1714,0))</x:f>
        <x:v>Kısmi doğrulama</x:v>
      </x:c>
      <x:c r="C78" t="n">
        <x:f>COUNTIF('Geniş Ürün Endeksi'!$A$4:$A$1714,A78)</x:f>
        <x:v>8</x:v>
      </x:c>
      <x:c r="D78" t="n">
        <x:f>COUNTIFS('Geniş Ürün Endeksi'!$A$4:$A$1714,A78,'Geniş Ürün Endeksi'!$D$4:$D$1714,"Ürün kaydı")</x:f>
        <x:v>8</x:v>
      </x:c>
      <x:c r="E78" t="n">
        <x:f>COUNTIFS('Geniş Ürün Endeksi'!$A$4:$A$1714,A78,'Geniş Ürün Endeksi'!$D$4:$D$1714,"Katalog takip kaydı")</x:f>
        <x:v>0</x:v>
      </x:c>
      <x:c r="F78" t="n">
        <x:f>COUNTIFS('Geniş Ürün Endeksi'!$A$4:$A$1714,A78,'Geniş Ürün Endeksi'!$J$4:$J$1714,"Erişildi")</x:f>
        <x:v>8</x:v>
      </x:c>
      <x:c r="G78" t="n">
        <x:f>COUNTIFS('Geniş Ürün Endeksi'!$A$4:$A$1714,A78,'Geniş Ürün Endeksi'!$H$4:$H$1714,"Erişildi")</x:f>
        <x:v>0</x:v>
      </x:c>
      <x:c r="H78" t="str">
        <x:f>IF(D78&gt;0,"En az bir ürün adı bulundu","Yalnız katalog/mağaza bağlantısı")</x:f>
        <x:v>En az bir ürün adı bulundu</x:v>
      </x:c>
    </x:row>
    <x:row r="79">
      <x:c r="A79" t="str">
        <x:v>Khaldi Coffee</x:v>
      </x:c>
      <x:c r="B79" t="str">
        <x:f>INDEX('Geniş Ürün Endeksi'!$C$4:$C$1714,MATCH(A79,'Geniş Ürün Endeksi'!$A$4:$A$1714,0))</x:f>
        <x:v>Kısmi doğrulama</x:v>
      </x:c>
      <x:c r="C79" t="n">
        <x:f>COUNTIF('Geniş Ürün Endeksi'!$A$4:$A$1714,A79)</x:f>
        <x:v>1</x:v>
      </x:c>
      <x:c r="D79" t="n">
        <x:f>COUNTIFS('Geniş Ürün Endeksi'!$A$4:$A$1714,A79,'Geniş Ürün Endeksi'!$D$4:$D$1714,"Ürün kaydı")</x:f>
        <x:v>0</x:v>
      </x:c>
      <x:c r="E79" t="n">
        <x:f>COUNTIFS('Geniş Ürün Endeksi'!$A$4:$A$1714,A79,'Geniş Ürün Endeksi'!$D$4:$D$1714,"Katalog takip kaydı")</x:f>
        <x:v>1</x:v>
      </x:c>
      <x:c r="F79" t="n">
        <x:f>COUNTIFS('Geniş Ürün Endeksi'!$A$4:$A$1714,A79,'Geniş Ürün Endeksi'!$J$4:$J$1714,"Erişildi")</x:f>
        <x:v>0</x:v>
      </x:c>
      <x:c r="G79" t="n">
        <x:f>COUNTIFS('Geniş Ürün Endeksi'!$A$4:$A$1714,A79,'Geniş Ürün Endeksi'!$H$4:$H$1714,"Erişildi")</x:f>
        <x:v>0</x:v>
      </x:c>
      <x:c r="H79" t="str">
        <x:f>IF(D79&gt;0,"En az bir ürün adı bulundu","Yalnız katalog/mağaza bağlantısı")</x:f>
        <x:v>Yalnız katalog/mağaza bağlantısı</x:v>
      </x:c>
    </x:row>
    <x:row r="80">
      <x:c r="A80" t="str">
        <x:v>Kilin Coffee</x:v>
      </x:c>
      <x:c r="B80" t="str">
        <x:f>INDEX('Geniş Ürün Endeksi'!$C$4:$C$1714,MATCH(A80,'Geniş Ürün Endeksi'!$A$4:$A$1714,0))</x:f>
        <x:v>Kısmi doğrulama</x:v>
      </x:c>
      <x:c r="C80" t="n">
        <x:f>COUNTIF('Geniş Ürün Endeksi'!$A$4:$A$1714,A80)</x:f>
        <x:v>1</x:v>
      </x:c>
      <x:c r="D80" t="n">
        <x:f>COUNTIFS('Geniş Ürün Endeksi'!$A$4:$A$1714,A80,'Geniş Ürün Endeksi'!$D$4:$D$1714,"Ürün kaydı")</x:f>
        <x:v>0</x:v>
      </x:c>
      <x:c r="E80" t="n">
        <x:f>COUNTIFS('Geniş Ürün Endeksi'!$A$4:$A$1714,A80,'Geniş Ürün Endeksi'!$D$4:$D$1714,"Katalog takip kaydı")</x:f>
        <x:v>1</x:v>
      </x:c>
      <x:c r="F80" t="n">
        <x:f>COUNTIFS('Geniş Ürün Endeksi'!$A$4:$A$1714,A80,'Geniş Ürün Endeksi'!$J$4:$J$1714,"Erişildi")</x:f>
        <x:v>0</x:v>
      </x:c>
      <x:c r="G80" t="n">
        <x:f>COUNTIFS('Geniş Ürün Endeksi'!$A$4:$A$1714,A80,'Geniş Ürün Endeksi'!$H$4:$H$1714,"Erişildi")</x:f>
        <x:v>0</x:v>
      </x:c>
      <x:c r="H80" t="str">
        <x:f>IF(D80&gt;0,"En az bir ürün adı bulundu","Yalnız katalog/mağaza bağlantısı")</x:f>
        <x:v>Yalnız katalog/mağaza bağlantısı</x:v>
      </x:c>
    </x:row>
    <x:row r="81">
      <x:c r="A81" t="str">
        <x:v>Kimma Coffee Roasters</x:v>
      </x:c>
      <x:c r="B81" t="str">
        <x:f>INDEX('Geniş Ürün Endeksi'!$C$4:$C$1714,MATCH(A81,'Geniş Ürün Endeksi'!$A$4:$A$1714,0))</x:f>
        <x:v>Doğrulandı</x:v>
      </x:c>
      <x:c r="C81" t="n">
        <x:f>COUNTIF('Geniş Ürün Endeksi'!$A$4:$A$1714,A81)</x:f>
        <x:v>25</x:v>
      </x:c>
      <x:c r="D81" t="n">
        <x:f>COUNTIFS('Geniş Ürün Endeksi'!$A$4:$A$1714,A81,'Geniş Ürün Endeksi'!$D$4:$D$1714,"Ürün kaydı")</x:f>
        <x:v>25</x:v>
      </x:c>
      <x:c r="E81" t="n">
        <x:f>COUNTIFS('Geniş Ürün Endeksi'!$A$4:$A$1714,A81,'Geniş Ürün Endeksi'!$D$4:$D$1714,"Katalog takip kaydı")</x:f>
        <x:v>0</x:v>
      </x:c>
      <x:c r="F81" t="n">
        <x:f>COUNTIFS('Geniş Ürün Endeksi'!$A$4:$A$1714,A81,'Geniş Ürün Endeksi'!$J$4:$J$1714,"Erişildi")</x:f>
        <x:v>25</x:v>
      </x:c>
      <x:c r="G81" t="n">
        <x:f>COUNTIFS('Geniş Ürün Endeksi'!$A$4:$A$1714,A81,'Geniş Ürün Endeksi'!$H$4:$H$1714,"Erişildi")</x:f>
        <x:v>25</x:v>
      </x:c>
      <x:c r="H81" t="str">
        <x:f>IF(D81&gt;0,"En az bir ürün adı bulundu","Yalnız katalog/mağaza bağlantısı")</x:f>
        <x:v>En az bir ürün adı bulundu</x:v>
      </x:c>
    </x:row>
    <x:row r="82">
      <x:c r="A82" t="str">
        <x:v>Kocatepe Kahve Evi</x:v>
      </x:c>
      <x:c r="B82" t="str">
        <x:f>INDEX('Geniş Ürün Endeksi'!$C$4:$C$1714,MATCH(A82,'Geniş Ürün Endeksi'!$A$4:$A$1714,0))</x:f>
        <x:v>Doğrulandı</x:v>
      </x:c>
      <x:c r="C82" t="n">
        <x:f>COUNTIF('Geniş Ürün Endeksi'!$A$4:$A$1714,A82)</x:f>
        <x:v>28</x:v>
      </x:c>
      <x:c r="D82" t="n">
        <x:f>COUNTIFS('Geniş Ürün Endeksi'!$A$4:$A$1714,A82,'Geniş Ürün Endeksi'!$D$4:$D$1714,"Ürün kaydı")</x:f>
        <x:v>28</x:v>
      </x:c>
      <x:c r="E82" t="n">
        <x:f>COUNTIFS('Geniş Ürün Endeksi'!$A$4:$A$1714,A82,'Geniş Ürün Endeksi'!$D$4:$D$1714,"Katalog takip kaydı")</x:f>
        <x:v>0</x:v>
      </x:c>
      <x:c r="F82" t="n">
        <x:f>COUNTIFS('Geniş Ürün Endeksi'!$A$4:$A$1714,A82,'Geniş Ürün Endeksi'!$J$4:$J$1714,"Erişildi")</x:f>
        <x:v>11</x:v>
      </x:c>
      <x:c r="G82" t="n">
        <x:f>COUNTIFS('Geniş Ürün Endeksi'!$A$4:$A$1714,A82,'Geniş Ürün Endeksi'!$H$4:$H$1714,"Erişildi")</x:f>
        <x:v>27</x:v>
      </x:c>
      <x:c r="H82" t="str">
        <x:f>IF(D82&gt;0,"En az bir ürün adı bulundu","Yalnız katalog/mağaza bağlantısı")</x:f>
        <x:v>En az bir ürün adı bulundu</x:v>
      </x:c>
    </x:row>
    <x:row r="83">
      <x:c r="A83" t="str">
        <x:v>KREA Kahve</x:v>
      </x:c>
      <x:c r="B83" t="str">
        <x:f>INDEX('Geniş Ürün Endeksi'!$C$4:$C$1714,MATCH(A83,'Geniş Ürün Endeksi'!$A$4:$A$1714,0))</x:f>
        <x:v>Kısmi doğrulama</x:v>
      </x:c>
      <x:c r="C83" t="n">
        <x:f>COUNTIF('Geniş Ürün Endeksi'!$A$4:$A$1714,A83)</x:f>
        <x:v>1</x:v>
      </x:c>
      <x:c r="D83" t="n">
        <x:f>COUNTIFS('Geniş Ürün Endeksi'!$A$4:$A$1714,A83,'Geniş Ürün Endeksi'!$D$4:$D$1714,"Ürün kaydı")</x:f>
        <x:v>0</x:v>
      </x:c>
      <x:c r="E83" t="n">
        <x:f>COUNTIFS('Geniş Ürün Endeksi'!$A$4:$A$1714,A83,'Geniş Ürün Endeksi'!$D$4:$D$1714,"Katalog takip kaydı")</x:f>
        <x:v>1</x:v>
      </x:c>
      <x:c r="F83" t="n">
        <x:f>COUNTIFS('Geniş Ürün Endeksi'!$A$4:$A$1714,A83,'Geniş Ürün Endeksi'!$J$4:$J$1714,"Erişildi")</x:f>
        <x:v>0</x:v>
      </x:c>
      <x:c r="G83" t="n">
        <x:f>COUNTIFS('Geniş Ürün Endeksi'!$A$4:$A$1714,A83,'Geniş Ürün Endeksi'!$H$4:$H$1714,"Erişildi")</x:f>
        <x:v>0</x:v>
      </x:c>
      <x:c r="H83" t="str">
        <x:f>IF(D83&gt;0,"En az bir ürün adı bulundu","Yalnız katalog/mağaza bağlantısı")</x:f>
        <x:v>Yalnız katalog/mağaza bağlantısı</x:v>
      </x:c>
    </x:row>
    <x:row r="84">
      <x:c r="A84" t="str">
        <x:v>Kronotrop</x:v>
      </x:c>
      <x:c r="B84" t="str">
        <x:f>INDEX('Geniş Ürün Endeksi'!$C$4:$C$1714,MATCH(A84,'Geniş Ürün Endeksi'!$A$4:$A$1714,0))</x:f>
        <x:v>Doğrulandı</x:v>
      </x:c>
      <x:c r="C84" t="n">
        <x:f>COUNTIF('Geniş Ürün Endeksi'!$A$4:$A$1714,A84)</x:f>
        <x:v>1</x:v>
      </x:c>
      <x:c r="D84" t="n">
        <x:f>COUNTIFS('Geniş Ürün Endeksi'!$A$4:$A$1714,A84,'Geniş Ürün Endeksi'!$D$4:$D$1714,"Ürün kaydı")</x:f>
        <x:v>0</x:v>
      </x:c>
      <x:c r="E84" t="n">
        <x:f>COUNTIFS('Geniş Ürün Endeksi'!$A$4:$A$1714,A84,'Geniş Ürün Endeksi'!$D$4:$D$1714,"Katalog takip kaydı")</x:f>
        <x:v>1</x:v>
      </x:c>
      <x:c r="F84" t="n">
        <x:f>COUNTIFS('Geniş Ürün Endeksi'!$A$4:$A$1714,A84,'Geniş Ürün Endeksi'!$J$4:$J$1714,"Erişildi")</x:f>
        <x:v>0</x:v>
      </x:c>
      <x:c r="G84" t="n">
        <x:f>COUNTIFS('Geniş Ürün Endeksi'!$A$4:$A$1714,A84,'Geniş Ürün Endeksi'!$H$4:$H$1714,"Erişildi")</x:f>
        <x:v>0</x:v>
      </x:c>
      <x:c r="H84" t="str">
        <x:f>IF(D84&gt;0,"En az bir ürün adı bulundu","Yalnız katalog/mağaza bağlantısı")</x:f>
        <x:v>Yalnız katalog/mağaza bağlantısı</x:v>
      </x:c>
    </x:row>
    <x:row r="85">
      <x:c r="A85" t="str">
        <x:v>Kumo Coffee</x:v>
      </x:c>
      <x:c r="B85" t="str">
        <x:f>INDEX('Geniş Ürün Endeksi'!$C$4:$C$1714,MATCH(A85,'Geniş Ürün Endeksi'!$A$4:$A$1714,0))</x:f>
        <x:v>Kısmi doğrulama</x:v>
      </x:c>
      <x:c r="C85" t="n">
        <x:f>COUNTIF('Geniş Ürün Endeksi'!$A$4:$A$1714,A85)</x:f>
        <x:v>1</x:v>
      </x:c>
      <x:c r="D85" t="n">
        <x:f>COUNTIFS('Geniş Ürün Endeksi'!$A$4:$A$1714,A85,'Geniş Ürün Endeksi'!$D$4:$D$1714,"Ürün kaydı")</x:f>
        <x:v>0</x:v>
      </x:c>
      <x:c r="E85" t="n">
        <x:f>COUNTIFS('Geniş Ürün Endeksi'!$A$4:$A$1714,A85,'Geniş Ürün Endeksi'!$D$4:$D$1714,"Katalog takip kaydı")</x:f>
        <x:v>1</x:v>
      </x:c>
      <x:c r="F85" t="n">
        <x:f>COUNTIFS('Geniş Ürün Endeksi'!$A$4:$A$1714,A85,'Geniş Ürün Endeksi'!$J$4:$J$1714,"Erişildi")</x:f>
        <x:v>0</x:v>
      </x:c>
      <x:c r="G85" t="n">
        <x:f>COUNTIFS('Geniş Ürün Endeksi'!$A$4:$A$1714,A85,'Geniş Ürün Endeksi'!$H$4:$H$1714,"Erişildi")</x:f>
        <x:v>0</x:v>
      </x:c>
      <x:c r="H85" t="str">
        <x:f>IF(D85&gt;0,"En az bir ürün adı bulundu","Yalnız katalog/mağaza bağlantısı")</x:f>
        <x:v>Yalnız katalog/mağaza bağlantısı</x:v>
      </x:c>
    </x:row>
    <x:row r="86">
      <x:c r="A86" t="str">
        <x:v>Kurukahveci Mehmet Efendi</x:v>
      </x:c>
      <x:c r="B86" t="str">
        <x:f>INDEX('Geniş Ürün Endeksi'!$C$4:$C$1714,MATCH(A86,'Geniş Ürün Endeksi'!$A$4:$A$1714,0))</x:f>
        <x:v>Kısmi doğrulama</x:v>
      </x:c>
      <x:c r="C86" t="n">
        <x:f>COUNTIF('Geniş Ürün Endeksi'!$A$4:$A$1714,A86)</x:f>
        <x:v>33</x:v>
      </x:c>
      <x:c r="D86" t="n">
        <x:f>COUNTIFS('Geniş Ürün Endeksi'!$A$4:$A$1714,A86,'Geniş Ürün Endeksi'!$D$4:$D$1714,"Ürün kaydı")</x:f>
        <x:v>33</x:v>
      </x:c>
      <x:c r="E86" t="n">
        <x:f>COUNTIFS('Geniş Ürün Endeksi'!$A$4:$A$1714,A86,'Geniş Ürün Endeksi'!$D$4:$D$1714,"Katalog takip kaydı")</x:f>
        <x:v>0</x:v>
      </x:c>
      <x:c r="F86" t="n">
        <x:f>COUNTIFS('Geniş Ürün Endeksi'!$A$4:$A$1714,A86,'Geniş Ürün Endeksi'!$J$4:$J$1714,"Erişildi")</x:f>
        <x:v>0</x:v>
      </x:c>
      <x:c r="G86" t="n">
        <x:f>COUNTIFS('Geniş Ürün Endeksi'!$A$4:$A$1714,A86,'Geniş Ürün Endeksi'!$H$4:$H$1714,"Erişildi")</x:f>
        <x:v>3</x:v>
      </x:c>
      <x:c r="H86" t="str">
        <x:f>IF(D86&gt;0,"En az bir ürün adı bulundu","Yalnız katalog/mağaza bağlantısı")</x:f>
        <x:v>En az bir ürün adı bulundu</x:v>
      </x:c>
    </x:row>
    <x:row r="87">
      <x:c r="A87" t="str">
        <x:v>Lagetom Coffee</x:v>
      </x:c>
      <x:c r="B87" t="str">
        <x:f>INDEX('Geniş Ürün Endeksi'!$C$4:$C$1714,MATCH(A87,'Geniş Ürün Endeksi'!$A$4:$A$1714,0))</x:f>
        <x:v>Kısmi doğrulama</x:v>
      </x:c>
      <x:c r="C87" t="n">
        <x:f>COUNTIF('Geniş Ürün Endeksi'!$A$4:$A$1714,A87)</x:f>
        <x:v>1</x:v>
      </x:c>
      <x:c r="D87" t="n">
        <x:f>COUNTIFS('Geniş Ürün Endeksi'!$A$4:$A$1714,A87,'Geniş Ürün Endeksi'!$D$4:$D$1714,"Ürün kaydı")</x:f>
        <x:v>0</x:v>
      </x:c>
      <x:c r="E87" t="n">
        <x:f>COUNTIFS('Geniş Ürün Endeksi'!$A$4:$A$1714,A87,'Geniş Ürün Endeksi'!$D$4:$D$1714,"Katalog takip kaydı")</x:f>
        <x:v>1</x:v>
      </x:c>
      <x:c r="F87" t="n">
        <x:f>COUNTIFS('Geniş Ürün Endeksi'!$A$4:$A$1714,A87,'Geniş Ürün Endeksi'!$J$4:$J$1714,"Erişildi")</x:f>
        <x:v>0</x:v>
      </x:c>
      <x:c r="G87" t="n">
        <x:f>COUNTIFS('Geniş Ürün Endeksi'!$A$4:$A$1714,A87,'Geniş Ürün Endeksi'!$H$4:$H$1714,"Erişildi")</x:f>
        <x:v>0</x:v>
      </x:c>
      <x:c r="H87" t="str">
        <x:f>IF(D87&gt;0,"En az bir ürün adı bulundu","Yalnız katalog/mağaza bağlantısı")</x:f>
        <x:v>Yalnız katalog/mağaza bağlantısı</x:v>
      </x:c>
    </x:row>
    <x:row r="88">
      <x:c r="A88" t="str">
        <x:v>Locus Coffee Roastery</x:v>
      </x:c>
      <x:c r="B88" t="str">
        <x:f>INDEX('Geniş Ürün Endeksi'!$C$4:$C$1714,MATCH(A88,'Geniş Ürün Endeksi'!$A$4:$A$1714,0))</x:f>
        <x:v>Kısmi doğrulama</x:v>
      </x:c>
      <x:c r="C88" t="n">
        <x:f>COUNTIF('Geniş Ürün Endeksi'!$A$4:$A$1714,A88)</x:f>
        <x:v>1</x:v>
      </x:c>
      <x:c r="D88" t="n">
        <x:f>COUNTIFS('Geniş Ürün Endeksi'!$A$4:$A$1714,A88,'Geniş Ürün Endeksi'!$D$4:$D$1714,"Ürün kaydı")</x:f>
        <x:v>0</x:v>
      </x:c>
      <x:c r="E88" t="n">
        <x:f>COUNTIFS('Geniş Ürün Endeksi'!$A$4:$A$1714,A88,'Geniş Ürün Endeksi'!$D$4:$D$1714,"Katalog takip kaydı")</x:f>
        <x:v>1</x:v>
      </x:c>
      <x:c r="F88" t="n">
        <x:f>COUNTIFS('Geniş Ürün Endeksi'!$A$4:$A$1714,A88,'Geniş Ürün Endeksi'!$J$4:$J$1714,"Erişildi")</x:f>
        <x:v>0</x:v>
      </x:c>
      <x:c r="G88" t="n">
        <x:f>COUNTIFS('Geniş Ürün Endeksi'!$A$4:$A$1714,A88,'Geniş Ürün Endeksi'!$H$4:$H$1714,"Erişildi")</x:f>
        <x:v>0</x:v>
      </x:c>
      <x:c r="H88" t="str">
        <x:f>IF(D88&gt;0,"En az bir ürün adı bulundu","Yalnız katalog/mağaza bağlantısı")</x:f>
        <x:v>Yalnız katalog/mağaza bağlantısı</x:v>
      </x:c>
    </x:row>
    <x:row r="89">
      <x:c r="A89" t="str">
        <x:v>Lol Coffee Roasters</x:v>
      </x:c>
      <x:c r="B89" t="str">
        <x:f>INDEX('Geniş Ürün Endeksi'!$C$4:$C$1714,MATCH(A89,'Geniş Ürün Endeksi'!$A$4:$A$1714,0))</x:f>
        <x:v>Kısmi doğrulama</x:v>
      </x:c>
      <x:c r="C89" t="n">
        <x:f>COUNTIF('Geniş Ürün Endeksi'!$A$4:$A$1714,A89)</x:f>
        <x:v>1</x:v>
      </x:c>
      <x:c r="D89" t="n">
        <x:f>COUNTIFS('Geniş Ürün Endeksi'!$A$4:$A$1714,A89,'Geniş Ürün Endeksi'!$D$4:$D$1714,"Ürün kaydı")</x:f>
        <x:v>0</x:v>
      </x:c>
      <x:c r="E89" t="n">
        <x:f>COUNTIFS('Geniş Ürün Endeksi'!$A$4:$A$1714,A89,'Geniş Ürün Endeksi'!$D$4:$D$1714,"Katalog takip kaydı")</x:f>
        <x:v>1</x:v>
      </x:c>
      <x:c r="F89" t="n">
        <x:f>COUNTIFS('Geniş Ürün Endeksi'!$A$4:$A$1714,A89,'Geniş Ürün Endeksi'!$J$4:$J$1714,"Erişildi")</x:f>
        <x:v>0</x:v>
      </x:c>
      <x:c r="G89" t="n">
        <x:f>COUNTIFS('Geniş Ürün Endeksi'!$A$4:$A$1714,A89,'Geniş Ürün Endeksi'!$H$4:$H$1714,"Erişildi")</x:f>
        <x:v>0</x:v>
      </x:c>
      <x:c r="H89" t="str">
        <x:f>IF(D89&gt;0,"En az bir ürün adı bulundu","Yalnız katalog/mağaza bağlantısı")</x:f>
        <x:v>Yalnız katalog/mağaza bağlantısı</x:v>
      </x:c>
    </x:row>
    <x:row r="90">
      <x:c r="A90" t="str">
        <x:v>Mardin Kahve</x:v>
      </x:c>
      <x:c r="B90" t="str">
        <x:f>INDEX('Geniş Ürün Endeksi'!$C$4:$C$1714,MATCH(A90,'Geniş Ürün Endeksi'!$A$4:$A$1714,0))</x:f>
        <x:v>Kısmi doğrulama</x:v>
      </x:c>
      <x:c r="C90" t="n">
        <x:f>COUNTIF('Geniş Ürün Endeksi'!$A$4:$A$1714,A90)</x:f>
        <x:v>1</x:v>
      </x:c>
      <x:c r="D90" t="n">
        <x:f>COUNTIFS('Geniş Ürün Endeksi'!$A$4:$A$1714,A90,'Geniş Ürün Endeksi'!$D$4:$D$1714,"Ürün kaydı")</x:f>
        <x:v>0</x:v>
      </x:c>
      <x:c r="E90" t="n">
        <x:f>COUNTIFS('Geniş Ürün Endeksi'!$A$4:$A$1714,A90,'Geniş Ürün Endeksi'!$D$4:$D$1714,"Katalog takip kaydı")</x:f>
        <x:v>1</x:v>
      </x:c>
      <x:c r="F90" t="n">
        <x:f>COUNTIFS('Geniş Ürün Endeksi'!$A$4:$A$1714,A90,'Geniş Ürün Endeksi'!$J$4:$J$1714,"Erişildi")</x:f>
        <x:v>0</x:v>
      </x:c>
      <x:c r="G90" t="n">
        <x:f>COUNTIFS('Geniş Ürün Endeksi'!$A$4:$A$1714,A90,'Geniş Ürün Endeksi'!$H$4:$H$1714,"Erişildi")</x:f>
        <x:v>0</x:v>
      </x:c>
      <x:c r="H90" t="str">
        <x:f>IF(D90&gt;0,"En az bir ürün adı bulundu","Yalnız katalog/mağaza bağlantısı")</x:f>
        <x:v>Yalnız katalog/mağaza bağlantısı</x:v>
      </x:c>
    </x:row>
    <x:row r="91">
      <x:c r="A91" t="str">
        <x:v>MeetLab Coffee</x:v>
      </x:c>
      <x:c r="B91" t="str">
        <x:f>INDEX('Geniş Ürün Endeksi'!$C$4:$C$1714,MATCH(A91,'Geniş Ürün Endeksi'!$A$4:$A$1714,0))</x:f>
        <x:v>Doğrulandı</x:v>
      </x:c>
      <x:c r="C91" t="n">
        <x:f>COUNTIF('Geniş Ürün Endeksi'!$A$4:$A$1714,A91)</x:f>
        <x:v>1</x:v>
      </x:c>
      <x:c r="D91" t="n">
        <x:f>COUNTIFS('Geniş Ürün Endeksi'!$A$4:$A$1714,A91,'Geniş Ürün Endeksi'!$D$4:$D$1714,"Ürün kaydı")</x:f>
        <x:v>0</x:v>
      </x:c>
      <x:c r="E91" t="n">
        <x:f>COUNTIFS('Geniş Ürün Endeksi'!$A$4:$A$1714,A91,'Geniş Ürün Endeksi'!$D$4:$D$1714,"Katalog takip kaydı")</x:f>
        <x:v>1</x:v>
      </x:c>
      <x:c r="F91" t="n">
        <x:f>COUNTIFS('Geniş Ürün Endeksi'!$A$4:$A$1714,A91,'Geniş Ürün Endeksi'!$J$4:$J$1714,"Erişildi")</x:f>
        <x:v>0</x:v>
      </x:c>
      <x:c r="G91" t="n">
        <x:f>COUNTIFS('Geniş Ürün Endeksi'!$A$4:$A$1714,A91,'Geniş Ürün Endeksi'!$H$4:$H$1714,"Erişildi")</x:f>
        <x:v>0</x:v>
      </x:c>
      <x:c r="H91" t="str">
        <x:f>IF(D91&gt;0,"En az bir ürün adı bulundu","Yalnız katalog/mağaza bağlantısı")</x:f>
        <x:v>Yalnız katalog/mağaza bağlantısı</x:v>
      </x:c>
    </x:row>
    <x:row r="92">
      <x:c r="A92" t="str">
        <x:v>Milestones Coffee</x:v>
      </x:c>
      <x:c r="B92" t="str">
        <x:f>INDEX('Geniş Ürün Endeksi'!$C$4:$C$1714,MATCH(A92,'Geniş Ürün Endeksi'!$A$4:$A$1714,0))</x:f>
        <x:v>Kısmi doğrulama</x:v>
      </x:c>
      <x:c r="C92" t="n">
        <x:f>COUNTIF('Geniş Ürün Endeksi'!$A$4:$A$1714,A92)</x:f>
        <x:v>17</x:v>
      </x:c>
      <x:c r="D92" t="n">
        <x:f>COUNTIFS('Geniş Ürün Endeksi'!$A$4:$A$1714,A92,'Geniş Ürün Endeksi'!$D$4:$D$1714,"Ürün kaydı")</x:f>
        <x:v>17</x:v>
      </x:c>
      <x:c r="E92" t="n">
        <x:f>COUNTIFS('Geniş Ürün Endeksi'!$A$4:$A$1714,A92,'Geniş Ürün Endeksi'!$D$4:$D$1714,"Katalog takip kaydı")</x:f>
        <x:v>0</x:v>
      </x:c>
      <x:c r="F92" t="n">
        <x:f>COUNTIFS('Geniş Ürün Endeksi'!$A$4:$A$1714,A92,'Geniş Ürün Endeksi'!$J$4:$J$1714,"Erişildi")</x:f>
        <x:v>16</x:v>
      </x:c>
      <x:c r="G92" t="n">
        <x:f>COUNTIFS('Geniş Ürün Endeksi'!$A$4:$A$1714,A92,'Geniş Ürün Endeksi'!$H$4:$H$1714,"Erişildi")</x:f>
        <x:v>0</x:v>
      </x:c>
      <x:c r="H92" t="str">
        <x:f>IF(D92&gt;0,"En az bir ürün adı bulundu","Yalnız katalog/mağaza bağlantısı")</x:f>
        <x:v>En az bir ürün adı bulundu</x:v>
      </x:c>
    </x:row>
    <x:row r="93">
      <x:c r="A93" t="str">
        <x:v>MOC Coffee Roastery</x:v>
      </x:c>
      <x:c r="B93" t="str">
        <x:f>INDEX('Geniş Ürün Endeksi'!$C$4:$C$1714,MATCH(A93,'Geniş Ürün Endeksi'!$A$4:$A$1714,0))</x:f>
        <x:v>Kısmi doğrulama</x:v>
      </x:c>
      <x:c r="C93" t="n">
        <x:f>COUNTIF('Geniş Ürün Endeksi'!$A$4:$A$1714,A93)</x:f>
        <x:v>1</x:v>
      </x:c>
      <x:c r="D93" t="n">
        <x:f>COUNTIFS('Geniş Ürün Endeksi'!$A$4:$A$1714,A93,'Geniş Ürün Endeksi'!$D$4:$D$1714,"Ürün kaydı")</x:f>
        <x:v>0</x:v>
      </x:c>
      <x:c r="E93" t="n">
        <x:f>COUNTIFS('Geniş Ürün Endeksi'!$A$4:$A$1714,A93,'Geniş Ürün Endeksi'!$D$4:$D$1714,"Katalog takip kaydı")</x:f>
        <x:v>1</x:v>
      </x:c>
      <x:c r="F93" t="n">
        <x:f>COUNTIFS('Geniş Ürün Endeksi'!$A$4:$A$1714,A93,'Geniş Ürün Endeksi'!$J$4:$J$1714,"Erişildi")</x:f>
        <x:v>0</x:v>
      </x:c>
      <x:c r="G93" t="n">
        <x:f>COUNTIFS('Geniş Ürün Endeksi'!$A$4:$A$1714,A93,'Geniş Ürün Endeksi'!$H$4:$H$1714,"Erişildi")</x:f>
        <x:v>0</x:v>
      </x:c>
      <x:c r="H93" t="str">
        <x:f>IF(D93&gt;0,"En az bir ürün adı bulundu","Yalnız katalog/mağaza bağlantısı")</x:f>
        <x:v>Yalnız katalog/mağaza bağlantısı</x:v>
      </x:c>
    </x:row>
    <x:row r="94">
      <x:c r="A94" t="str">
        <x:v>Mocaco Coffee</x:v>
      </x:c>
      <x:c r="B94" t="str">
        <x:f>INDEX('Geniş Ürün Endeksi'!$C$4:$C$1714,MATCH(A94,'Geniş Ürün Endeksi'!$A$4:$A$1714,0))</x:f>
        <x:v>Kısmi doğrulama</x:v>
      </x:c>
      <x:c r="C94" t="n">
        <x:f>COUNTIF('Geniş Ürün Endeksi'!$A$4:$A$1714,A94)</x:f>
        <x:v>1</x:v>
      </x:c>
      <x:c r="D94" t="n">
        <x:f>COUNTIFS('Geniş Ürün Endeksi'!$A$4:$A$1714,A94,'Geniş Ürün Endeksi'!$D$4:$D$1714,"Ürün kaydı")</x:f>
        <x:v>0</x:v>
      </x:c>
      <x:c r="E94" t="n">
        <x:f>COUNTIFS('Geniş Ürün Endeksi'!$A$4:$A$1714,A94,'Geniş Ürün Endeksi'!$D$4:$D$1714,"Katalog takip kaydı")</x:f>
        <x:v>1</x:v>
      </x:c>
      <x:c r="F94" t="n">
        <x:f>COUNTIFS('Geniş Ürün Endeksi'!$A$4:$A$1714,A94,'Geniş Ürün Endeksi'!$J$4:$J$1714,"Erişildi")</x:f>
        <x:v>0</x:v>
      </x:c>
      <x:c r="G94" t="n">
        <x:f>COUNTIFS('Geniş Ürün Endeksi'!$A$4:$A$1714,A94,'Geniş Ürün Endeksi'!$H$4:$H$1714,"Erişildi")</x:f>
        <x:v>0</x:v>
      </x:c>
      <x:c r="H94" t="str">
        <x:f>IF(D94&gt;0,"En az bir ürün adı bulundu","Yalnız katalog/mağaza bağlantısı")</x:f>
        <x:v>Yalnız katalog/mağaza bağlantısı</x:v>
      </x:c>
    </x:row>
    <x:row r="95">
      <x:c r="A95" t="str">
        <x:v>Molecule Coffee</x:v>
      </x:c>
      <x:c r="B95" t="str">
        <x:f>INDEX('Geniş Ürün Endeksi'!$C$4:$C$1714,MATCH(A95,'Geniş Ürün Endeksi'!$A$4:$A$1714,0))</x:f>
        <x:v>Doğrulandı</x:v>
      </x:c>
      <x:c r="C95" t="n">
        <x:f>COUNTIF('Geniş Ürün Endeksi'!$A$4:$A$1714,A95)</x:f>
        <x:v>25</x:v>
      </x:c>
      <x:c r="D95" t="n">
        <x:f>COUNTIFS('Geniş Ürün Endeksi'!$A$4:$A$1714,A95,'Geniş Ürün Endeksi'!$D$4:$D$1714,"Ürün kaydı")</x:f>
        <x:v>25</x:v>
      </x:c>
      <x:c r="E95" t="n">
        <x:f>COUNTIFS('Geniş Ürün Endeksi'!$A$4:$A$1714,A95,'Geniş Ürün Endeksi'!$D$4:$D$1714,"Katalog takip kaydı")</x:f>
        <x:v>0</x:v>
      </x:c>
      <x:c r="F95" t="n">
        <x:f>COUNTIFS('Geniş Ürün Endeksi'!$A$4:$A$1714,A95,'Geniş Ürün Endeksi'!$J$4:$J$1714,"Erişildi")</x:f>
        <x:v>0</x:v>
      </x:c>
      <x:c r="G95" t="n">
        <x:f>COUNTIFS('Geniş Ürün Endeksi'!$A$4:$A$1714,A95,'Geniş Ürün Endeksi'!$H$4:$H$1714,"Erişildi")</x:f>
        <x:v>0</x:v>
      </x:c>
      <x:c r="H95" t="str">
        <x:f>IF(D95&gt;0,"En az bir ürün adı bulundu","Yalnız katalog/mağaza bağlantısı")</x:f>
        <x:v>En az bir ürün adı bulundu</x:v>
      </x:c>
    </x:row>
    <x:row r="96">
      <x:c r="A96" t="str">
        <x:v>Mona Coffee</x:v>
      </x:c>
      <x:c r="B96" t="str">
        <x:f>INDEX('Geniş Ürün Endeksi'!$C$4:$C$1714,MATCH(A96,'Geniş Ürün Endeksi'!$A$4:$A$1714,0))</x:f>
        <x:v>Kısmi doğrulama</x:v>
      </x:c>
      <x:c r="C96" t="n">
        <x:f>COUNTIF('Geniş Ürün Endeksi'!$A$4:$A$1714,A96)</x:f>
        <x:v>1</x:v>
      </x:c>
      <x:c r="D96" t="n">
        <x:f>COUNTIFS('Geniş Ürün Endeksi'!$A$4:$A$1714,A96,'Geniş Ürün Endeksi'!$D$4:$D$1714,"Ürün kaydı")</x:f>
        <x:v>0</x:v>
      </x:c>
      <x:c r="E96" t="n">
        <x:f>COUNTIFS('Geniş Ürün Endeksi'!$A$4:$A$1714,A96,'Geniş Ürün Endeksi'!$D$4:$D$1714,"Katalog takip kaydı")</x:f>
        <x:v>1</x:v>
      </x:c>
      <x:c r="F96" t="n">
        <x:f>COUNTIFS('Geniş Ürün Endeksi'!$A$4:$A$1714,A96,'Geniş Ürün Endeksi'!$J$4:$J$1714,"Erişildi")</x:f>
        <x:v>0</x:v>
      </x:c>
      <x:c r="G96" t="n">
        <x:f>COUNTIFS('Geniş Ürün Endeksi'!$A$4:$A$1714,A96,'Geniş Ürün Endeksi'!$H$4:$H$1714,"Erişildi")</x:f>
        <x:v>0</x:v>
      </x:c>
      <x:c r="H96" t="str">
        <x:f>IF(D96&gt;0,"En az bir ürün adı bulundu","Yalnız katalog/mağaza bağlantısı")</x:f>
        <x:v>Yalnız katalog/mağaza bağlantısı</x:v>
      </x:c>
    </x:row>
    <x:row r="97">
      <x:c r="A97" t="str">
        <x:v>Montag Coffee Roasters</x:v>
      </x:c>
      <x:c r="B97" t="str">
        <x:f>INDEX('Geniş Ürün Endeksi'!$C$4:$C$1714,MATCH(A97,'Geniş Ürün Endeksi'!$A$4:$A$1714,0))</x:f>
        <x:v>Doğrulandı</x:v>
      </x:c>
      <x:c r="C97" t="n">
        <x:f>COUNTIF('Geniş Ürün Endeksi'!$A$4:$A$1714,A97)</x:f>
        <x:v>35</x:v>
      </x:c>
      <x:c r="D97" t="n">
        <x:f>COUNTIFS('Geniş Ürün Endeksi'!$A$4:$A$1714,A97,'Geniş Ürün Endeksi'!$D$4:$D$1714,"Ürün kaydı")</x:f>
        <x:v>35</x:v>
      </x:c>
      <x:c r="E97" t="n">
        <x:f>COUNTIFS('Geniş Ürün Endeksi'!$A$4:$A$1714,A97,'Geniş Ürün Endeksi'!$D$4:$D$1714,"Katalog takip kaydı")</x:f>
        <x:v>0</x:v>
      </x:c>
      <x:c r="F97" t="n">
        <x:f>COUNTIFS('Geniş Ürün Endeksi'!$A$4:$A$1714,A97,'Geniş Ürün Endeksi'!$J$4:$J$1714,"Erişildi")</x:f>
        <x:v>33</x:v>
      </x:c>
      <x:c r="G97" t="n">
        <x:f>COUNTIFS('Geniş Ürün Endeksi'!$A$4:$A$1714,A97,'Geniş Ürün Endeksi'!$H$4:$H$1714,"Erişildi")</x:f>
        <x:v>32</x:v>
      </x:c>
      <x:c r="H97" t="str">
        <x:f>IF(D97&gt;0,"En az bir ürün adı bulundu","Yalnız katalog/mağaza bağlantısı")</x:f>
        <x:v>En az bir ürün adı bulundu</x:v>
      </x:c>
    </x:row>
    <x:row r="98">
      <x:c r="A98" t="str">
        <x:v>Nish Kahve</x:v>
      </x:c>
      <x:c r="B98" t="str">
        <x:f>INDEX('Geniş Ürün Endeksi'!$C$4:$C$1714,MATCH(A98,'Geniş Ürün Endeksi'!$A$4:$A$1714,0))</x:f>
        <x:v>Kısmi doğrulama</x:v>
      </x:c>
      <x:c r="C98" t="n">
        <x:f>COUNTIF('Geniş Ürün Endeksi'!$A$4:$A$1714,A98)</x:f>
        <x:v>1</x:v>
      </x:c>
      <x:c r="D98" t="n">
        <x:f>COUNTIFS('Geniş Ürün Endeksi'!$A$4:$A$1714,A98,'Geniş Ürün Endeksi'!$D$4:$D$1714,"Ürün kaydı")</x:f>
        <x:v>0</x:v>
      </x:c>
      <x:c r="E98" t="n">
        <x:f>COUNTIFS('Geniş Ürün Endeksi'!$A$4:$A$1714,A98,'Geniş Ürün Endeksi'!$D$4:$D$1714,"Katalog takip kaydı")</x:f>
        <x:v>1</x:v>
      </x:c>
      <x:c r="F98" t="n">
        <x:f>COUNTIFS('Geniş Ürün Endeksi'!$A$4:$A$1714,A98,'Geniş Ürün Endeksi'!$J$4:$J$1714,"Erişildi")</x:f>
        <x:v>0</x:v>
      </x:c>
      <x:c r="G98" t="n">
        <x:f>COUNTIFS('Geniş Ürün Endeksi'!$A$4:$A$1714,A98,'Geniş Ürün Endeksi'!$H$4:$H$1714,"Erişildi")</x:f>
        <x:v>0</x:v>
      </x:c>
      <x:c r="H98" t="str">
        <x:f>IF(D98&gt;0,"En az bir ürün adı bulundu","Yalnız katalog/mağaza bağlantısı")</x:f>
        <x:v>Yalnız katalog/mağaza bağlantısı</x:v>
      </x:c>
    </x:row>
    <x:row r="99">
      <x:c r="A99" t="str">
        <x:v>Nitka Coffee</x:v>
      </x:c>
      <x:c r="B99" t="str">
        <x:f>INDEX('Geniş Ürün Endeksi'!$C$4:$C$1714,MATCH(A99,'Geniş Ürün Endeksi'!$A$4:$A$1714,0))</x:f>
        <x:v>Kısmi doğrulama</x:v>
      </x:c>
      <x:c r="C99" t="n">
        <x:f>COUNTIF('Geniş Ürün Endeksi'!$A$4:$A$1714,A99)</x:f>
        <x:v>1</x:v>
      </x:c>
      <x:c r="D99" t="n">
        <x:f>COUNTIFS('Geniş Ürün Endeksi'!$A$4:$A$1714,A99,'Geniş Ürün Endeksi'!$D$4:$D$1714,"Ürün kaydı")</x:f>
        <x:v>0</x:v>
      </x:c>
      <x:c r="E99" t="n">
        <x:f>COUNTIFS('Geniş Ürün Endeksi'!$A$4:$A$1714,A99,'Geniş Ürün Endeksi'!$D$4:$D$1714,"Katalog takip kaydı")</x:f>
        <x:v>1</x:v>
      </x:c>
      <x:c r="F99" t="n">
        <x:f>COUNTIFS('Geniş Ürün Endeksi'!$A$4:$A$1714,A99,'Geniş Ürün Endeksi'!$J$4:$J$1714,"Erişildi")</x:f>
        <x:v>0</x:v>
      </x:c>
      <x:c r="G99" t="n">
        <x:f>COUNTIFS('Geniş Ürün Endeksi'!$A$4:$A$1714,A99,'Geniş Ürün Endeksi'!$H$4:$H$1714,"Erişildi")</x:f>
        <x:v>0</x:v>
      </x:c>
      <x:c r="H99" t="str">
        <x:f>IF(D99&gt;0,"En az bir ürün adı bulundu","Yalnız katalog/mağaza bağlantısı")</x:f>
        <x:v>Yalnız katalog/mağaza bağlantısı</x:v>
      </x:c>
    </x:row>
    <x:row r="100">
      <x:c r="A100" t="str">
        <x:v>Noite Coffee</x:v>
      </x:c>
      <x:c r="B100" t="str">
        <x:f>INDEX('Geniş Ürün Endeksi'!$C$4:$C$1714,MATCH(A100,'Geniş Ürün Endeksi'!$A$4:$A$1714,0))</x:f>
        <x:v>Doğrulandı</x:v>
      </x:c>
      <x:c r="C100" t="n">
        <x:f>COUNTIF('Geniş Ürün Endeksi'!$A$4:$A$1714,A100)</x:f>
        <x:v>5</x:v>
      </x:c>
      <x:c r="D100" t="n">
        <x:f>COUNTIFS('Geniş Ürün Endeksi'!$A$4:$A$1714,A100,'Geniş Ürün Endeksi'!$D$4:$D$1714,"Ürün kaydı")</x:f>
        <x:v>5</x:v>
      </x:c>
      <x:c r="E100" t="n">
        <x:f>COUNTIFS('Geniş Ürün Endeksi'!$A$4:$A$1714,A100,'Geniş Ürün Endeksi'!$D$4:$D$1714,"Katalog takip kaydı")</x:f>
        <x:v>0</x:v>
      </x:c>
      <x:c r="F100" t="n">
        <x:f>COUNTIFS('Geniş Ürün Endeksi'!$A$4:$A$1714,A100,'Geniş Ürün Endeksi'!$J$4:$J$1714,"Erişildi")</x:f>
        <x:v>0</x:v>
      </x:c>
      <x:c r="G100" t="n">
        <x:f>COUNTIFS('Geniş Ürün Endeksi'!$A$4:$A$1714,A100,'Geniş Ürün Endeksi'!$H$4:$H$1714,"Erişildi")</x:f>
        <x:v>0</x:v>
      </x:c>
      <x:c r="H100" t="str">
        <x:f>IF(D100&gt;0,"En az bir ürün adı bulundu","Yalnız katalog/mağaza bağlantısı")</x:f>
        <x:v>En az bir ürün adı bulundu</x:v>
      </x:c>
    </x:row>
    <x:row r="101">
      <x:c r="A101" t="str">
        <x:v>Nok Coffee</x:v>
      </x:c>
      <x:c r="B101" t="str">
        <x:f>INDEX('Geniş Ürün Endeksi'!$C$4:$C$1714,MATCH(A101,'Geniş Ürün Endeksi'!$A$4:$A$1714,0))</x:f>
        <x:v>Kısmi doğrulama</x:v>
      </x:c>
      <x:c r="C101" t="n">
        <x:f>COUNTIF('Geniş Ürün Endeksi'!$A$4:$A$1714,A101)</x:f>
        <x:v>56</x:v>
      </x:c>
      <x:c r="D101" t="n">
        <x:f>COUNTIFS('Geniş Ürün Endeksi'!$A$4:$A$1714,A101,'Geniş Ürün Endeksi'!$D$4:$D$1714,"Ürün kaydı")</x:f>
        <x:v>56</x:v>
      </x:c>
      <x:c r="E101" t="n">
        <x:f>COUNTIFS('Geniş Ürün Endeksi'!$A$4:$A$1714,A101,'Geniş Ürün Endeksi'!$D$4:$D$1714,"Katalog takip kaydı")</x:f>
        <x:v>0</x:v>
      </x:c>
      <x:c r="F101" t="n">
        <x:f>COUNTIFS('Geniş Ürün Endeksi'!$A$4:$A$1714,A101,'Geniş Ürün Endeksi'!$J$4:$J$1714,"Erişildi")</x:f>
        <x:v>29</x:v>
      </x:c>
      <x:c r="G101" t="n">
        <x:f>COUNTIFS('Geniş Ürün Endeksi'!$A$4:$A$1714,A101,'Geniş Ürün Endeksi'!$H$4:$H$1714,"Erişildi")</x:f>
        <x:v>44</x:v>
      </x:c>
      <x:c r="H101" t="str">
        <x:f>IF(D101&gt;0,"En az bir ürün adı bulundu","Yalnız katalog/mağaza bağlantısı")</x:f>
        <x:v>En az bir ürün adı bulundu</x:v>
      </x:c>
    </x:row>
    <x:row r="102">
      <x:c r="A102" t="str">
        <x:v>Norm Coffee</x:v>
      </x:c>
      <x:c r="B102" t="str">
        <x:f>INDEX('Geniş Ürün Endeksi'!$C$4:$C$1714,MATCH(A102,'Geniş Ürün Endeksi'!$A$4:$A$1714,0))</x:f>
        <x:v>Kısmi doğrulama</x:v>
      </x:c>
      <x:c r="C102" t="n">
        <x:f>COUNTIF('Geniş Ürün Endeksi'!$A$4:$A$1714,A102)</x:f>
        <x:v>1</x:v>
      </x:c>
      <x:c r="D102" t="n">
        <x:f>COUNTIFS('Geniş Ürün Endeksi'!$A$4:$A$1714,A102,'Geniş Ürün Endeksi'!$D$4:$D$1714,"Ürün kaydı")</x:f>
        <x:v>0</x:v>
      </x:c>
      <x:c r="E102" t="n">
        <x:f>COUNTIFS('Geniş Ürün Endeksi'!$A$4:$A$1714,A102,'Geniş Ürün Endeksi'!$D$4:$D$1714,"Katalog takip kaydı")</x:f>
        <x:v>1</x:v>
      </x:c>
      <x:c r="F102" t="n">
        <x:f>COUNTIFS('Geniş Ürün Endeksi'!$A$4:$A$1714,A102,'Geniş Ürün Endeksi'!$J$4:$J$1714,"Erişildi")</x:f>
        <x:v>0</x:v>
      </x:c>
      <x:c r="G102" t="n">
        <x:f>COUNTIFS('Geniş Ürün Endeksi'!$A$4:$A$1714,A102,'Geniş Ürün Endeksi'!$H$4:$H$1714,"Erişildi")</x:f>
        <x:v>0</x:v>
      </x:c>
      <x:c r="H102" t="str">
        <x:f>IF(D102&gt;0,"En az bir ürün adı bulundu","Yalnız katalog/mağaza bağlantısı")</x:f>
        <x:v>Yalnız katalog/mağaza bağlantısı</x:v>
      </x:c>
    </x:row>
    <x:row r="103">
      <x:c r="A103" t="str">
        <x:v>Null Coffee Roasters</x:v>
      </x:c>
      <x:c r="B103" t="str">
        <x:f>INDEX('Geniş Ürün Endeksi'!$C$4:$C$1714,MATCH(A103,'Geniş Ürün Endeksi'!$A$4:$A$1714,0))</x:f>
        <x:v>Doğrulandı</x:v>
      </x:c>
      <x:c r="C103" t="n">
        <x:f>COUNTIF('Geniş Ürün Endeksi'!$A$4:$A$1714,A103)</x:f>
        <x:v>45</x:v>
      </x:c>
      <x:c r="D103" t="n">
        <x:f>COUNTIFS('Geniş Ürün Endeksi'!$A$4:$A$1714,A103,'Geniş Ürün Endeksi'!$D$4:$D$1714,"Ürün kaydı")</x:f>
        <x:v>45</x:v>
      </x:c>
      <x:c r="E103" t="n">
        <x:f>COUNTIFS('Geniş Ürün Endeksi'!$A$4:$A$1714,A103,'Geniş Ürün Endeksi'!$D$4:$D$1714,"Katalog takip kaydı")</x:f>
        <x:v>0</x:v>
      </x:c>
      <x:c r="F103" t="n">
        <x:f>COUNTIFS('Geniş Ürün Endeksi'!$A$4:$A$1714,A103,'Geniş Ürün Endeksi'!$J$4:$J$1714,"Erişildi")</x:f>
        <x:v>45</x:v>
      </x:c>
      <x:c r="G103" t="n">
        <x:f>COUNTIFS('Geniş Ürün Endeksi'!$A$4:$A$1714,A103,'Geniş Ürün Endeksi'!$H$4:$H$1714,"Erişildi")</x:f>
        <x:v>45</x:v>
      </x:c>
      <x:c r="H103" t="str">
        <x:f>IF(D103&gt;0,"En az bir ürün adı bulundu","Yalnız katalog/mağaza bağlantısı")</x:f>
        <x:v>En az bir ürün adı bulundu</x:v>
      </x:c>
    </x:row>
    <x:row r="104">
      <x:c r="A104" t="str">
        <x:v>Octagon Coffee</x:v>
      </x:c>
      <x:c r="B104" t="str">
        <x:f>INDEX('Geniş Ürün Endeksi'!$C$4:$C$1714,MATCH(A104,'Geniş Ürün Endeksi'!$A$4:$A$1714,0))</x:f>
        <x:v>Kısmi doğrulama</x:v>
      </x:c>
      <x:c r="C104" t="n">
        <x:f>COUNTIF('Geniş Ürün Endeksi'!$A$4:$A$1714,A104)</x:f>
        <x:v>1</x:v>
      </x:c>
      <x:c r="D104" t="n">
        <x:f>COUNTIFS('Geniş Ürün Endeksi'!$A$4:$A$1714,A104,'Geniş Ürün Endeksi'!$D$4:$D$1714,"Ürün kaydı")</x:f>
        <x:v>0</x:v>
      </x:c>
      <x:c r="E104" t="n">
        <x:f>COUNTIFS('Geniş Ürün Endeksi'!$A$4:$A$1714,A104,'Geniş Ürün Endeksi'!$D$4:$D$1714,"Katalog takip kaydı")</x:f>
        <x:v>1</x:v>
      </x:c>
      <x:c r="F104" t="n">
        <x:f>COUNTIFS('Geniş Ürün Endeksi'!$A$4:$A$1714,A104,'Geniş Ürün Endeksi'!$J$4:$J$1714,"Erişildi")</x:f>
        <x:v>0</x:v>
      </x:c>
      <x:c r="G104" t="n">
        <x:f>COUNTIFS('Geniş Ürün Endeksi'!$A$4:$A$1714,A104,'Geniş Ürün Endeksi'!$H$4:$H$1714,"Erişildi")</x:f>
        <x:v>0</x:v>
      </x:c>
      <x:c r="H104" t="str">
        <x:f>IF(D104&gt;0,"En az bir ürün adı bulundu","Yalnız katalog/mağaza bağlantısı")</x:f>
        <x:v>Yalnız katalog/mağaza bağlantısı</x:v>
      </x:c>
    </x:row>
    <x:row r="105">
      <x:c r="A105" t="str">
        <x:v>Old Java Coffee Roasters</x:v>
      </x:c>
      <x:c r="B105" t="str">
        <x:f>INDEX('Geniş Ürün Endeksi'!$C$4:$C$1714,MATCH(A105,'Geniş Ürün Endeksi'!$A$4:$A$1714,0))</x:f>
        <x:v>Doğrulandı</x:v>
      </x:c>
      <x:c r="C105" t="n">
        <x:f>COUNTIF('Geniş Ürün Endeksi'!$A$4:$A$1714,A105)</x:f>
        <x:v>3</x:v>
      </x:c>
      <x:c r="D105" t="n">
        <x:f>COUNTIFS('Geniş Ürün Endeksi'!$A$4:$A$1714,A105,'Geniş Ürün Endeksi'!$D$4:$D$1714,"Ürün kaydı")</x:f>
        <x:v>3</x:v>
      </x:c>
      <x:c r="E105" t="n">
        <x:f>COUNTIFS('Geniş Ürün Endeksi'!$A$4:$A$1714,A105,'Geniş Ürün Endeksi'!$D$4:$D$1714,"Katalog takip kaydı")</x:f>
        <x:v>0</x:v>
      </x:c>
      <x:c r="F105" t="n">
        <x:f>COUNTIFS('Geniş Ürün Endeksi'!$A$4:$A$1714,A105,'Geniş Ürün Endeksi'!$J$4:$J$1714,"Erişildi")</x:f>
        <x:v>3</x:v>
      </x:c>
      <x:c r="G105" t="n">
        <x:f>COUNTIFS('Geniş Ürün Endeksi'!$A$4:$A$1714,A105,'Geniş Ürün Endeksi'!$H$4:$H$1714,"Erişildi")</x:f>
        <x:v>3</x:v>
      </x:c>
      <x:c r="H105" t="str">
        <x:f>IF(D105&gt;0,"En az bir ürün adı bulundu","Yalnız katalog/mağaza bağlantısı")</x:f>
        <x:v>En az bir ürün adı bulundu</x:v>
      </x:c>
    </x:row>
    <x:row r="106">
      <x:c r="A106" t="str">
        <x:v>Old School Roastery</x:v>
      </x:c>
      <x:c r="B106" t="str">
        <x:f>INDEX('Geniş Ürün Endeksi'!$C$4:$C$1714,MATCH(A106,'Geniş Ürün Endeksi'!$A$4:$A$1714,0))</x:f>
        <x:v>Kısmi doğrulama</x:v>
      </x:c>
      <x:c r="C106" t="n">
        <x:f>COUNTIF('Geniş Ürün Endeksi'!$A$4:$A$1714,A106)</x:f>
        <x:v>1</x:v>
      </x:c>
      <x:c r="D106" t="n">
        <x:f>COUNTIFS('Geniş Ürün Endeksi'!$A$4:$A$1714,A106,'Geniş Ürün Endeksi'!$D$4:$D$1714,"Ürün kaydı")</x:f>
        <x:v>0</x:v>
      </x:c>
      <x:c r="E106" t="n">
        <x:f>COUNTIFS('Geniş Ürün Endeksi'!$A$4:$A$1714,A106,'Geniş Ürün Endeksi'!$D$4:$D$1714,"Katalog takip kaydı")</x:f>
        <x:v>1</x:v>
      </x:c>
      <x:c r="F106" t="n">
        <x:f>COUNTIFS('Geniş Ürün Endeksi'!$A$4:$A$1714,A106,'Geniş Ürün Endeksi'!$J$4:$J$1714,"Erişildi")</x:f>
        <x:v>0</x:v>
      </x:c>
      <x:c r="G106" t="n">
        <x:f>COUNTIFS('Geniş Ürün Endeksi'!$A$4:$A$1714,A106,'Geniş Ürün Endeksi'!$H$4:$H$1714,"Erişildi")</x:f>
        <x:v>0</x:v>
      </x:c>
      <x:c r="H106" t="str">
        <x:f>IF(D106&gt;0,"En az bir ürün adı bulundu","Yalnız katalog/mağaza bağlantısı")</x:f>
        <x:v>Yalnız katalog/mağaza bağlantısı</x:v>
      </x:c>
    </x:row>
    <x:row r="107">
      <x:c r="A107" t="str">
        <x:v>Ordinarius Coffee Roastery</x:v>
      </x:c>
      <x:c r="B107" t="str">
        <x:f>INDEX('Geniş Ürün Endeksi'!$C$4:$C$1714,MATCH(A107,'Geniş Ürün Endeksi'!$A$4:$A$1714,0))</x:f>
        <x:v>Kısmi doğrulama</x:v>
      </x:c>
      <x:c r="C107" t="n">
        <x:f>COUNTIF('Geniş Ürün Endeksi'!$A$4:$A$1714,A107)</x:f>
        <x:v>8</x:v>
      </x:c>
      <x:c r="D107" t="n">
        <x:f>COUNTIFS('Geniş Ürün Endeksi'!$A$4:$A$1714,A107,'Geniş Ürün Endeksi'!$D$4:$D$1714,"Ürün kaydı")</x:f>
        <x:v>8</x:v>
      </x:c>
      <x:c r="E107" t="n">
        <x:f>COUNTIFS('Geniş Ürün Endeksi'!$A$4:$A$1714,A107,'Geniş Ürün Endeksi'!$D$4:$D$1714,"Katalog takip kaydı")</x:f>
        <x:v>0</x:v>
      </x:c>
      <x:c r="F107" t="n">
        <x:f>COUNTIFS('Geniş Ürün Endeksi'!$A$4:$A$1714,A107,'Geniş Ürün Endeksi'!$J$4:$J$1714,"Erişildi")</x:f>
        <x:v>8</x:v>
      </x:c>
      <x:c r="G107" t="n">
        <x:f>COUNTIFS('Geniş Ürün Endeksi'!$A$4:$A$1714,A107,'Geniş Ürün Endeksi'!$H$4:$H$1714,"Erişildi")</x:f>
        <x:v>1</x:v>
      </x:c>
      <x:c r="H107" t="str">
        <x:f>IF(D107&gt;0,"En az bir ürün adı bulundu","Yalnız katalog/mağaza bağlantısı")</x:f>
        <x:v>En az bir ürün adı bulundu</x:v>
      </x:c>
    </x:row>
    <x:row r="108">
      <x:c r="A108" t="str">
        <x:v>Orkun Üstel</x:v>
      </x:c>
      <x:c r="B108" t="str">
        <x:f>INDEX('Geniş Ürün Endeksi'!$C$4:$C$1714,MATCH(A108,'Geniş Ürün Endeksi'!$A$4:$A$1714,0))</x:f>
        <x:v>Kısmi doğrulama</x:v>
      </x:c>
      <x:c r="C108" t="n">
        <x:f>COUNTIF('Geniş Ürün Endeksi'!$A$4:$A$1714,A108)</x:f>
        <x:v>7</x:v>
      </x:c>
      <x:c r="D108" t="n">
        <x:f>COUNTIFS('Geniş Ürün Endeksi'!$A$4:$A$1714,A108,'Geniş Ürün Endeksi'!$D$4:$D$1714,"Ürün kaydı")</x:f>
        <x:v>7</x:v>
      </x:c>
      <x:c r="E108" t="n">
        <x:f>COUNTIFS('Geniş Ürün Endeksi'!$A$4:$A$1714,A108,'Geniş Ürün Endeksi'!$D$4:$D$1714,"Katalog takip kaydı")</x:f>
        <x:v>0</x:v>
      </x:c>
      <x:c r="F108" t="n">
        <x:f>COUNTIFS('Geniş Ürün Endeksi'!$A$4:$A$1714,A108,'Geniş Ürün Endeksi'!$J$4:$J$1714,"Erişildi")</x:f>
        <x:v>7</x:v>
      </x:c>
      <x:c r="G108" t="n">
        <x:f>COUNTIFS('Geniş Ürün Endeksi'!$A$4:$A$1714,A108,'Geniş Ürün Endeksi'!$H$4:$H$1714,"Erişildi")</x:f>
        <x:v>0</x:v>
      </x:c>
      <x:c r="H108" t="str">
        <x:f>IF(D108&gt;0,"En az bir ürün adı bulundu","Yalnız katalog/mağaza bağlantısı")</x:f>
        <x:v>En az bir ürün adı bulundu</x:v>
      </x:c>
    </x:row>
    <x:row r="109">
      <x:c r="A109" t="str">
        <x:v>Osso Osmanlı Kahvesi</x:v>
      </x:c>
      <x:c r="B109" t="str">
        <x:f>INDEX('Geniş Ürün Endeksi'!$C$4:$C$1714,MATCH(A109,'Geniş Ürün Endeksi'!$A$4:$A$1714,0))</x:f>
        <x:v>Kısmi doğrulama</x:v>
      </x:c>
      <x:c r="C109" t="n">
        <x:f>COUNTIF('Geniş Ürün Endeksi'!$A$4:$A$1714,A109)</x:f>
        <x:v>1</x:v>
      </x:c>
      <x:c r="D109" t="n">
        <x:f>COUNTIFS('Geniş Ürün Endeksi'!$A$4:$A$1714,A109,'Geniş Ürün Endeksi'!$D$4:$D$1714,"Ürün kaydı")</x:f>
        <x:v>0</x:v>
      </x:c>
      <x:c r="E109" t="n">
        <x:f>COUNTIFS('Geniş Ürün Endeksi'!$A$4:$A$1714,A109,'Geniş Ürün Endeksi'!$D$4:$D$1714,"Katalog takip kaydı")</x:f>
        <x:v>1</x:v>
      </x:c>
      <x:c r="F109" t="n">
        <x:f>COUNTIFS('Geniş Ürün Endeksi'!$A$4:$A$1714,A109,'Geniş Ürün Endeksi'!$J$4:$J$1714,"Erişildi")</x:f>
        <x:v>0</x:v>
      </x:c>
      <x:c r="G109" t="n">
        <x:f>COUNTIFS('Geniş Ürün Endeksi'!$A$4:$A$1714,A109,'Geniş Ürün Endeksi'!$H$4:$H$1714,"Erişildi")</x:f>
        <x:v>0</x:v>
      </x:c>
      <x:c r="H109" t="str">
        <x:f>IF(D109&gt;0,"En az bir ürün adı bulundu","Yalnız katalog/mağaza bağlantısı")</x:f>
        <x:v>Yalnız katalog/mağaza bağlantısı</x:v>
      </x:c>
    </x:row>
    <x:row r="110">
      <x:c r="A110" t="str">
        <x:v>Oze Kahve</x:v>
      </x:c>
      <x:c r="B110" t="str">
        <x:f>INDEX('Geniş Ürün Endeksi'!$C$4:$C$1714,MATCH(A110,'Geniş Ürün Endeksi'!$A$4:$A$1714,0))</x:f>
        <x:v>Doğrulandı</x:v>
      </x:c>
      <x:c r="C110" t="n">
        <x:f>COUNTIF('Geniş Ürün Endeksi'!$A$4:$A$1714,A110)</x:f>
        <x:v>60</x:v>
      </x:c>
      <x:c r="D110" t="n">
        <x:f>COUNTIFS('Geniş Ürün Endeksi'!$A$4:$A$1714,A110,'Geniş Ürün Endeksi'!$D$4:$D$1714,"Ürün kaydı")</x:f>
        <x:v>60</x:v>
      </x:c>
      <x:c r="E110" t="n">
        <x:f>COUNTIFS('Geniş Ürün Endeksi'!$A$4:$A$1714,A110,'Geniş Ürün Endeksi'!$D$4:$D$1714,"Katalog takip kaydı")</x:f>
        <x:v>0</x:v>
      </x:c>
      <x:c r="F110" t="n">
        <x:f>COUNTIFS('Geniş Ürün Endeksi'!$A$4:$A$1714,A110,'Geniş Ürün Endeksi'!$J$4:$J$1714,"Erişildi")</x:f>
        <x:v>6</x:v>
      </x:c>
      <x:c r="G110" t="n">
        <x:f>COUNTIFS('Geniş Ürün Endeksi'!$A$4:$A$1714,A110,'Geniş Ürün Endeksi'!$H$4:$H$1714,"Erişildi")</x:f>
        <x:v>42</x:v>
      </x:c>
      <x:c r="H110" t="str">
        <x:f>IF(D110&gt;0,"En az bir ürün adı bulundu","Yalnız katalog/mağaza bağlantısı")</x:f>
        <x:v>En az bir ürün adı bulundu</x:v>
      </x:c>
    </x:row>
    <x:row r="111">
      <x:c r="A111" t="str">
        <x:v>Pangea Coffee</x:v>
      </x:c>
      <x:c r="B111" t="str">
        <x:f>INDEX('Geniş Ürün Endeksi'!$C$4:$C$1714,MATCH(A111,'Geniş Ürün Endeksi'!$A$4:$A$1714,0))</x:f>
        <x:v>Kısmi doğrulama</x:v>
      </x:c>
      <x:c r="C111" t="n">
        <x:f>COUNTIF('Geniş Ürün Endeksi'!$A$4:$A$1714,A111)</x:f>
        <x:v>1</x:v>
      </x:c>
      <x:c r="D111" t="n">
        <x:f>COUNTIFS('Geniş Ürün Endeksi'!$A$4:$A$1714,A111,'Geniş Ürün Endeksi'!$D$4:$D$1714,"Ürün kaydı")</x:f>
        <x:v>0</x:v>
      </x:c>
      <x:c r="E111" t="n">
        <x:f>COUNTIFS('Geniş Ürün Endeksi'!$A$4:$A$1714,A111,'Geniş Ürün Endeksi'!$D$4:$D$1714,"Katalog takip kaydı")</x:f>
        <x:v>1</x:v>
      </x:c>
      <x:c r="F111" t="n">
        <x:f>COUNTIFS('Geniş Ürün Endeksi'!$A$4:$A$1714,A111,'Geniş Ürün Endeksi'!$J$4:$J$1714,"Erişildi")</x:f>
        <x:v>0</x:v>
      </x:c>
      <x:c r="G111" t="n">
        <x:f>COUNTIFS('Geniş Ürün Endeksi'!$A$4:$A$1714,A111,'Geniş Ürün Endeksi'!$H$4:$H$1714,"Erişildi")</x:f>
        <x:v>0</x:v>
      </x:c>
      <x:c r="H111" t="str">
        <x:f>IF(D111&gt;0,"En az bir ürün adı bulundu","Yalnız katalog/mağaza bağlantısı")</x:f>
        <x:v>Yalnız katalog/mağaza bağlantısı</x:v>
      </x:c>
    </x:row>
    <x:row r="112">
      <x:c r="A112" t="str">
        <x:v>Paper Coffee &amp; Chocolate</x:v>
      </x:c>
      <x:c r="B112" t="str">
        <x:f>INDEX('Geniş Ürün Endeksi'!$C$4:$C$1714,MATCH(A112,'Geniş Ürün Endeksi'!$A$4:$A$1714,0))</x:f>
        <x:v>Kısmi doğrulama</x:v>
      </x:c>
      <x:c r="C112" t="n">
        <x:f>COUNTIF('Geniş Ürün Endeksi'!$A$4:$A$1714,A112)</x:f>
        <x:v>31</x:v>
      </x:c>
      <x:c r="D112" t="n">
        <x:f>COUNTIFS('Geniş Ürün Endeksi'!$A$4:$A$1714,A112,'Geniş Ürün Endeksi'!$D$4:$D$1714,"Ürün kaydı")</x:f>
        <x:v>31</x:v>
      </x:c>
      <x:c r="E112" t="n">
        <x:f>COUNTIFS('Geniş Ürün Endeksi'!$A$4:$A$1714,A112,'Geniş Ürün Endeksi'!$D$4:$D$1714,"Katalog takip kaydı")</x:f>
        <x:v>0</x:v>
      </x:c>
      <x:c r="F112" t="n">
        <x:f>COUNTIFS('Geniş Ürün Endeksi'!$A$4:$A$1714,A112,'Geniş Ürün Endeksi'!$J$4:$J$1714,"Erişildi")</x:f>
        <x:v>31</x:v>
      </x:c>
      <x:c r="G112" t="n">
        <x:f>COUNTIFS('Geniş Ürün Endeksi'!$A$4:$A$1714,A112,'Geniş Ürün Endeksi'!$H$4:$H$1714,"Erişildi")</x:f>
        <x:v>10</x:v>
      </x:c>
      <x:c r="H112" t="str">
        <x:f>IF(D112&gt;0,"En az bir ürün adı bulundu","Yalnız katalog/mağaza bağlantısı")</x:f>
        <x:v>En az bir ürün adı bulundu</x:v>
      </x:c>
    </x:row>
    <x:row r="113">
      <x:c r="A113" t="str">
        <x:v>Parsa Coffee Roasters</x:v>
      </x:c>
      <x:c r="B113" t="str">
        <x:f>INDEX('Geniş Ürün Endeksi'!$C$4:$C$1714,MATCH(A113,'Geniş Ürün Endeksi'!$A$4:$A$1714,0))</x:f>
        <x:v>Doğrulandı</x:v>
      </x:c>
      <x:c r="C113" t="n">
        <x:f>COUNTIF('Geniş Ürün Endeksi'!$A$4:$A$1714,A113)</x:f>
        <x:v>34</x:v>
      </x:c>
      <x:c r="D113" t="n">
        <x:f>COUNTIFS('Geniş Ürün Endeksi'!$A$4:$A$1714,A113,'Geniş Ürün Endeksi'!$D$4:$D$1714,"Ürün kaydı")</x:f>
        <x:v>34</x:v>
      </x:c>
      <x:c r="E113" t="n">
        <x:f>COUNTIFS('Geniş Ürün Endeksi'!$A$4:$A$1714,A113,'Geniş Ürün Endeksi'!$D$4:$D$1714,"Katalog takip kaydı")</x:f>
        <x:v>0</x:v>
      </x:c>
      <x:c r="F113" t="n">
        <x:f>COUNTIFS('Geniş Ürün Endeksi'!$A$4:$A$1714,A113,'Geniş Ürün Endeksi'!$J$4:$J$1714,"Erişildi")</x:f>
        <x:v>34</x:v>
      </x:c>
      <x:c r="G113" t="n">
        <x:f>COUNTIFS('Geniş Ürün Endeksi'!$A$4:$A$1714,A113,'Geniş Ürün Endeksi'!$H$4:$H$1714,"Erişildi")</x:f>
        <x:v>1</x:v>
      </x:c>
      <x:c r="H113" t="str">
        <x:f>IF(D113&gt;0,"En az bir ürün adı bulundu","Yalnız katalog/mağaza bağlantısı")</x:f>
        <x:v>En az bir ürün adı bulundu</x:v>
      </x:c>
    </x:row>
    <x:row r="114">
      <x:c r="A114" t="str">
        <x:v>People of Coffee</x:v>
      </x:c>
      <x:c r="B114" t="str">
        <x:f>INDEX('Geniş Ürün Endeksi'!$C$4:$C$1714,MATCH(A114,'Geniş Ürün Endeksi'!$A$4:$A$1714,0))</x:f>
        <x:v>Doğrulandı</x:v>
      </x:c>
      <x:c r="C114" t="n">
        <x:f>COUNTIF('Geniş Ürün Endeksi'!$A$4:$A$1714,A114)</x:f>
        <x:v>1</x:v>
      </x:c>
      <x:c r="D114" t="n">
        <x:f>COUNTIFS('Geniş Ürün Endeksi'!$A$4:$A$1714,A114,'Geniş Ürün Endeksi'!$D$4:$D$1714,"Ürün kaydı")</x:f>
        <x:v>0</x:v>
      </x:c>
      <x:c r="E114" t="n">
        <x:f>COUNTIFS('Geniş Ürün Endeksi'!$A$4:$A$1714,A114,'Geniş Ürün Endeksi'!$D$4:$D$1714,"Katalog takip kaydı")</x:f>
        <x:v>1</x:v>
      </x:c>
      <x:c r="F114" t="n">
        <x:f>COUNTIFS('Geniş Ürün Endeksi'!$A$4:$A$1714,A114,'Geniş Ürün Endeksi'!$J$4:$J$1714,"Erişildi")</x:f>
        <x:v>0</x:v>
      </x:c>
      <x:c r="G114" t="n">
        <x:f>COUNTIFS('Geniş Ürün Endeksi'!$A$4:$A$1714,A114,'Geniş Ürün Endeksi'!$H$4:$H$1714,"Erişildi")</x:f>
        <x:v>0</x:v>
      </x:c>
      <x:c r="H114" t="str">
        <x:f>IF(D114&gt;0,"En az bir ürün adı bulundu","Yalnız katalog/mağaza bağlantısı")</x:f>
        <x:v>Yalnız katalog/mağaza bağlantısı</x:v>
      </x:c>
    </x:row>
    <x:row r="115">
      <x:c r="A115" t="str">
        <x:v>Perkup Coffee</x:v>
      </x:c>
      <x:c r="B115" t="str">
        <x:f>INDEX('Geniş Ürün Endeksi'!$C$4:$C$1714,MATCH(A115,'Geniş Ürün Endeksi'!$A$4:$A$1714,0))</x:f>
        <x:v>Kısmi doğrulama</x:v>
      </x:c>
      <x:c r="C115" t="n">
        <x:f>COUNTIF('Geniş Ürün Endeksi'!$A$4:$A$1714,A115)</x:f>
        <x:v>20</x:v>
      </x:c>
      <x:c r="D115" t="n">
        <x:f>COUNTIFS('Geniş Ürün Endeksi'!$A$4:$A$1714,A115,'Geniş Ürün Endeksi'!$D$4:$D$1714,"Ürün kaydı")</x:f>
        <x:v>20</x:v>
      </x:c>
      <x:c r="E115" t="n">
        <x:f>COUNTIFS('Geniş Ürün Endeksi'!$A$4:$A$1714,A115,'Geniş Ürün Endeksi'!$D$4:$D$1714,"Katalog takip kaydı")</x:f>
        <x:v>0</x:v>
      </x:c>
      <x:c r="F115" t="n">
        <x:f>COUNTIFS('Geniş Ürün Endeksi'!$A$4:$A$1714,A115,'Geniş Ürün Endeksi'!$J$4:$J$1714,"Erişildi")</x:f>
        <x:v>11</x:v>
      </x:c>
      <x:c r="G115" t="n">
        <x:f>COUNTIFS('Geniş Ürün Endeksi'!$A$4:$A$1714,A115,'Geniş Ürün Endeksi'!$H$4:$H$1714,"Erişildi")</x:f>
        <x:v>18</x:v>
      </x:c>
      <x:c r="H115" t="str">
        <x:f>IF(D115&gt;0,"En az bir ürün adı bulundu","Yalnız katalog/mağaza bağlantısı")</x:f>
        <x:v>En az bir ürün adı bulundu</x:v>
      </x:c>
    </x:row>
    <x:row r="116">
      <x:c r="A116" t="str">
        <x:v>Petra Coffee</x:v>
      </x:c>
      <x:c r="B116" t="str">
        <x:f>INDEX('Geniş Ürün Endeksi'!$C$4:$C$1714,MATCH(A116,'Geniş Ürün Endeksi'!$A$4:$A$1714,0))</x:f>
        <x:v>Doğrulandı</x:v>
      </x:c>
      <x:c r="C116" t="n">
        <x:f>COUNTIF('Geniş Ürün Endeksi'!$A$4:$A$1714,A116)</x:f>
        <x:v>34</x:v>
      </x:c>
      <x:c r="D116" t="n">
        <x:f>COUNTIFS('Geniş Ürün Endeksi'!$A$4:$A$1714,A116,'Geniş Ürün Endeksi'!$D$4:$D$1714,"Ürün kaydı")</x:f>
        <x:v>34</x:v>
      </x:c>
      <x:c r="E116" t="n">
        <x:f>COUNTIFS('Geniş Ürün Endeksi'!$A$4:$A$1714,A116,'Geniş Ürün Endeksi'!$D$4:$D$1714,"Katalog takip kaydı")</x:f>
        <x:v>0</x:v>
      </x:c>
      <x:c r="F116" t="n">
        <x:f>COUNTIFS('Geniş Ürün Endeksi'!$A$4:$A$1714,A116,'Geniş Ürün Endeksi'!$J$4:$J$1714,"Erişildi")</x:f>
        <x:v>34</x:v>
      </x:c>
      <x:c r="G116" t="n">
        <x:f>COUNTIFS('Geniş Ürün Endeksi'!$A$4:$A$1714,A116,'Geniş Ürün Endeksi'!$H$4:$H$1714,"Erişildi")</x:f>
        <x:v>18</x:v>
      </x:c>
      <x:c r="H116" t="str">
        <x:f>IF(D116&gt;0,"En az bir ürün adı bulundu","Yalnız katalog/mağaza bağlantısı")</x:f>
        <x:v>En az bir ürün adı bulundu</x:v>
      </x:c>
    </x:row>
    <x:row r="117">
      <x:c r="A117" t="str">
        <x:v>Petrikor Coffee</x:v>
      </x:c>
      <x:c r="B117" t="str">
        <x:f>INDEX('Geniş Ürün Endeksi'!$C$4:$C$1714,MATCH(A117,'Geniş Ürün Endeksi'!$A$4:$A$1714,0))</x:f>
        <x:v>Kısmi doğrulama</x:v>
      </x:c>
      <x:c r="C117" t="n">
        <x:f>COUNTIF('Geniş Ürün Endeksi'!$A$4:$A$1714,A117)</x:f>
        <x:v>1</x:v>
      </x:c>
      <x:c r="D117" t="n">
        <x:f>COUNTIFS('Geniş Ürün Endeksi'!$A$4:$A$1714,A117,'Geniş Ürün Endeksi'!$D$4:$D$1714,"Ürün kaydı")</x:f>
        <x:v>0</x:v>
      </x:c>
      <x:c r="E117" t="n">
        <x:f>COUNTIFS('Geniş Ürün Endeksi'!$A$4:$A$1714,A117,'Geniş Ürün Endeksi'!$D$4:$D$1714,"Katalog takip kaydı")</x:f>
        <x:v>1</x:v>
      </x:c>
      <x:c r="F117" t="n">
        <x:f>COUNTIFS('Geniş Ürün Endeksi'!$A$4:$A$1714,A117,'Geniş Ürün Endeksi'!$J$4:$J$1714,"Erişildi")</x:f>
        <x:v>0</x:v>
      </x:c>
      <x:c r="G117" t="n">
        <x:f>COUNTIFS('Geniş Ürün Endeksi'!$A$4:$A$1714,A117,'Geniş Ürün Endeksi'!$H$4:$H$1714,"Erişildi")</x:f>
        <x:v>0</x:v>
      </x:c>
      <x:c r="H117" t="str">
        <x:f>IF(D117&gt;0,"En az bir ürün adı bulundu","Yalnız katalog/mağaza bağlantısı")</x:f>
        <x:v>Yalnız katalog/mağaza bağlantısı</x:v>
      </x:c>
    </x:row>
    <x:row r="118">
      <x:c r="A118" t="str">
        <x:v>Poka Coffee Roasters</x:v>
      </x:c>
      <x:c r="B118" t="str">
        <x:f>INDEX('Geniş Ürün Endeksi'!$C$4:$C$1714,MATCH(A118,'Geniş Ürün Endeksi'!$A$4:$A$1714,0))</x:f>
        <x:v>Doğrulandı</x:v>
      </x:c>
      <x:c r="C118" t="n">
        <x:f>COUNTIF('Geniş Ürün Endeksi'!$A$4:$A$1714,A118)</x:f>
        <x:v>17</x:v>
      </x:c>
      <x:c r="D118" t="n">
        <x:f>COUNTIFS('Geniş Ürün Endeksi'!$A$4:$A$1714,A118,'Geniş Ürün Endeksi'!$D$4:$D$1714,"Ürün kaydı")</x:f>
        <x:v>17</x:v>
      </x:c>
      <x:c r="E118" t="n">
        <x:f>COUNTIFS('Geniş Ürün Endeksi'!$A$4:$A$1714,A118,'Geniş Ürün Endeksi'!$D$4:$D$1714,"Katalog takip kaydı")</x:f>
        <x:v>0</x:v>
      </x:c>
      <x:c r="F118" t="n">
        <x:f>COUNTIFS('Geniş Ürün Endeksi'!$A$4:$A$1714,A118,'Geniş Ürün Endeksi'!$J$4:$J$1714,"Erişildi")</x:f>
        <x:v>17</x:v>
      </x:c>
      <x:c r="G118" t="n">
        <x:f>COUNTIFS('Geniş Ürün Endeksi'!$A$4:$A$1714,A118,'Geniş Ürün Endeksi'!$H$4:$H$1714,"Erişildi")</x:f>
        <x:v>1</x:v>
      </x:c>
      <x:c r="H118" t="str">
        <x:f>IF(D118&gt;0,"En az bir ürün adı bulundu","Yalnız katalog/mağaza bağlantısı")</x:f>
        <x:v>En az bir ürün adı bulundu</x:v>
      </x:c>
    </x:row>
    <x:row r="119">
      <x:c r="A119" t="str">
        <x:v>Posa Coffee</x:v>
      </x:c>
      <x:c r="B119" t="str">
        <x:f>INDEX('Geniş Ürün Endeksi'!$C$4:$C$1714,MATCH(A119,'Geniş Ürün Endeksi'!$A$4:$A$1714,0))</x:f>
        <x:v>Doğrulandı</x:v>
      </x:c>
      <x:c r="C119" t="n">
        <x:f>COUNTIF('Geniş Ürün Endeksi'!$A$4:$A$1714,A119)</x:f>
        <x:v>22</x:v>
      </x:c>
      <x:c r="D119" t="n">
        <x:f>COUNTIFS('Geniş Ürün Endeksi'!$A$4:$A$1714,A119,'Geniş Ürün Endeksi'!$D$4:$D$1714,"Ürün kaydı")</x:f>
        <x:v>22</x:v>
      </x:c>
      <x:c r="E119" t="n">
        <x:f>COUNTIFS('Geniş Ürün Endeksi'!$A$4:$A$1714,A119,'Geniş Ürün Endeksi'!$D$4:$D$1714,"Katalog takip kaydı")</x:f>
        <x:v>0</x:v>
      </x:c>
      <x:c r="F119" t="n">
        <x:f>COUNTIFS('Geniş Ürün Endeksi'!$A$4:$A$1714,A119,'Geniş Ürün Endeksi'!$J$4:$J$1714,"Erişildi")</x:f>
        <x:v>22</x:v>
      </x:c>
      <x:c r="G119" t="n">
        <x:f>COUNTIFS('Geniş Ürün Endeksi'!$A$4:$A$1714,A119,'Geniş Ürün Endeksi'!$H$4:$H$1714,"Erişildi")</x:f>
        <x:v>22</x:v>
      </x:c>
      <x:c r="H119" t="str">
        <x:f>IF(D119&gt;0,"En az bir ürün adı bulundu","Yalnız katalog/mağaza bağlantısı")</x:f>
        <x:v>En az bir ürün adı bulundu</x:v>
      </x:c>
    </x:row>
    <x:row r="120">
      <x:c r="A120" t="str">
        <x:v>Probador Colectiva</x:v>
      </x:c>
      <x:c r="B120" t="str">
        <x:f>INDEX('Geniş Ürün Endeksi'!$C$4:$C$1714,MATCH(A120,'Geniş Ürün Endeksi'!$A$4:$A$1714,0))</x:f>
        <x:v>Doğrulandı</x:v>
      </x:c>
      <x:c r="C120" t="n">
        <x:f>COUNTIF('Geniş Ürün Endeksi'!$A$4:$A$1714,A120)</x:f>
        <x:v>18</x:v>
      </x:c>
      <x:c r="D120" t="n">
        <x:f>COUNTIFS('Geniş Ürün Endeksi'!$A$4:$A$1714,A120,'Geniş Ürün Endeksi'!$D$4:$D$1714,"Ürün kaydı")</x:f>
        <x:v>18</x:v>
      </x:c>
      <x:c r="E120" t="n">
        <x:f>COUNTIFS('Geniş Ürün Endeksi'!$A$4:$A$1714,A120,'Geniş Ürün Endeksi'!$D$4:$D$1714,"Katalog takip kaydı")</x:f>
        <x:v>0</x:v>
      </x:c>
      <x:c r="F120" t="n">
        <x:f>COUNTIFS('Geniş Ürün Endeksi'!$A$4:$A$1714,A120,'Geniş Ürün Endeksi'!$J$4:$J$1714,"Erişildi")</x:f>
        <x:v>2</x:v>
      </x:c>
      <x:c r="G120" t="n">
        <x:f>COUNTIFS('Geniş Ürün Endeksi'!$A$4:$A$1714,A120,'Geniş Ürün Endeksi'!$H$4:$H$1714,"Erişildi")</x:f>
        <x:v>0</x:v>
      </x:c>
      <x:c r="H120" t="str">
        <x:f>IF(D120&gt;0,"En az bir ürün adı bulundu","Yalnız katalog/mağaza bağlantısı")</x:f>
        <x:v>En az bir ürün adı bulundu</x:v>
      </x:c>
    </x:row>
    <x:row r="121">
      <x:c r="A121" t="str">
        <x:v>Punctum Coffee</x:v>
      </x:c>
      <x:c r="B121" t="str">
        <x:f>INDEX('Geniş Ürün Endeksi'!$C$4:$C$1714,MATCH(A121,'Geniş Ürün Endeksi'!$A$4:$A$1714,0))</x:f>
        <x:v>Kısmi doğrulama</x:v>
      </x:c>
      <x:c r="C121" t="n">
        <x:f>COUNTIF('Geniş Ürün Endeksi'!$A$4:$A$1714,A121)</x:f>
        <x:v>1</x:v>
      </x:c>
      <x:c r="D121" t="n">
        <x:f>COUNTIFS('Geniş Ürün Endeksi'!$A$4:$A$1714,A121,'Geniş Ürün Endeksi'!$D$4:$D$1714,"Ürün kaydı")</x:f>
        <x:v>0</x:v>
      </x:c>
      <x:c r="E121" t="n">
        <x:f>COUNTIFS('Geniş Ürün Endeksi'!$A$4:$A$1714,A121,'Geniş Ürün Endeksi'!$D$4:$D$1714,"Katalog takip kaydı")</x:f>
        <x:v>1</x:v>
      </x:c>
      <x:c r="F121" t="n">
        <x:f>COUNTIFS('Geniş Ürün Endeksi'!$A$4:$A$1714,A121,'Geniş Ürün Endeksi'!$J$4:$J$1714,"Erişildi")</x:f>
        <x:v>0</x:v>
      </x:c>
      <x:c r="G121" t="n">
        <x:f>COUNTIFS('Geniş Ürün Endeksi'!$A$4:$A$1714,A121,'Geniş Ürün Endeksi'!$H$4:$H$1714,"Erişildi")</x:f>
        <x:v>0</x:v>
      </x:c>
      <x:c r="H121" t="str">
        <x:f>IF(D121&gt;0,"En az bir ürün adı bulundu","Yalnız katalog/mağaza bağlantısı")</x:f>
        <x:v>Yalnız katalog/mağaza bağlantısı</x:v>
      </x:c>
    </x:row>
    <x:row r="122">
      <x:c r="A122" t="str">
        <x:v>Resmo Roasting Co.</x:v>
      </x:c>
      <x:c r="B122" t="str">
        <x:f>INDEX('Geniş Ürün Endeksi'!$C$4:$C$1714,MATCH(A122,'Geniş Ürün Endeksi'!$A$4:$A$1714,0))</x:f>
        <x:v>Kısmi doğrulama</x:v>
      </x:c>
      <x:c r="C122" t="n">
        <x:f>COUNTIF('Geniş Ürün Endeksi'!$A$4:$A$1714,A122)</x:f>
        <x:v>1</x:v>
      </x:c>
      <x:c r="D122" t="n">
        <x:f>COUNTIFS('Geniş Ürün Endeksi'!$A$4:$A$1714,A122,'Geniş Ürün Endeksi'!$D$4:$D$1714,"Ürün kaydı")</x:f>
        <x:v>0</x:v>
      </x:c>
      <x:c r="E122" t="n">
        <x:f>COUNTIFS('Geniş Ürün Endeksi'!$A$4:$A$1714,A122,'Geniş Ürün Endeksi'!$D$4:$D$1714,"Katalog takip kaydı")</x:f>
        <x:v>1</x:v>
      </x:c>
      <x:c r="F122" t="n">
        <x:f>COUNTIFS('Geniş Ürün Endeksi'!$A$4:$A$1714,A122,'Geniş Ürün Endeksi'!$J$4:$J$1714,"Erişildi")</x:f>
        <x:v>0</x:v>
      </x:c>
      <x:c r="G122" t="n">
        <x:f>COUNTIFS('Geniş Ürün Endeksi'!$A$4:$A$1714,A122,'Geniş Ürün Endeksi'!$H$4:$H$1714,"Erişildi")</x:f>
        <x:v>0</x:v>
      </x:c>
      <x:c r="H122" t="str">
        <x:f>IF(D122&gt;0,"En az bir ürün adı bulundu","Yalnız katalog/mağaza bağlantısı")</x:f>
        <x:v>Yalnız katalog/mağaza bağlantısı</x:v>
      </x:c>
    </x:row>
    <x:row r="123">
      <x:c r="A123" t="str">
        <x:v>Rispetto Coffee</x:v>
      </x:c>
      <x:c r="B123" t="str">
        <x:f>INDEX('Geniş Ürün Endeksi'!$C$4:$C$1714,MATCH(A123,'Geniş Ürün Endeksi'!$A$4:$A$1714,0))</x:f>
        <x:v>Kısmi doğrulama</x:v>
      </x:c>
      <x:c r="C123" t="n">
        <x:f>COUNTIF('Geniş Ürün Endeksi'!$A$4:$A$1714,A123)</x:f>
        <x:v>1</x:v>
      </x:c>
      <x:c r="D123" t="n">
        <x:f>COUNTIFS('Geniş Ürün Endeksi'!$A$4:$A$1714,A123,'Geniş Ürün Endeksi'!$D$4:$D$1714,"Ürün kaydı")</x:f>
        <x:v>0</x:v>
      </x:c>
      <x:c r="E123" t="n">
        <x:f>COUNTIFS('Geniş Ürün Endeksi'!$A$4:$A$1714,A123,'Geniş Ürün Endeksi'!$D$4:$D$1714,"Katalog takip kaydı")</x:f>
        <x:v>1</x:v>
      </x:c>
      <x:c r="F123" t="n">
        <x:f>COUNTIFS('Geniş Ürün Endeksi'!$A$4:$A$1714,A123,'Geniş Ürün Endeksi'!$J$4:$J$1714,"Erişildi")</x:f>
        <x:v>0</x:v>
      </x:c>
      <x:c r="G123" t="n">
        <x:f>COUNTIFS('Geniş Ürün Endeksi'!$A$4:$A$1714,A123,'Geniş Ürün Endeksi'!$H$4:$H$1714,"Erişildi")</x:f>
        <x:v>0</x:v>
      </x:c>
      <x:c r="H123" t="str">
        <x:f>IF(D123&gt;0,"En az bir ürün adı bulundu","Yalnız katalog/mağaza bağlantısı")</x:f>
        <x:v>Yalnız katalog/mağaza bağlantısı</x:v>
      </x:c>
    </x:row>
    <x:row r="124">
      <x:c r="A124" t="str">
        <x:v>Roast Room</x:v>
      </x:c>
      <x:c r="B124" t="str">
        <x:f>INDEX('Geniş Ürün Endeksi'!$C$4:$C$1714,MATCH(A124,'Geniş Ürün Endeksi'!$A$4:$A$1714,0))</x:f>
        <x:v>Doğrulandı</x:v>
      </x:c>
      <x:c r="C124" t="n">
        <x:f>COUNTIF('Geniş Ürün Endeksi'!$A$4:$A$1714,A124)</x:f>
        <x:v>19</x:v>
      </x:c>
      <x:c r="D124" t="n">
        <x:f>COUNTIFS('Geniş Ürün Endeksi'!$A$4:$A$1714,A124,'Geniş Ürün Endeksi'!$D$4:$D$1714,"Ürün kaydı")</x:f>
        <x:v>19</x:v>
      </x:c>
      <x:c r="E124" t="n">
        <x:f>COUNTIFS('Geniş Ürün Endeksi'!$A$4:$A$1714,A124,'Geniş Ürün Endeksi'!$D$4:$D$1714,"Katalog takip kaydı")</x:f>
        <x:v>0</x:v>
      </x:c>
      <x:c r="F124" t="n">
        <x:f>COUNTIFS('Geniş Ürün Endeksi'!$A$4:$A$1714,A124,'Geniş Ürün Endeksi'!$J$4:$J$1714,"Erişildi")</x:f>
        <x:v>19</x:v>
      </x:c>
      <x:c r="G124" t="n">
        <x:f>COUNTIFS('Geniş Ürün Endeksi'!$A$4:$A$1714,A124,'Geniş Ürün Endeksi'!$H$4:$H$1714,"Erişildi")</x:f>
        <x:v>17</x:v>
      </x:c>
      <x:c r="H124" t="str">
        <x:f>IF(D124&gt;0,"En az bir ürün adı bulundu","Yalnız katalog/mağaza bağlantısı")</x:f>
        <x:v>En az bir ürün adı bulundu</x:v>
      </x:c>
    </x:row>
    <x:row r="125">
      <x:c r="A125" t="str">
        <x:v>Roasterlab</x:v>
      </x:c>
      <x:c r="B125" t="str">
        <x:f>INDEX('Geniş Ürün Endeksi'!$C$4:$C$1714,MATCH(A125,'Geniş Ürün Endeksi'!$A$4:$A$1714,0))</x:f>
        <x:v>Doğrulandı</x:v>
      </x:c>
      <x:c r="C125" t="n">
        <x:f>COUNTIF('Geniş Ürün Endeksi'!$A$4:$A$1714,A125)</x:f>
        <x:v>2</x:v>
      </x:c>
      <x:c r="D125" t="n">
        <x:f>COUNTIFS('Geniş Ürün Endeksi'!$A$4:$A$1714,A125,'Geniş Ürün Endeksi'!$D$4:$D$1714,"Ürün kaydı")</x:f>
        <x:v>0</x:v>
      </x:c>
      <x:c r="E125" t="n">
        <x:f>COUNTIFS('Geniş Ürün Endeksi'!$A$4:$A$1714,A125,'Geniş Ürün Endeksi'!$D$4:$D$1714,"Katalog takip kaydı")</x:f>
        <x:v>2</x:v>
      </x:c>
      <x:c r="F125" t="n">
        <x:f>COUNTIFS('Geniş Ürün Endeksi'!$A$4:$A$1714,A125,'Geniş Ürün Endeksi'!$J$4:$J$1714,"Erişildi")</x:f>
        <x:v>0</x:v>
      </x:c>
      <x:c r="G125" t="n">
        <x:f>COUNTIFS('Geniş Ürün Endeksi'!$A$4:$A$1714,A125,'Geniş Ürün Endeksi'!$H$4:$H$1714,"Erişildi")</x:f>
        <x:v>0</x:v>
      </x:c>
      <x:c r="H125" t="str">
        <x:f>IF(D125&gt;0,"En az bir ürün adı bulundu","Yalnız katalog/mağaza bağlantısı")</x:f>
        <x:v>Yalnız katalog/mağaza bağlantısı</x:v>
      </x:c>
    </x:row>
    <x:row r="126">
      <x:c r="A126" t="str">
        <x:v>RoasterLab</x:v>
      </x:c>
      <x:c r="B126" t="str">
        <x:f>INDEX('Geniş Ürün Endeksi'!$C$4:$C$1714,MATCH(A126,'Geniş Ürün Endeksi'!$A$4:$A$1714,0))</x:f>
        <x:v>Doğrulandı</x:v>
      </x:c>
      <x:c r="C126" t="n">
        <x:f>COUNTIF('Geniş Ürün Endeksi'!$A$4:$A$1714,A126)</x:f>
        <x:v>2</x:v>
      </x:c>
      <x:c r="D126" t="n">
        <x:f>COUNTIFS('Geniş Ürün Endeksi'!$A$4:$A$1714,A126,'Geniş Ürün Endeksi'!$D$4:$D$1714,"Ürün kaydı")</x:f>
        <x:v>0</x:v>
      </x:c>
      <x:c r="E126" t="n">
        <x:f>COUNTIFS('Geniş Ürün Endeksi'!$A$4:$A$1714,A126,'Geniş Ürün Endeksi'!$D$4:$D$1714,"Katalog takip kaydı")</x:f>
        <x:v>2</x:v>
      </x:c>
      <x:c r="F126" t="n">
        <x:f>COUNTIFS('Geniş Ürün Endeksi'!$A$4:$A$1714,A126,'Geniş Ürün Endeksi'!$J$4:$J$1714,"Erişildi")</x:f>
        <x:v>0</x:v>
      </x:c>
      <x:c r="G126" t="n">
        <x:f>COUNTIFS('Geniş Ürün Endeksi'!$A$4:$A$1714,A126,'Geniş Ürün Endeksi'!$H$4:$H$1714,"Erişildi")</x:f>
        <x:v>0</x:v>
      </x:c>
      <x:c r="H126" t="str">
        <x:f>IF(D126&gt;0,"En az bir ürün adı bulundu","Yalnız katalog/mağaza bağlantısı")</x:f>
        <x:v>Yalnız katalog/mağaza bağlantısı</x:v>
      </x:c>
    </x:row>
    <x:row r="127">
      <x:c r="A127" t="str">
        <x:v>Roastery ACME</x:v>
      </x:c>
      <x:c r="B127" t="str">
        <x:f>INDEX('Geniş Ürün Endeksi'!$C$4:$C$1714,MATCH(A127,'Geniş Ürün Endeksi'!$A$4:$A$1714,0))</x:f>
        <x:v>Kısmi doğrulama</x:v>
      </x:c>
      <x:c r="C127" t="n">
        <x:f>COUNTIF('Geniş Ürün Endeksi'!$A$4:$A$1714,A127)</x:f>
        <x:v>1</x:v>
      </x:c>
      <x:c r="D127" t="n">
        <x:f>COUNTIFS('Geniş Ürün Endeksi'!$A$4:$A$1714,A127,'Geniş Ürün Endeksi'!$D$4:$D$1714,"Ürün kaydı")</x:f>
        <x:v>0</x:v>
      </x:c>
      <x:c r="E127" t="n">
        <x:f>COUNTIFS('Geniş Ürün Endeksi'!$A$4:$A$1714,A127,'Geniş Ürün Endeksi'!$D$4:$D$1714,"Katalog takip kaydı")</x:f>
        <x:v>1</x:v>
      </x:c>
      <x:c r="F127" t="n">
        <x:f>COUNTIFS('Geniş Ürün Endeksi'!$A$4:$A$1714,A127,'Geniş Ürün Endeksi'!$J$4:$J$1714,"Erişildi")</x:f>
        <x:v>0</x:v>
      </x:c>
      <x:c r="G127" t="n">
        <x:f>COUNTIFS('Geniş Ürün Endeksi'!$A$4:$A$1714,A127,'Geniş Ürün Endeksi'!$H$4:$H$1714,"Erişildi")</x:f>
        <x:v>0</x:v>
      </x:c>
      <x:c r="H127" t="str">
        <x:f>IF(D127&gt;0,"En az bir ürün adı bulundu","Yalnız katalog/mağaza bağlantısı")</x:f>
        <x:v>Yalnız katalog/mağaza bağlantısı</x:v>
      </x:c>
    </x:row>
    <x:row r="128">
      <x:c r="A128" t="str">
        <x:v>ROR Cafe &amp; Roastery</x:v>
      </x:c>
      <x:c r="B128" t="str">
        <x:f>INDEX('Geniş Ürün Endeksi'!$C$4:$C$1714,MATCH(A128,'Geniş Ürün Endeksi'!$A$4:$A$1714,0))</x:f>
        <x:v>Kısmi doğrulama</x:v>
      </x:c>
      <x:c r="C128" t="n">
        <x:f>COUNTIF('Geniş Ürün Endeksi'!$A$4:$A$1714,A128)</x:f>
        <x:v>1</x:v>
      </x:c>
      <x:c r="D128" t="n">
        <x:f>COUNTIFS('Geniş Ürün Endeksi'!$A$4:$A$1714,A128,'Geniş Ürün Endeksi'!$D$4:$D$1714,"Ürün kaydı")</x:f>
        <x:v>0</x:v>
      </x:c>
      <x:c r="E128" t="n">
        <x:f>COUNTIFS('Geniş Ürün Endeksi'!$A$4:$A$1714,A128,'Geniş Ürün Endeksi'!$D$4:$D$1714,"Katalog takip kaydı")</x:f>
        <x:v>1</x:v>
      </x:c>
      <x:c r="F128" t="n">
        <x:f>COUNTIFS('Geniş Ürün Endeksi'!$A$4:$A$1714,A128,'Geniş Ürün Endeksi'!$J$4:$J$1714,"Erişildi")</x:f>
        <x:v>0</x:v>
      </x:c>
      <x:c r="G128" t="n">
        <x:f>COUNTIFS('Geniş Ürün Endeksi'!$A$4:$A$1714,A128,'Geniş Ürün Endeksi'!$H$4:$H$1714,"Erişildi")</x:f>
        <x:v>0</x:v>
      </x:c>
      <x:c r="H128" t="str">
        <x:f>IF(D128&gt;0,"En az bir ürün adı bulundu","Yalnız katalog/mağaza bağlantısı")</x:f>
        <x:v>Yalnız katalog/mağaza bağlantısı</x:v>
      </x:c>
    </x:row>
    <x:row r="129">
      <x:c r="A129" t="str">
        <x:v>Rott Coffee</x:v>
      </x:c>
      <x:c r="B129" t="str">
        <x:f>INDEX('Geniş Ürün Endeksi'!$C$4:$C$1714,MATCH(A129,'Geniş Ürün Endeksi'!$A$4:$A$1714,0))</x:f>
        <x:v>Kısmi doğrulama</x:v>
      </x:c>
      <x:c r="C129" t="n">
        <x:f>COUNTIF('Geniş Ürün Endeksi'!$A$4:$A$1714,A129)</x:f>
        <x:v>1</x:v>
      </x:c>
      <x:c r="D129" t="n">
        <x:f>COUNTIFS('Geniş Ürün Endeksi'!$A$4:$A$1714,A129,'Geniş Ürün Endeksi'!$D$4:$D$1714,"Ürün kaydı")</x:f>
        <x:v>0</x:v>
      </x:c>
      <x:c r="E129" t="n">
        <x:f>COUNTIFS('Geniş Ürün Endeksi'!$A$4:$A$1714,A129,'Geniş Ürün Endeksi'!$D$4:$D$1714,"Katalog takip kaydı")</x:f>
        <x:v>1</x:v>
      </x:c>
      <x:c r="F129" t="n">
        <x:f>COUNTIFS('Geniş Ürün Endeksi'!$A$4:$A$1714,A129,'Geniş Ürün Endeksi'!$J$4:$J$1714,"Erişildi")</x:f>
        <x:v>0</x:v>
      </x:c>
      <x:c r="G129" t="n">
        <x:f>COUNTIFS('Geniş Ürün Endeksi'!$A$4:$A$1714,A129,'Geniş Ürün Endeksi'!$H$4:$H$1714,"Erişildi")</x:f>
        <x:v>0</x:v>
      </x:c>
      <x:c r="H129" t="str">
        <x:f>IF(D129&gt;0,"En az bir ürün adı bulundu","Yalnız katalog/mağaza bağlantısı")</x:f>
        <x:v>Yalnız katalog/mağaza bağlantısı</x:v>
      </x:c>
    </x:row>
    <x:row r="130">
      <x:c r="A130" t="str">
        <x:v>Rubber Soul Coffee</x:v>
      </x:c>
      <x:c r="B130" t="str">
        <x:f>INDEX('Geniş Ürün Endeksi'!$C$4:$C$1714,MATCH(A130,'Geniş Ürün Endeksi'!$A$4:$A$1714,0))</x:f>
        <x:v>Kısmi doğrulama</x:v>
      </x:c>
      <x:c r="C130" t="n">
        <x:f>COUNTIF('Geniş Ürün Endeksi'!$A$4:$A$1714,A130)</x:f>
        <x:v>1</x:v>
      </x:c>
      <x:c r="D130" t="n">
        <x:f>COUNTIFS('Geniş Ürün Endeksi'!$A$4:$A$1714,A130,'Geniş Ürün Endeksi'!$D$4:$D$1714,"Ürün kaydı")</x:f>
        <x:v>0</x:v>
      </x:c>
      <x:c r="E130" t="n">
        <x:f>COUNTIFS('Geniş Ürün Endeksi'!$A$4:$A$1714,A130,'Geniş Ürün Endeksi'!$D$4:$D$1714,"Katalog takip kaydı")</x:f>
        <x:v>1</x:v>
      </x:c>
      <x:c r="F130" t="n">
        <x:f>COUNTIFS('Geniş Ürün Endeksi'!$A$4:$A$1714,A130,'Geniş Ürün Endeksi'!$J$4:$J$1714,"Erişildi")</x:f>
        <x:v>0</x:v>
      </x:c>
      <x:c r="G130" t="n">
        <x:f>COUNTIFS('Geniş Ürün Endeksi'!$A$4:$A$1714,A130,'Geniş Ürün Endeksi'!$H$4:$H$1714,"Erişildi")</x:f>
        <x:v>0</x:v>
      </x:c>
      <x:c r="H130" t="str">
        <x:f>IF(D130&gt;0,"En az bir ürün adı bulundu","Yalnız katalog/mağaza bağlantısı")</x:f>
        <x:v>Yalnız katalog/mağaza bağlantısı</x:v>
      </x:c>
    </x:row>
    <x:row r="131">
      <x:c r="A131" t="str">
        <x:v>Rumo Coffee</x:v>
      </x:c>
      <x:c r="B131" t="str">
        <x:f>INDEX('Geniş Ürün Endeksi'!$C$4:$C$1714,MATCH(A131,'Geniş Ürün Endeksi'!$A$4:$A$1714,0))</x:f>
        <x:v>Kısmi doğrulama</x:v>
      </x:c>
      <x:c r="C131" t="n">
        <x:f>COUNTIF('Geniş Ürün Endeksi'!$A$4:$A$1714,A131)</x:f>
        <x:v>1</x:v>
      </x:c>
      <x:c r="D131" t="n">
        <x:f>COUNTIFS('Geniş Ürün Endeksi'!$A$4:$A$1714,A131,'Geniş Ürün Endeksi'!$D$4:$D$1714,"Ürün kaydı")</x:f>
        <x:v>0</x:v>
      </x:c>
      <x:c r="E131" t="n">
        <x:f>COUNTIFS('Geniş Ürün Endeksi'!$A$4:$A$1714,A131,'Geniş Ürün Endeksi'!$D$4:$D$1714,"Katalog takip kaydı")</x:f>
        <x:v>1</x:v>
      </x:c>
      <x:c r="F131" t="n">
        <x:f>COUNTIFS('Geniş Ürün Endeksi'!$A$4:$A$1714,A131,'Geniş Ürün Endeksi'!$J$4:$J$1714,"Erişildi")</x:f>
        <x:v>0</x:v>
      </x:c>
      <x:c r="G131" t="n">
        <x:f>COUNTIFS('Geniş Ürün Endeksi'!$A$4:$A$1714,A131,'Geniş Ürün Endeksi'!$H$4:$H$1714,"Erişildi")</x:f>
        <x:v>0</x:v>
      </x:c>
      <x:c r="H131" t="str">
        <x:f>IF(D131&gt;0,"En az bir ürün adı bulundu","Yalnız katalog/mağaza bağlantısı")</x:f>
        <x:v>Yalnız katalog/mağaza bağlantısı</x:v>
      </x:c>
    </x:row>
    <x:row r="132">
      <x:c r="A132" t="str">
        <x:v>Sade'ce Kahve</x:v>
      </x:c>
      <x:c r="B132" t="str">
        <x:f>INDEX('Geniş Ürün Endeksi'!$C$4:$C$1714,MATCH(A132,'Geniş Ürün Endeksi'!$A$4:$A$1714,0))</x:f>
        <x:v>Kısmi doğrulama</x:v>
      </x:c>
      <x:c r="C132" t="n">
        <x:f>COUNTIF('Geniş Ürün Endeksi'!$A$4:$A$1714,A132)</x:f>
        <x:v>1</x:v>
      </x:c>
      <x:c r="D132" t="n">
        <x:f>COUNTIFS('Geniş Ürün Endeksi'!$A$4:$A$1714,A132,'Geniş Ürün Endeksi'!$D$4:$D$1714,"Ürün kaydı")</x:f>
        <x:v>0</x:v>
      </x:c>
      <x:c r="E132" t="n">
        <x:f>COUNTIFS('Geniş Ürün Endeksi'!$A$4:$A$1714,A132,'Geniş Ürün Endeksi'!$D$4:$D$1714,"Katalog takip kaydı")</x:f>
        <x:v>1</x:v>
      </x:c>
      <x:c r="F132" t="n">
        <x:f>COUNTIFS('Geniş Ürün Endeksi'!$A$4:$A$1714,A132,'Geniş Ürün Endeksi'!$J$4:$J$1714,"Erişildi")</x:f>
        <x:v>0</x:v>
      </x:c>
      <x:c r="G132" t="n">
        <x:f>COUNTIFS('Geniş Ürün Endeksi'!$A$4:$A$1714,A132,'Geniş Ürün Endeksi'!$H$4:$H$1714,"Erişildi")</x:f>
        <x:v>0</x:v>
      </x:c>
      <x:c r="H132" t="str">
        <x:f>IF(D132&gt;0,"En az bir ürün adı bulundu","Yalnız katalog/mağaza bağlantısı")</x:f>
        <x:v>Yalnız katalog/mağaza bağlantısı</x:v>
      </x:c>
    </x:row>
    <x:row r="133">
      <x:c r="A133" t="str">
        <x:v>Sanal Baharat</x:v>
      </x:c>
      <x:c r="B133" t="str">
        <x:f>INDEX('Geniş Ürün Endeksi'!$C$4:$C$1714,MATCH(A133,'Geniş Ürün Endeksi'!$A$4:$A$1714,0))</x:f>
        <x:v>Doğrulandı</x:v>
      </x:c>
      <x:c r="C133" t="n">
        <x:f>COUNTIF('Geniş Ürün Endeksi'!$A$4:$A$1714,A133)</x:f>
        <x:v>64</x:v>
      </x:c>
      <x:c r="D133" t="n">
        <x:f>COUNTIFS('Geniş Ürün Endeksi'!$A$4:$A$1714,A133,'Geniş Ürün Endeksi'!$D$4:$D$1714,"Ürün kaydı")</x:f>
        <x:v>64</x:v>
      </x:c>
      <x:c r="E133" t="n">
        <x:f>COUNTIFS('Geniş Ürün Endeksi'!$A$4:$A$1714,A133,'Geniş Ürün Endeksi'!$D$4:$D$1714,"Katalog takip kaydı")</x:f>
        <x:v>0</x:v>
      </x:c>
      <x:c r="F133" t="n">
        <x:f>COUNTIFS('Geniş Ürün Endeksi'!$A$4:$A$1714,A133,'Geniş Ürün Endeksi'!$J$4:$J$1714,"Erişildi")</x:f>
        <x:v>53</x:v>
      </x:c>
      <x:c r="G133" t="n">
        <x:f>COUNTIFS('Geniş Ürün Endeksi'!$A$4:$A$1714,A133,'Geniş Ürün Endeksi'!$H$4:$H$1714,"Erişildi")</x:f>
        <x:v>38</x:v>
      </x:c>
      <x:c r="H133" t="str">
        <x:f>IF(D133&gt;0,"En az bir ürün adı bulundu","Yalnız katalog/mağaza bağlantısı")</x:f>
        <x:v>En az bir ürün adı bulundu</x:v>
      </x:c>
    </x:row>
    <x:row r="134">
      <x:c r="A134" t="str">
        <x:v>Schiller Kaffeerösterei</x:v>
      </x:c>
      <x:c r="B134" t="str">
        <x:f>INDEX('Geniş Ürün Endeksi'!$C$4:$C$1714,MATCH(A134,'Geniş Ürün Endeksi'!$A$4:$A$1714,0))</x:f>
        <x:v>Kısmi doğrulama</x:v>
      </x:c>
      <x:c r="C134" t="n">
        <x:f>COUNTIF('Geniş Ürün Endeksi'!$A$4:$A$1714,A134)</x:f>
        <x:v>1</x:v>
      </x:c>
      <x:c r="D134" t="n">
        <x:f>COUNTIFS('Geniş Ürün Endeksi'!$A$4:$A$1714,A134,'Geniş Ürün Endeksi'!$D$4:$D$1714,"Ürün kaydı")</x:f>
        <x:v>0</x:v>
      </x:c>
      <x:c r="E134" t="n">
        <x:f>COUNTIFS('Geniş Ürün Endeksi'!$A$4:$A$1714,A134,'Geniş Ürün Endeksi'!$D$4:$D$1714,"Katalog takip kaydı")</x:f>
        <x:v>1</x:v>
      </x:c>
      <x:c r="F134" t="n">
        <x:f>COUNTIFS('Geniş Ürün Endeksi'!$A$4:$A$1714,A134,'Geniş Ürün Endeksi'!$J$4:$J$1714,"Erişildi")</x:f>
        <x:v>0</x:v>
      </x:c>
      <x:c r="G134" t="n">
        <x:f>COUNTIFS('Geniş Ürün Endeksi'!$A$4:$A$1714,A134,'Geniş Ürün Endeksi'!$H$4:$H$1714,"Erişildi")</x:f>
        <x:v>0</x:v>
      </x:c>
      <x:c r="H134" t="str">
        <x:f>IF(D134&gt;0,"En az bir ürün adı bulundu","Yalnız katalog/mağaza bağlantısı")</x:f>
        <x:v>Yalnız katalog/mağaza bağlantısı</x:v>
      </x:c>
    </x:row>
    <x:row r="135">
      <x:c r="A135" t="str">
        <x:v>Sedirkent Coffee</x:v>
      </x:c>
      <x:c r="B135" t="str">
        <x:f>INDEX('Geniş Ürün Endeksi'!$C$4:$C$1714,MATCH(A135,'Geniş Ürün Endeksi'!$A$4:$A$1714,0))</x:f>
        <x:v>Doğrulandı</x:v>
      </x:c>
      <x:c r="C135" t="n">
        <x:f>COUNTIF('Geniş Ürün Endeksi'!$A$4:$A$1714,A135)</x:f>
        <x:v>1</x:v>
      </x:c>
      <x:c r="D135" t="n">
        <x:f>COUNTIFS('Geniş Ürün Endeksi'!$A$4:$A$1714,A135,'Geniş Ürün Endeksi'!$D$4:$D$1714,"Ürün kaydı")</x:f>
        <x:v>0</x:v>
      </x:c>
      <x:c r="E135" t="n">
        <x:f>COUNTIFS('Geniş Ürün Endeksi'!$A$4:$A$1714,A135,'Geniş Ürün Endeksi'!$D$4:$D$1714,"Katalog takip kaydı")</x:f>
        <x:v>1</x:v>
      </x:c>
      <x:c r="F135" t="n">
        <x:f>COUNTIFS('Geniş Ürün Endeksi'!$A$4:$A$1714,A135,'Geniş Ürün Endeksi'!$J$4:$J$1714,"Erişildi")</x:f>
        <x:v>0</x:v>
      </x:c>
      <x:c r="G135" t="n">
        <x:f>COUNTIFS('Geniş Ürün Endeksi'!$A$4:$A$1714,A135,'Geniş Ürün Endeksi'!$H$4:$H$1714,"Erişildi")</x:f>
        <x:v>0</x:v>
      </x:c>
      <x:c r="H135" t="str">
        <x:f>IF(D135&gt;0,"En az bir ürün adı bulundu","Yalnız katalog/mağaza bağlantısı")</x:f>
        <x:v>Yalnız katalog/mağaza bağlantısı</x:v>
      </x:c>
    </x:row>
    <x:row r="136">
      <x:c r="A136" t="str">
        <x:v>Selamlique İstanbul</x:v>
      </x:c>
      <x:c r="B136" t="str">
        <x:f>INDEX('Geniş Ürün Endeksi'!$C$4:$C$1714,MATCH(A136,'Geniş Ürün Endeksi'!$A$4:$A$1714,0))</x:f>
        <x:v>Kısmi doğrulama</x:v>
      </x:c>
      <x:c r="C136" t="n">
        <x:f>COUNTIF('Geniş Ürün Endeksi'!$A$4:$A$1714,A136)</x:f>
        <x:v>1</x:v>
      </x:c>
      <x:c r="D136" t="n">
        <x:f>COUNTIFS('Geniş Ürün Endeksi'!$A$4:$A$1714,A136,'Geniş Ürün Endeksi'!$D$4:$D$1714,"Ürün kaydı")</x:f>
        <x:v>0</x:v>
      </x:c>
      <x:c r="E136" t="n">
        <x:f>COUNTIFS('Geniş Ürün Endeksi'!$A$4:$A$1714,A136,'Geniş Ürün Endeksi'!$D$4:$D$1714,"Katalog takip kaydı")</x:f>
        <x:v>1</x:v>
      </x:c>
      <x:c r="F136" t="n">
        <x:f>COUNTIFS('Geniş Ürün Endeksi'!$A$4:$A$1714,A136,'Geniş Ürün Endeksi'!$J$4:$J$1714,"Erişildi")</x:f>
        <x:v>0</x:v>
      </x:c>
      <x:c r="G136" t="n">
        <x:f>COUNTIFS('Geniş Ürün Endeksi'!$A$4:$A$1714,A136,'Geniş Ürün Endeksi'!$H$4:$H$1714,"Erişildi")</x:f>
        <x:v>0</x:v>
      </x:c>
      <x:c r="H136" t="str">
        <x:f>IF(D136&gt;0,"En az bir ürün adı bulundu","Yalnız katalog/mağaza bağlantısı")</x:f>
        <x:v>Yalnız katalog/mağaza bağlantısı</x:v>
      </x:c>
    </x:row>
    <x:row r="137">
      <x:c r="A137" t="str">
        <x:v>Sezy Coffee</x:v>
      </x:c>
      <x:c r="B137" t="str">
        <x:f>INDEX('Geniş Ürün Endeksi'!$C$4:$C$1714,MATCH(A137,'Geniş Ürün Endeksi'!$A$4:$A$1714,0))</x:f>
        <x:v>Kısmi doğrulama</x:v>
      </x:c>
      <x:c r="C137" t="n">
        <x:f>COUNTIF('Geniş Ürün Endeksi'!$A$4:$A$1714,A137)</x:f>
        <x:v>5</x:v>
      </x:c>
      <x:c r="D137" t="n">
        <x:f>COUNTIFS('Geniş Ürün Endeksi'!$A$4:$A$1714,A137,'Geniş Ürün Endeksi'!$D$4:$D$1714,"Ürün kaydı")</x:f>
        <x:v>5</x:v>
      </x:c>
      <x:c r="E137" t="n">
        <x:f>COUNTIFS('Geniş Ürün Endeksi'!$A$4:$A$1714,A137,'Geniş Ürün Endeksi'!$D$4:$D$1714,"Katalog takip kaydı")</x:f>
        <x:v>0</x:v>
      </x:c>
      <x:c r="F137" t="n">
        <x:f>COUNTIFS('Geniş Ürün Endeksi'!$A$4:$A$1714,A137,'Geniş Ürün Endeksi'!$J$4:$J$1714,"Erişildi")</x:f>
        <x:v>5</x:v>
      </x:c>
      <x:c r="G137" t="n">
        <x:f>COUNTIFS('Geniş Ürün Endeksi'!$A$4:$A$1714,A137,'Geniş Ürün Endeksi'!$H$4:$H$1714,"Erişildi")</x:f>
        <x:v>2</x:v>
      </x:c>
      <x:c r="H137" t="str">
        <x:f>IF(D137&gt;0,"En az bir ürün adı bulundu","Yalnız katalog/mağaza bağlantısı")</x:f>
        <x:v>En az bir ürün adı bulundu</x:v>
      </x:c>
    </x:row>
    <x:row r="138">
      <x:c r="A138" t="str">
        <x:v>Shazel</x:v>
      </x:c>
      <x:c r="B138" t="str">
        <x:f>INDEX('Geniş Ürün Endeksi'!$C$4:$C$1714,MATCH(A138,'Geniş Ürün Endeksi'!$A$4:$A$1714,0))</x:f>
        <x:v>Kısmi doğrulama</x:v>
      </x:c>
      <x:c r="C138" t="n">
        <x:f>COUNTIF('Geniş Ürün Endeksi'!$A$4:$A$1714,A138)</x:f>
        <x:v>1</x:v>
      </x:c>
      <x:c r="D138" t="n">
        <x:f>COUNTIFS('Geniş Ürün Endeksi'!$A$4:$A$1714,A138,'Geniş Ürün Endeksi'!$D$4:$D$1714,"Ürün kaydı")</x:f>
        <x:v>0</x:v>
      </x:c>
      <x:c r="E138" t="n">
        <x:f>COUNTIFS('Geniş Ürün Endeksi'!$A$4:$A$1714,A138,'Geniş Ürün Endeksi'!$D$4:$D$1714,"Katalog takip kaydı")</x:f>
        <x:v>1</x:v>
      </x:c>
      <x:c r="F138" t="n">
        <x:f>COUNTIFS('Geniş Ürün Endeksi'!$A$4:$A$1714,A138,'Geniş Ürün Endeksi'!$J$4:$J$1714,"Erişildi")</x:f>
        <x:v>0</x:v>
      </x:c>
      <x:c r="G138" t="n">
        <x:f>COUNTIFS('Geniş Ürün Endeksi'!$A$4:$A$1714,A138,'Geniş Ürün Endeksi'!$H$4:$H$1714,"Erişildi")</x:f>
        <x:v>0</x:v>
      </x:c>
      <x:c r="H138" t="str">
        <x:f>IF(D138&gt;0,"En az bir ürün adı bulundu","Yalnız katalog/mağaza bağlantısı")</x:f>
        <x:v>Yalnız katalog/mağaza bağlantısı</x:v>
      </x:c>
    </x:row>
    <x:row r="139">
      <x:c r="A139" t="str">
        <x:v>Spada Coffee</x:v>
      </x:c>
      <x:c r="B139" t="str">
        <x:f>INDEX('Geniş Ürün Endeksi'!$C$4:$C$1714,MATCH(A139,'Geniş Ürün Endeksi'!$A$4:$A$1714,0))</x:f>
        <x:v>Kısmi doğrulama</x:v>
      </x:c>
      <x:c r="C139" t="n">
        <x:f>COUNTIF('Geniş Ürün Endeksi'!$A$4:$A$1714,A139)</x:f>
        <x:v>25</x:v>
      </x:c>
      <x:c r="D139" t="n">
        <x:f>COUNTIFS('Geniş Ürün Endeksi'!$A$4:$A$1714,A139,'Geniş Ürün Endeksi'!$D$4:$D$1714,"Ürün kaydı")</x:f>
        <x:v>25</x:v>
      </x:c>
      <x:c r="E139" t="n">
        <x:f>COUNTIFS('Geniş Ürün Endeksi'!$A$4:$A$1714,A139,'Geniş Ürün Endeksi'!$D$4:$D$1714,"Katalog takip kaydı")</x:f>
        <x:v>0</x:v>
      </x:c>
      <x:c r="F139" t="n">
        <x:f>COUNTIFS('Geniş Ürün Endeksi'!$A$4:$A$1714,A139,'Geniş Ürün Endeksi'!$J$4:$J$1714,"Erişildi")</x:f>
        <x:v>25</x:v>
      </x:c>
      <x:c r="G139" t="n">
        <x:f>COUNTIFS('Geniş Ürün Endeksi'!$A$4:$A$1714,A139,'Geniş Ürün Endeksi'!$H$4:$H$1714,"Erişildi")</x:f>
        <x:v>14</x:v>
      </x:c>
      <x:c r="H139" t="str">
        <x:f>IF(D139&gt;0,"En az bir ürün adı bulundu","Yalnız katalog/mağaza bağlantısı")</x:f>
        <x:v>En az bir ürün adı bulundu</x:v>
      </x:c>
    </x:row>
    <x:row r="140">
      <x:c r="A140" t="str">
        <x:v>Story Coffee Roasters</x:v>
      </x:c>
      <x:c r="B140" t="str">
        <x:f>INDEX('Geniş Ürün Endeksi'!$C$4:$C$1714,MATCH(A140,'Geniş Ürün Endeksi'!$A$4:$A$1714,0))</x:f>
        <x:v>Doğrulandı</x:v>
      </x:c>
      <x:c r="C140" t="n">
        <x:f>COUNTIF('Geniş Ürün Endeksi'!$A$4:$A$1714,A140)</x:f>
        <x:v>6</x:v>
      </x:c>
      <x:c r="D140" t="n">
        <x:f>COUNTIFS('Geniş Ürün Endeksi'!$A$4:$A$1714,A140,'Geniş Ürün Endeksi'!$D$4:$D$1714,"Ürün kaydı")</x:f>
        <x:v>6</x:v>
      </x:c>
      <x:c r="E140" t="n">
        <x:f>COUNTIFS('Geniş Ürün Endeksi'!$A$4:$A$1714,A140,'Geniş Ürün Endeksi'!$D$4:$D$1714,"Katalog takip kaydı")</x:f>
        <x:v>0</x:v>
      </x:c>
      <x:c r="F140" t="n">
        <x:f>COUNTIFS('Geniş Ürün Endeksi'!$A$4:$A$1714,A140,'Geniş Ürün Endeksi'!$J$4:$J$1714,"Erişildi")</x:f>
        <x:v>6</x:v>
      </x:c>
      <x:c r="G140" t="n">
        <x:f>COUNTIFS('Geniş Ürün Endeksi'!$A$4:$A$1714,A140,'Geniş Ürün Endeksi'!$H$4:$H$1714,"Erişildi")</x:f>
        <x:v>4</x:v>
      </x:c>
      <x:c r="H140" t="str">
        <x:f>IF(D140&gt;0,"En az bir ürün adı bulundu","Yalnız katalog/mağaza bağlantısı")</x:f>
        <x:v>En az bir ürün adı bulundu</x:v>
      </x:c>
    </x:row>
    <x:row r="141">
      <x:c r="A141" t="str">
        <x:v>Taft Coffee</x:v>
      </x:c>
      <x:c r="B141" t="str">
        <x:f>INDEX('Geniş Ürün Endeksi'!$C$4:$C$1714,MATCH(A141,'Geniş Ürün Endeksi'!$A$4:$A$1714,0))</x:f>
        <x:v>Kısmi doğrulama</x:v>
      </x:c>
      <x:c r="C141" t="n">
        <x:f>COUNTIF('Geniş Ürün Endeksi'!$A$4:$A$1714,A141)</x:f>
        <x:v>1</x:v>
      </x:c>
      <x:c r="D141" t="n">
        <x:f>COUNTIFS('Geniş Ürün Endeksi'!$A$4:$A$1714,A141,'Geniş Ürün Endeksi'!$D$4:$D$1714,"Ürün kaydı")</x:f>
        <x:v>0</x:v>
      </x:c>
      <x:c r="E141" t="n">
        <x:f>COUNTIFS('Geniş Ürün Endeksi'!$A$4:$A$1714,A141,'Geniş Ürün Endeksi'!$D$4:$D$1714,"Katalog takip kaydı")</x:f>
        <x:v>1</x:v>
      </x:c>
      <x:c r="F141" t="n">
        <x:f>COUNTIFS('Geniş Ürün Endeksi'!$A$4:$A$1714,A141,'Geniş Ürün Endeksi'!$J$4:$J$1714,"Erişildi")</x:f>
        <x:v>0</x:v>
      </x:c>
      <x:c r="G141" t="n">
        <x:f>COUNTIFS('Geniş Ürün Endeksi'!$A$4:$A$1714,A141,'Geniş Ürün Endeksi'!$H$4:$H$1714,"Erişildi")</x:f>
        <x:v>0</x:v>
      </x:c>
      <x:c r="H141" t="str">
        <x:f>IF(D141&gt;0,"En az bir ürün adı bulundu","Yalnız katalog/mağaza bağlantısı")</x:f>
        <x:v>Yalnız katalog/mağaza bağlantısı</x:v>
      </x:c>
    </x:row>
    <x:row r="142">
      <x:c r="A142" t="str">
        <x:v>Tahmis Kahvesi</x:v>
      </x:c>
      <x:c r="B142" t="str">
        <x:f>INDEX('Geniş Ürün Endeksi'!$C$4:$C$1714,MATCH(A142,'Geniş Ürün Endeksi'!$A$4:$A$1714,0))</x:f>
        <x:v>Kısmi doğrulama</x:v>
      </x:c>
      <x:c r="C142" t="n">
        <x:f>COUNTIF('Geniş Ürün Endeksi'!$A$4:$A$1714,A142)</x:f>
        <x:v>1</x:v>
      </x:c>
      <x:c r="D142" t="n">
        <x:f>COUNTIFS('Geniş Ürün Endeksi'!$A$4:$A$1714,A142,'Geniş Ürün Endeksi'!$D$4:$D$1714,"Ürün kaydı")</x:f>
        <x:v>0</x:v>
      </x:c>
      <x:c r="E142" t="n">
        <x:f>COUNTIFS('Geniş Ürün Endeksi'!$A$4:$A$1714,A142,'Geniş Ürün Endeksi'!$D$4:$D$1714,"Katalog takip kaydı")</x:f>
        <x:v>1</x:v>
      </x:c>
      <x:c r="F142" t="n">
        <x:f>COUNTIFS('Geniş Ürün Endeksi'!$A$4:$A$1714,A142,'Geniş Ürün Endeksi'!$J$4:$J$1714,"Erişildi")</x:f>
        <x:v>0</x:v>
      </x:c>
      <x:c r="G142" t="n">
        <x:f>COUNTIFS('Geniş Ürün Endeksi'!$A$4:$A$1714,A142,'Geniş Ürün Endeksi'!$H$4:$H$1714,"Erişildi")</x:f>
        <x:v>0</x:v>
      </x:c>
      <x:c r="H142" t="str">
        <x:f>IF(D142&gt;0,"En az bir ürün adı bulundu","Yalnız katalog/mağaza bağlantısı")</x:f>
        <x:v>Yalnız katalog/mağaza bağlantısı</x:v>
      </x:c>
    </x:row>
    <x:row r="143">
      <x:c r="A143" t="str">
        <x:v>Tetra N Roastery</x:v>
      </x:c>
      <x:c r="B143" t="str">
        <x:f>INDEX('Geniş Ürün Endeksi'!$C$4:$C$1714,MATCH(A143,'Geniş Ürün Endeksi'!$A$4:$A$1714,0))</x:f>
        <x:v>Kısmi doğrulama</x:v>
      </x:c>
      <x:c r="C143" t="n">
        <x:f>COUNTIF('Geniş Ürün Endeksi'!$A$4:$A$1714,A143)</x:f>
        <x:v>4</x:v>
      </x:c>
      <x:c r="D143" t="n">
        <x:f>COUNTIFS('Geniş Ürün Endeksi'!$A$4:$A$1714,A143,'Geniş Ürün Endeksi'!$D$4:$D$1714,"Ürün kaydı")</x:f>
        <x:v>4</x:v>
      </x:c>
      <x:c r="E143" t="n">
        <x:f>COUNTIFS('Geniş Ürün Endeksi'!$A$4:$A$1714,A143,'Geniş Ürün Endeksi'!$D$4:$D$1714,"Katalog takip kaydı")</x:f>
        <x:v>0</x:v>
      </x:c>
      <x:c r="F143" t="n">
        <x:f>COUNTIFS('Geniş Ürün Endeksi'!$A$4:$A$1714,A143,'Geniş Ürün Endeksi'!$J$4:$J$1714,"Erişildi")</x:f>
        <x:v>4</x:v>
      </x:c>
      <x:c r="G143" t="n">
        <x:f>COUNTIFS('Geniş Ürün Endeksi'!$A$4:$A$1714,A143,'Geniş Ürün Endeksi'!$H$4:$H$1714,"Erişildi")</x:f>
        <x:v>0</x:v>
      </x:c>
      <x:c r="H143" t="str">
        <x:f>IF(D143&gt;0,"En az bir ürün adı bulundu","Yalnız katalog/mağaza bağlantısı")</x:f>
        <x:v>En az bir ürün adı bulundu</x:v>
      </x:c>
    </x:row>
    <x:row r="144">
      <x:c r="A144" t="str">
        <x:v>The Doors Coffee Roasting Co.</x:v>
      </x:c>
      <x:c r="B144" t="str">
        <x:f>INDEX('Geniş Ürün Endeksi'!$C$4:$C$1714,MATCH(A144,'Geniş Ürün Endeksi'!$A$4:$A$1714,0))</x:f>
        <x:v>Kısmi doğrulama</x:v>
      </x:c>
      <x:c r="C144" t="n">
        <x:f>COUNTIF('Geniş Ürün Endeksi'!$A$4:$A$1714,A144)</x:f>
        <x:v>1</x:v>
      </x:c>
      <x:c r="D144" t="n">
        <x:f>COUNTIFS('Geniş Ürün Endeksi'!$A$4:$A$1714,A144,'Geniş Ürün Endeksi'!$D$4:$D$1714,"Ürün kaydı")</x:f>
        <x:v>0</x:v>
      </x:c>
      <x:c r="E144" t="n">
        <x:f>COUNTIFS('Geniş Ürün Endeksi'!$A$4:$A$1714,A144,'Geniş Ürün Endeksi'!$D$4:$D$1714,"Katalog takip kaydı")</x:f>
        <x:v>1</x:v>
      </x:c>
      <x:c r="F144" t="n">
        <x:f>COUNTIFS('Geniş Ürün Endeksi'!$A$4:$A$1714,A144,'Geniş Ürün Endeksi'!$J$4:$J$1714,"Erişildi")</x:f>
        <x:v>0</x:v>
      </x:c>
      <x:c r="G144" t="n">
        <x:f>COUNTIFS('Geniş Ürün Endeksi'!$A$4:$A$1714,A144,'Geniş Ürün Endeksi'!$H$4:$H$1714,"Erişildi")</x:f>
        <x:v>0</x:v>
      </x:c>
      <x:c r="H144" t="str">
        <x:f>IF(D144&gt;0,"En az bir ürün adı bulundu","Yalnız katalog/mağaza bağlantısı")</x:f>
        <x:v>Yalnız katalog/mağaza bağlantısı</x:v>
      </x:c>
    </x:row>
    <x:row r="145">
      <x:c r="A145" t="str">
        <x:v>Top Roasters</x:v>
      </x:c>
      <x:c r="B145" t="str">
        <x:f>INDEX('Geniş Ürün Endeksi'!$C$4:$C$1714,MATCH(A145,'Geniş Ürün Endeksi'!$A$4:$A$1714,0))</x:f>
        <x:v>Kısmi doğrulama</x:v>
      </x:c>
      <x:c r="C145" t="n">
        <x:f>COUNTIF('Geniş Ürün Endeksi'!$A$4:$A$1714,A145)</x:f>
        <x:v>53</x:v>
      </x:c>
      <x:c r="D145" t="n">
        <x:f>COUNTIFS('Geniş Ürün Endeksi'!$A$4:$A$1714,A145,'Geniş Ürün Endeksi'!$D$4:$D$1714,"Ürün kaydı")</x:f>
        <x:v>53</x:v>
      </x:c>
      <x:c r="E145" t="n">
        <x:f>COUNTIFS('Geniş Ürün Endeksi'!$A$4:$A$1714,A145,'Geniş Ürün Endeksi'!$D$4:$D$1714,"Katalog takip kaydı")</x:f>
        <x:v>0</x:v>
      </x:c>
      <x:c r="F145" t="n">
        <x:f>COUNTIFS('Geniş Ürün Endeksi'!$A$4:$A$1714,A145,'Geniş Ürün Endeksi'!$J$4:$J$1714,"Erişildi")</x:f>
        <x:v>0</x:v>
      </x:c>
      <x:c r="G145" t="n">
        <x:f>COUNTIFS('Geniş Ürün Endeksi'!$A$4:$A$1714,A145,'Geniş Ürün Endeksi'!$H$4:$H$1714,"Erişildi")</x:f>
        <x:v>1</x:v>
      </x:c>
      <x:c r="H145" t="str">
        <x:f>IF(D145&gt;0,"En az bir ürün adı bulundu","Yalnız katalog/mağaza bağlantısı")</x:f>
        <x:v>En az bir ürün adı bulundu</x:v>
      </x:c>
    </x:row>
    <x:row r="146">
      <x:c r="A146" t="str">
        <x:v>Troika Roasting Co.</x:v>
      </x:c>
      <x:c r="B146" t="str">
        <x:f>INDEX('Geniş Ürün Endeksi'!$C$4:$C$1714,MATCH(A146,'Geniş Ürün Endeksi'!$A$4:$A$1714,0))</x:f>
        <x:v>Doğrulandı</x:v>
      </x:c>
      <x:c r="C146" t="n">
        <x:f>COUNTIF('Geniş Ürün Endeksi'!$A$4:$A$1714,A146)</x:f>
        <x:v>1</x:v>
      </x:c>
      <x:c r="D146" t="n">
        <x:f>COUNTIFS('Geniş Ürün Endeksi'!$A$4:$A$1714,A146,'Geniş Ürün Endeksi'!$D$4:$D$1714,"Ürün kaydı")</x:f>
        <x:v>1</x:v>
      </x:c>
      <x:c r="E146" t="n">
        <x:f>COUNTIFS('Geniş Ürün Endeksi'!$A$4:$A$1714,A146,'Geniş Ürün Endeksi'!$D$4:$D$1714,"Katalog takip kaydı")</x:f>
        <x:v>0</x:v>
      </x:c>
      <x:c r="F146" t="n">
        <x:f>COUNTIFS('Geniş Ürün Endeksi'!$A$4:$A$1714,A146,'Geniş Ürün Endeksi'!$J$4:$J$1714,"Erişildi")</x:f>
        <x:v>1</x:v>
      </x:c>
      <x:c r="G146" t="n">
        <x:f>COUNTIFS('Geniş Ürün Endeksi'!$A$4:$A$1714,A146,'Geniş Ürün Endeksi'!$H$4:$H$1714,"Erişildi")</x:f>
        <x:v>0</x:v>
      </x:c>
      <x:c r="H146" t="str">
        <x:f>IF(D146&gt;0,"En az bir ürün adı bulundu","Yalnız katalog/mağaza bağlantısı")</x:f>
        <x:v>En az bir ürün adı bulundu</x:v>
      </x:c>
    </x:row>
    <x:row r="147">
      <x:c r="A147" t="str">
        <x:v>Tropika Coffee Roastery</x:v>
      </x:c>
      <x:c r="B147" t="str">
        <x:f>INDEX('Geniş Ürün Endeksi'!$C$4:$C$1714,MATCH(A147,'Geniş Ürün Endeksi'!$A$4:$A$1714,0))</x:f>
        <x:v>Doğrulandı</x:v>
      </x:c>
      <x:c r="C147" t="n">
        <x:f>COUNTIF('Geniş Ürün Endeksi'!$A$4:$A$1714,A147)</x:f>
        <x:v>14</x:v>
      </x:c>
      <x:c r="D147" t="n">
        <x:f>COUNTIFS('Geniş Ürün Endeksi'!$A$4:$A$1714,A147,'Geniş Ürün Endeksi'!$D$4:$D$1714,"Ürün kaydı")</x:f>
        <x:v>14</x:v>
      </x:c>
      <x:c r="E147" t="n">
        <x:f>COUNTIFS('Geniş Ürün Endeksi'!$A$4:$A$1714,A147,'Geniş Ürün Endeksi'!$D$4:$D$1714,"Katalog takip kaydı")</x:f>
        <x:v>0</x:v>
      </x:c>
      <x:c r="F147" t="n">
        <x:f>COUNTIFS('Geniş Ürün Endeksi'!$A$4:$A$1714,A147,'Geniş Ürün Endeksi'!$J$4:$J$1714,"Erişildi")</x:f>
        <x:v>0</x:v>
      </x:c>
      <x:c r="G147" t="n">
        <x:f>COUNTIFS('Geniş Ürün Endeksi'!$A$4:$A$1714,A147,'Geniş Ürün Endeksi'!$H$4:$H$1714,"Erişildi")</x:f>
        <x:v>14</x:v>
      </x:c>
      <x:c r="H147" t="str">
        <x:f>IF(D147&gt;0,"En az bir ürün adı bulundu","Yalnız katalog/mağaza bağlantısı")</x:f>
        <x:v>En az bir ürün adı bulundu</x:v>
      </x:c>
    </x:row>
    <x:row r="148">
      <x:c r="A148" t="str">
        <x:v>Twentysix Coffee</x:v>
      </x:c>
      <x:c r="B148" t="str">
        <x:f>INDEX('Geniş Ürün Endeksi'!$C$4:$C$1714,MATCH(A148,'Geniş Ürün Endeksi'!$A$4:$A$1714,0))</x:f>
        <x:v>Kısmi doğrulama</x:v>
      </x:c>
      <x:c r="C148" t="n">
        <x:f>COUNTIF('Geniş Ürün Endeksi'!$A$4:$A$1714,A148)</x:f>
        <x:v>1</x:v>
      </x:c>
      <x:c r="D148" t="n">
        <x:f>COUNTIFS('Geniş Ürün Endeksi'!$A$4:$A$1714,A148,'Geniş Ürün Endeksi'!$D$4:$D$1714,"Ürün kaydı")</x:f>
        <x:v>0</x:v>
      </x:c>
      <x:c r="E148" t="n">
        <x:f>COUNTIFS('Geniş Ürün Endeksi'!$A$4:$A$1714,A148,'Geniş Ürün Endeksi'!$D$4:$D$1714,"Katalog takip kaydı")</x:f>
        <x:v>1</x:v>
      </x:c>
      <x:c r="F148" t="n">
        <x:f>COUNTIFS('Geniş Ürün Endeksi'!$A$4:$A$1714,A148,'Geniş Ürün Endeksi'!$J$4:$J$1714,"Erişildi")</x:f>
        <x:v>0</x:v>
      </x:c>
      <x:c r="G148" t="n">
        <x:f>COUNTIFS('Geniş Ürün Endeksi'!$A$4:$A$1714,A148,'Geniş Ürün Endeksi'!$H$4:$H$1714,"Erişildi")</x:f>
        <x:v>0</x:v>
      </x:c>
      <x:c r="H148" t="str">
        <x:f>IF(D148&gt;0,"En az bir ürün adı bulundu","Yalnız katalog/mağaza bağlantısı")</x:f>
        <x:v>Yalnız katalog/mağaza bağlantısı</x:v>
      </x:c>
    </x:row>
    <x:row r="149">
      <x:c r="A149" t="str">
        <x:v>Walker’s Coffee</x:v>
      </x:c>
      <x:c r="B149" t="str">
        <x:f>INDEX('Geniş Ürün Endeksi'!$C$4:$C$1714,MATCH(A149,'Geniş Ürün Endeksi'!$A$4:$A$1714,0))</x:f>
        <x:v>Kısmi doğrulama</x:v>
      </x:c>
      <x:c r="C149" t="n">
        <x:f>COUNTIF('Geniş Ürün Endeksi'!$A$4:$A$1714,A149)</x:f>
        <x:v>1</x:v>
      </x:c>
      <x:c r="D149" t="n">
        <x:f>COUNTIFS('Geniş Ürün Endeksi'!$A$4:$A$1714,A149,'Geniş Ürün Endeksi'!$D$4:$D$1714,"Ürün kaydı")</x:f>
        <x:v>0</x:v>
      </x:c>
      <x:c r="E149" t="n">
        <x:f>COUNTIFS('Geniş Ürün Endeksi'!$A$4:$A$1714,A149,'Geniş Ürün Endeksi'!$D$4:$D$1714,"Katalog takip kaydı")</x:f>
        <x:v>1</x:v>
      </x:c>
      <x:c r="F149" t="n">
        <x:f>COUNTIFS('Geniş Ürün Endeksi'!$A$4:$A$1714,A149,'Geniş Ürün Endeksi'!$J$4:$J$1714,"Erişildi")</x:f>
        <x:v>0</x:v>
      </x:c>
      <x:c r="G149" t="n">
        <x:f>COUNTIFS('Geniş Ürün Endeksi'!$A$4:$A$1714,A149,'Geniş Ürün Endeksi'!$H$4:$H$1714,"Erişildi")</x:f>
        <x:v>0</x:v>
      </x:c>
      <x:c r="H149" t="str">
        <x:f>IF(D149&gt;0,"En az bir ürün adı bulundu","Yalnız katalog/mağaza bağlantısı")</x:f>
        <x:v>Yalnız katalog/mağaza bağlantısı</x:v>
      </x:c>
    </x:row>
    <x:row r="150">
      <x:c r="A150" t="str">
        <x:v>Walter’s Coffee Roastery</x:v>
      </x:c>
      <x:c r="B150" t="str">
        <x:f>INDEX('Geniş Ürün Endeksi'!$C$4:$C$1714,MATCH(A150,'Geniş Ürün Endeksi'!$A$4:$A$1714,0))</x:f>
        <x:v>Kısmi doğrulama</x:v>
      </x:c>
      <x:c r="C150" t="n">
        <x:f>COUNTIF('Geniş Ürün Endeksi'!$A$4:$A$1714,A150)</x:f>
        <x:v>15</x:v>
      </x:c>
      <x:c r="D150" t="n">
        <x:f>COUNTIFS('Geniş Ürün Endeksi'!$A$4:$A$1714,A150,'Geniş Ürün Endeksi'!$D$4:$D$1714,"Ürün kaydı")</x:f>
        <x:v>15</x:v>
      </x:c>
      <x:c r="E150" t="n">
        <x:f>COUNTIFS('Geniş Ürün Endeksi'!$A$4:$A$1714,A150,'Geniş Ürün Endeksi'!$D$4:$D$1714,"Katalog takip kaydı")</x:f>
        <x:v>0</x:v>
      </x:c>
      <x:c r="F150" t="n">
        <x:f>COUNTIFS('Geniş Ürün Endeksi'!$A$4:$A$1714,A150,'Geniş Ürün Endeksi'!$J$4:$J$1714,"Erişildi")</x:f>
        <x:v>7</x:v>
      </x:c>
      <x:c r="G150" t="n">
        <x:f>COUNTIFS('Geniş Ürün Endeksi'!$A$4:$A$1714,A150,'Geniş Ürün Endeksi'!$H$4:$H$1714,"Erişildi")</x:f>
        <x:v>14</x:v>
      </x:c>
      <x:c r="H150" t="str">
        <x:f>IF(D150&gt;0,"En az bir ürün adı bulundu","Yalnız katalog/mağaza bağlantısı")</x:f>
        <x:v>En az bir ürün adı bulundu</x:v>
      </x:c>
    </x:row>
    <x:row r="151">
      <x:c r="A151" t="str">
        <x:v>Whiff Coffee Roastery</x:v>
      </x:c>
      <x:c r="B151" t="str">
        <x:f>INDEX('Geniş Ürün Endeksi'!$C$4:$C$1714,MATCH(A151,'Geniş Ürün Endeksi'!$A$4:$A$1714,0))</x:f>
        <x:v>Doğrulandı</x:v>
      </x:c>
      <x:c r="C151" t="n">
        <x:f>COUNTIF('Geniş Ürün Endeksi'!$A$4:$A$1714,A151)</x:f>
        <x:v>1</x:v>
      </x:c>
      <x:c r="D151" t="n">
        <x:f>COUNTIFS('Geniş Ürün Endeksi'!$A$4:$A$1714,A151,'Geniş Ürün Endeksi'!$D$4:$D$1714,"Ürün kaydı")</x:f>
        <x:v>1</x:v>
      </x:c>
      <x:c r="E151" t="n">
        <x:f>COUNTIFS('Geniş Ürün Endeksi'!$A$4:$A$1714,A151,'Geniş Ürün Endeksi'!$D$4:$D$1714,"Katalog takip kaydı")</x:f>
        <x:v>0</x:v>
      </x:c>
      <x:c r="F151" t="n">
        <x:f>COUNTIFS('Geniş Ürün Endeksi'!$A$4:$A$1714,A151,'Geniş Ürün Endeksi'!$J$4:$J$1714,"Erişildi")</x:f>
        <x:v>1</x:v>
      </x:c>
      <x:c r="G151" t="n">
        <x:f>COUNTIFS('Geniş Ürün Endeksi'!$A$4:$A$1714,A151,'Geniş Ürün Endeksi'!$H$4:$H$1714,"Erişildi")</x:f>
        <x:v>0</x:v>
      </x:c>
      <x:c r="H151" t="str">
        <x:f>IF(D151&gt;0,"En az bir ürün adı bulundu","Yalnız katalog/mağaza bağlantısı")</x:f>
        <x:v>En az bir ürün adı bulundu</x:v>
      </x:c>
    </x:row>
    <x:row r="152">
      <x:c r="A152" t="str">
        <x:v>Whole Bean Coffee</x:v>
      </x:c>
      <x:c r="B152" t="str">
        <x:f>INDEX('Geniş Ürün Endeksi'!$C$4:$C$1714,MATCH(A152,'Geniş Ürün Endeksi'!$A$4:$A$1714,0))</x:f>
        <x:v>Kısmi doğrulama</x:v>
      </x:c>
      <x:c r="C152" t="n">
        <x:f>COUNTIF('Geniş Ürün Endeksi'!$A$4:$A$1714,A152)</x:f>
        <x:v>1</x:v>
      </x:c>
      <x:c r="D152" t="n">
        <x:f>COUNTIFS('Geniş Ürün Endeksi'!$A$4:$A$1714,A152,'Geniş Ürün Endeksi'!$D$4:$D$1714,"Ürün kaydı")</x:f>
        <x:v>0</x:v>
      </x:c>
      <x:c r="E152" t="n">
        <x:f>COUNTIFS('Geniş Ürün Endeksi'!$A$4:$A$1714,A152,'Geniş Ürün Endeksi'!$D$4:$D$1714,"Katalog takip kaydı")</x:f>
        <x:v>1</x:v>
      </x:c>
      <x:c r="F152" t="n">
        <x:f>COUNTIFS('Geniş Ürün Endeksi'!$A$4:$A$1714,A152,'Geniş Ürün Endeksi'!$J$4:$J$1714,"Erişildi")</x:f>
        <x:v>0</x:v>
      </x:c>
      <x:c r="G152" t="n">
        <x:f>COUNTIFS('Geniş Ürün Endeksi'!$A$4:$A$1714,A152,'Geniş Ürün Endeksi'!$H$4:$H$1714,"Erişildi")</x:f>
        <x:v>0</x:v>
      </x:c>
      <x:c r="H152" t="str">
        <x:f>IF(D152&gt;0,"En az bir ürün adı bulundu","Yalnız katalog/mağaza bağlantısı")</x:f>
        <x:v>Yalnız katalog/mağaza bağlantısı</x:v>
      </x:c>
    </x:row>
    <x:row r="153">
      <x:c r="A153" t="str">
        <x:v>Williams Roastery</x:v>
      </x:c>
      <x:c r="B153" t="str">
        <x:f>INDEX('Geniş Ürün Endeksi'!$C$4:$C$1714,MATCH(A153,'Geniş Ürün Endeksi'!$A$4:$A$1714,0))</x:f>
        <x:v>Doğrulandı</x:v>
      </x:c>
      <x:c r="C153" t="n">
        <x:f>COUNTIF('Geniş Ürün Endeksi'!$A$4:$A$1714,A153)</x:f>
        <x:v>6</x:v>
      </x:c>
      <x:c r="D153" t="n">
        <x:f>COUNTIFS('Geniş Ürün Endeksi'!$A$4:$A$1714,A153,'Geniş Ürün Endeksi'!$D$4:$D$1714,"Ürün kaydı")</x:f>
        <x:v>6</x:v>
      </x:c>
      <x:c r="E153" t="n">
        <x:f>COUNTIFS('Geniş Ürün Endeksi'!$A$4:$A$1714,A153,'Geniş Ürün Endeksi'!$D$4:$D$1714,"Katalog takip kaydı")</x:f>
        <x:v>0</x:v>
      </x:c>
      <x:c r="F153" t="n">
        <x:f>COUNTIFS('Geniş Ürün Endeksi'!$A$4:$A$1714,A153,'Geniş Ürün Endeksi'!$J$4:$J$1714,"Erişildi")</x:f>
        <x:v>6</x:v>
      </x:c>
      <x:c r="G153" t="n">
        <x:f>COUNTIFS('Geniş Ürün Endeksi'!$A$4:$A$1714,A153,'Geniş Ürün Endeksi'!$H$4:$H$1714,"Erişildi")</x:f>
        <x:v>3</x:v>
      </x:c>
      <x:c r="H153" t="str">
        <x:f>IF(D153&gt;0,"En az bir ürün adı bulundu","Yalnız katalog/mağaza bağlantısı")</x:f>
        <x:v>En az bir ürün adı bulundu</x:v>
      </x:c>
    </x:row>
    <x:row r="154">
      <x:c r="A154" t="str">
        <x:v>Zuhalkız Kahve</x:v>
      </x:c>
      <x:c r="B154" t="str">
        <x:f>INDEX('Geniş Ürün Endeksi'!$C$4:$C$1714,MATCH(A154,'Geniş Ürün Endeksi'!$A$4:$A$1714,0))</x:f>
        <x:v>Kısmi doğrulama</x:v>
      </x:c>
      <x:c r="C154" t="n">
        <x:f>COUNTIF('Geniş Ürün Endeksi'!$A$4:$A$1714,A154)</x:f>
        <x:v>1</x:v>
      </x:c>
      <x:c r="D154" t="n">
        <x:f>COUNTIFS('Geniş Ürün Endeksi'!$A$4:$A$1714,A154,'Geniş Ürün Endeksi'!$D$4:$D$1714,"Ürün kaydı")</x:f>
        <x:v>0</x:v>
      </x:c>
      <x:c r="E154" t="n">
        <x:f>COUNTIFS('Geniş Ürün Endeksi'!$A$4:$A$1714,A154,'Geniş Ürün Endeksi'!$D$4:$D$1714,"Katalog takip kaydı")</x:f>
        <x:v>1</x:v>
      </x:c>
      <x:c r="F154" t="n">
        <x:f>COUNTIFS('Geniş Ürün Endeksi'!$A$4:$A$1714,A154,'Geniş Ürün Endeksi'!$J$4:$J$1714,"Erişildi")</x:f>
        <x:v>0</x:v>
      </x:c>
      <x:c r="G154" t="n">
        <x:f>COUNTIFS('Geniş Ürün Endeksi'!$A$4:$A$1714,A154,'Geniş Ürün Endeksi'!$H$4:$H$1714,"Erişildi")</x:f>
        <x:v>0</x:v>
      </x:c>
      <x:c r="H154" t="str">
        <x:f>IF(D154&gt;0,"En az bir ürün adı bulundu","Yalnız katalog/mağaza bağlantısı")</x:f>
        <x:v>Yalnız katalog/mağaza bağlantısı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e337e27361544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1" hidden="0" customWidth="1"/>
    <x:col min="3" max="3" width="38" hidden="0" customWidth="1"/>
    <x:col min="4" max="4" width="25" hidden="0" customWidth="1"/>
    <x:col min="5" max="5" width="14" hidden="0" customWidth="1"/>
    <x:col min="6" max="6" width="15" hidden="0" customWidth="1"/>
    <x:col min="7" max="7" width="20" hidden="0" customWidth="1"/>
    <x:col min="8" max="8" width="28" hidden="0" customWidth="1"/>
    <x:col min="9" max="9" width="50" hidden="0" customWidth="1"/>
    <x:col min="10" max="10" width="45" hidden="0" customWidth="1"/>
  </x:cols>
  <x:sheetData>
    <x:row r="1">
      <x:c r="A1" s="5" t="str">
        <x:v>Fiyat veya gramajı erişilemeyen ürün ve katalog kayıtları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25" t="str">
        <x:v>Bağlantı sütunu manuel tamamlama için doğrudan ürün, mağaza veya Instagram sayfasını korur.</x:v>
      </x:c>
      <x:c r="B2" s="25"/>
      <x:c r="C2" s="25"/>
      <x:c r="D2" s="25"/>
      <x:c r="E2" s="25"/>
      <x:c r="F2" s="25"/>
      <x:c r="G2" s="25"/>
      <x:c r="H2" s="25"/>
      <x:c r="I2" s="25"/>
      <x:c r="J2" s="25"/>
    </x:row>
    <x:row r="3">
      <x:c r="A3" s="27" t="str">
        <x:v>İşletme</x:v>
      </x:c>
      <x:c r="B3" s="27" t="str">
        <x:v>Kayıt türü</x:v>
      </x:c>
      <x:c r="C3" s="27" t="str">
        <x:v>Ürün/katalog</x:v>
      </x:c>
      <x:c r="D3" s="27" t="str">
        <x:v>Menşe</x:v>
      </x:c>
      <x:c r="E3" s="27" t="str">
        <x:v>Gramaj</x:v>
      </x:c>
      <x:c r="F3" s="27" t="str">
        <x:v>Fiyat</x:v>
      </x:c>
      <x:c r="G3" s="27" t="str">
        <x:v>Eksik alan</x:v>
      </x:c>
      <x:c r="H3" s="27" t="str">
        <x:v>Kaynak yöntemi</x:v>
      </x:c>
      <x:c r="I3" s="27" t="str">
        <x:v>Bağlantı</x:v>
      </x:c>
      <x:c r="J3" s="27" t="str">
        <x:v>Not</x:v>
      </x:c>
    </x:row>
    <x:row r="4">
      <x:c r="A4" t="str">
        <x:v>1978 Coffee Roastery</x:v>
      </x:c>
      <x:c r="B4" t="str">
        <x:v>Ürün kaydı</x:v>
      </x:c>
      <x:c r="C4" t="str">
        <x:v>78 Tanışma Paketi</x:v>
      </x:c>
      <x:c r="D4" t="str">
        <x:v>Brezilya</x:v>
      </x:c>
      <x:c r="E4" s="1" t="str">
        <x:v>Erişilemedi</x:v>
      </x:c>
      <x:c r="F4" s="2" t="n">
        <x:v>1000</x:v>
      </x:c>
      <x:c r="G4" t="str">
        <x:v>Gramaj</x:v>
      </x:c>
      <x:c r="H4" t="str">
        <x:v>Site haritası ürün sayfası</x:v>
      </x:c>
      <x:c r="I4" s="28" t="str">
        <x:v>https://1978coffee.com/78-tanisma-paketi</x:v>
      </x:c>
      <x:c r="J4" s="28" t="str">
        <x:v>Ürün kimliği korundu; eksik alanlar erişilemedi olarak işaretlenecek.</x:v>
      </x:c>
    </x:row>
    <x:row r="5">
      <x:c r="A5" t="str">
        <x:v>1978 Coffee Roastery</x:v>
      </x:c>
      <x:c r="B5" t="str">
        <x:v>Ürün kaydı</x:v>
      </x:c>
      <x:c r="C5" t="str">
        <x:v>Colombia EL PARAISO</x:v>
      </x:c>
      <x:c r="D5" t="str">
        <x:v>Kolombiya</x:v>
      </x:c>
      <x:c r="E5" s="1" t="str">
        <x:v>Erişilemedi</x:v>
      </x:c>
      <x:c r="F5" s="2" t="n">
        <x:v>1000</x:v>
      </x:c>
      <x:c r="G5" t="str">
        <x:v>Gramaj</x:v>
      </x:c>
      <x:c r="H5" t="str">
        <x:v>Site haritası ürün sayfası</x:v>
      </x:c>
      <x:c r="I5" s="28" t="str">
        <x:v>https://1978coffee.com/colombia-el-paraiso</x:v>
      </x:c>
      <x:c r="J5" s="28" t="str">
        <x:v>Ürün kimliği korundu; eksik alanlar erişilemedi olarak işaretlenecek.</x:v>
      </x:c>
    </x:row>
    <x:row r="6">
      <x:c r="A6" t="str">
        <x:v>1978 Coffee Roastery</x:v>
      </x:c>
      <x:c r="B6" t="str">
        <x:v>Ürün kaydı</x:v>
      </x:c>
      <x:c r="C6" t="str">
        <x:v>Colombia LA ROCA</x:v>
      </x:c>
      <x:c r="D6" t="str">
        <x:v>Kolombiya</x:v>
      </x:c>
      <x:c r="E6" s="1" t="str">
        <x:v>Erişilemedi</x:v>
      </x:c>
      <x:c r="F6" s="2" t="n">
        <x:v>1000</x:v>
      </x:c>
      <x:c r="G6" t="str">
        <x:v>Gramaj</x:v>
      </x:c>
      <x:c r="H6" t="str">
        <x:v>Site haritası ürün sayfası</x:v>
      </x:c>
      <x:c r="I6" s="28" t="str">
        <x:v>https://1978coffee.com/colombia-la-roca</x:v>
      </x:c>
      <x:c r="J6" s="28" t="str">
        <x:v>Ürün kimliği korundu; eksik alanlar erişilemedi olarak işaretlenecek.</x:v>
      </x:c>
    </x:row>
    <x:row r="7">
      <x:c r="A7" t="str">
        <x:v>1978 Coffee Roastery</x:v>
      </x:c>
      <x:c r="B7" t="str">
        <x:v>Ürün kaydı</x:v>
      </x:c>
      <x:c r="C7" t="str">
        <x:v>TIMEMORE Coffee Server (360 ml)</x:v>
      </x:c>
      <x:c r="D7" t="str">
        <x:v>Menşe belirtilmemiş</x:v>
      </x:c>
      <x:c r="E7" s="1" t="str">
        <x:v>Erişilemedi</x:v>
      </x:c>
      <x:c r="F7" s="2" t="n">
        <x:v>1000</x:v>
      </x:c>
      <x:c r="G7" t="str">
        <x:v>Gramaj</x:v>
      </x:c>
      <x:c r="H7" t="str">
        <x:v>Site haritası ürün sayfası</x:v>
      </x:c>
      <x:c r="I7" s="28" t="str">
        <x:v>https://1978coffee.com/timemore-coffee-server</x:v>
      </x:c>
      <x:c r="J7" s="28" t="str">
        <x:v>Ürün kimliği korundu; eksik alanlar erişilemedi olarak işaretlenecek.</x:v>
      </x:c>
    </x:row>
    <x:row r="8">
      <x:c r="A8" t="str">
        <x:v>1978 Coffee Roastery</x:v>
      </x:c>
      <x:c r="B8" t="str">
        <x:v>Ürün kaydı</x:v>
      </x:c>
      <x:c r="C8" t="str">
        <x:v>Türk Kahvesi</x:v>
      </x:c>
      <x:c r="D8" t="str">
        <x:v>Menşe belirtilmemiş</x:v>
      </x:c>
      <x:c r="E8" s="1" t="str">
        <x:v>Erişilemedi</x:v>
      </x:c>
      <x:c r="F8" s="2" t="n">
        <x:v>1000</x:v>
      </x:c>
      <x:c r="G8" t="str">
        <x:v>Gramaj</x:v>
      </x:c>
      <x:c r="H8" t="str">
        <x:v>Site haritası ürün sayfası</x:v>
      </x:c>
      <x:c r="I8" s="28" t="str">
        <x:v>https://1978coffee.com/turk-kahvesi-1</x:v>
      </x:c>
      <x:c r="J8" s="28" t="str">
        <x:v>Ürün kimliği korundu; eksik alanlar erişilemedi olarak işaretlenecek.</x:v>
      </x:c>
    </x:row>
    <x:row r="9">
      <x:c r="A9" t="str">
        <x:v>A Roasting Lab</x:v>
      </x:c>
      <x:c r="B9" t="str">
        <x:v>Ürün kaydı</x:v>
      </x:c>
      <x:c r="C9" t="str">
        <x:v>🎁 Türk Kahvesi 250g (HEDİYE)</x:v>
      </x:c>
      <x:c r="D9" t="str">
        <x:v>Menşe belirtilmemiş</x:v>
      </x:c>
      <x:c r="E9" s="1" t="n">
        <x:v>250</x:v>
      </x:c>
      <x:c r="F9" s="2" t="str">
        <x:v>Erişilemedi</x:v>
      </x:c>
      <x:c r="G9" t="str">
        <x:v>Fiyat</x:v>
      </x:c>
      <x:c r="H9" t="str">
        <x:v>Shopify ürün akışı</x:v>
      </x:c>
      <x:c r="I9" s="28" t="str">
        <x:v>https://aroastinglab.com/products/turkish-coffee-blend-250-gram-turk-kahvesi-sca_clone_freegift</x:v>
      </x:c>
      <x:c r="J9" s="28" t="str">
        <x:v>Öğütüm seçenekleri tekilleştirildi.</x:v>
      </x:c>
    </x:row>
    <x:row r="10">
      <x:c r="A10" t="str">
        <x:v>A4 Kahve</x:v>
      </x:c>
      <x:c r="B10" t="str">
        <x:v>Katalog takip kaydı</x:v>
      </x:c>
      <x:c r="C10" t="str">
        <x:v>Ürün kataloğu — ayrıntılı ürün verisine erişilemedi</x:v>
      </x:c>
      <x:c r="D10" t="str">
        <x:v>Erişilemedi</x:v>
      </x:c>
      <x:c r="E10" s="1" t="str">
        <x:v>Erişilemedi</x:v>
      </x:c>
      <x:c r="F10" s="2" t="str">
        <x:v>Erişilemedi</x:v>
      </x:c>
      <x:c r="G10" t="str">
        <x:v>Gramaj + fiyat</x:v>
      </x:c>
      <x:c r="H10" t="str">
        <x:v>Instagram veya mevcut kaynak</x:v>
      </x:c>
      <x:c r="I10" s="28" t="str">
        <x:v>Erişilemedi</x:v>
      </x:c>
      <x:c r="J10" s="28" t="str">
        <x:v>Ürün adı, gramaj ve fiyat birlikte çıkarılamadı. Bağlantı manuel inceleme için korundu.</x:v>
      </x:c>
    </x:row>
    <x:row r="11">
      <x:c r="A11" t="str">
        <x:v>Abdullah Efendi Kahvesi</x:v>
      </x:c>
      <x:c r="B11" t="str">
        <x:v>Katalog takip kaydı</x:v>
      </x:c>
      <x:c r="C11" t="str">
        <x:v>Ürün kataloğu — ayrıntılı ürün verisine erişilemedi</x:v>
      </x:c>
      <x:c r="D11" t="str">
        <x:v>Erişilemedi</x:v>
      </x:c>
      <x:c r="E11" s="1" t="str">
        <x:v>Erişilemedi</x:v>
      </x:c>
      <x:c r="F11" s="2" t="str">
        <x:v>Erişilemedi</x:v>
      </x:c>
      <x:c r="G11" t="str">
        <x:v>Gramaj + fiyat</x:v>
      </x:c>
      <x:c r="H11" t="str">
        <x:v>Instagram veya mevcut kaynak</x:v>
      </x:c>
      <x:c r="I11" s="28" t="str">
        <x:v>Erişilemedi</x:v>
      </x:c>
      <x:c r="J11" s="28" t="str">
        <x:v>Ürün adı, gramaj ve fiyat birlikte çıkarılamadı. Bağlantı manuel inceleme için korundu.</x:v>
      </x:c>
    </x:row>
    <x:row r="12">
      <x:c r="A12" t="str">
        <x:v>Akademi Kahve</x:v>
      </x:c>
      <x:c r="B12" t="str">
        <x:v>Katalog takip kaydı</x:v>
      </x:c>
      <x:c r="C12" t="str">
        <x:v>Ürün kataloğu — ayrıntılı ürün verisine erişilemedi</x:v>
      </x:c>
      <x:c r="D12" t="str">
        <x:v>Erişilemedi</x:v>
      </x:c>
      <x:c r="E12" s="1" t="str">
        <x:v>Erişilemedi</x:v>
      </x:c>
      <x:c r="F12" s="2" t="str">
        <x:v>Erişilemedi</x:v>
      </x:c>
      <x:c r="G12" t="str">
        <x:v>Gramaj + fiyat</x:v>
      </x:c>
      <x:c r="H12" t="str">
        <x:v>Mağaza/katalog bağlantısı</x:v>
      </x:c>
      <x:c r="I12" s="28" t="str">
        <x:v>https://academyroastery.com/tr</x:v>
      </x:c>
      <x:c r="J12" s="28" t="str">
        <x:v>Ürün adı, gramaj ve fiyat birlikte çıkarılamadı. Bağlantı manuel inceleme için korundu.</x:v>
      </x:c>
    </x:row>
    <x:row r="13">
      <x:c r="A13" t="str">
        <x:v>Arabica Coffee House</x:v>
      </x:c>
      <x:c r="B13" t="str">
        <x:v>Katalog takip kaydı</x:v>
      </x:c>
      <x:c r="C13" t="str">
        <x:v>Ürün kataloğu — ayrıntılı ürün verisine erişilemedi</x:v>
      </x:c>
      <x:c r="D13" t="str">
        <x:v>Erişilemedi</x:v>
      </x:c>
      <x:c r="E13" s="1" t="str">
        <x:v>Erişilemedi</x:v>
      </x:c>
      <x:c r="F13" s="2" t="str">
        <x:v>Erişilemedi</x:v>
      </x:c>
      <x:c r="G13" t="str">
        <x:v>Gramaj + fiyat</x:v>
      </x:c>
      <x:c r="H13" t="str">
        <x:v>Mağaza/katalog bağlantısı</x:v>
      </x:c>
      <x:c r="I13" s="28" t="str">
        <x:v>https://arabicacoffee.com.tr/</x:v>
      </x:c>
      <x:c r="J13" s="28" t="str">
        <x:v>Ürün adı, gramaj ve fiyat birlikte çıkarılamadı. Bağlantı manuel inceleme için korundu.</x:v>
      </x:c>
    </x:row>
    <x:row r="14">
      <x:c r="A14" t="str">
        <x:v>Artukbey Kahve</x:v>
      </x:c>
      <x:c r="B14" t="str">
        <x:v>Ürün kaydı</x:v>
      </x:c>
      <x:c r="C14" t="str">
        <x:v>7'si 1 Arada Dibek Kahve 24 gr*10 Adet (ARTDİGSTOK0021)</x:v>
      </x:c>
      <x:c r="D14" t="str">
        <x:v>Menşe belirtilmemiş</x:v>
      </x:c>
      <x:c r="E14" s="1" t="n">
        <x:v>24</x:v>
      </x:c>
      <x:c r="F14" s="2" t="n">
        <x:v>0</x:v>
      </x:c>
      <x:c r="G14" t="str">
        <x:v>Fiyat</x:v>
      </x:c>
      <x:c r="H14" t="str">
        <x:v>Site haritası ürün sayfası</x:v>
      </x:c>
      <x:c r="I14" s="28" t="str">
        <x:v>https://www.artukbey.com/7si-1-arada-dibek-kahve-24-gr10-adet-34143</x:v>
      </x:c>
      <x:c r="J14" s="28" t="str">
        <x:v>Ürün kimliği korundu; eksik alanlar erişilemedi olarak işaretlenecek.</x:v>
      </x:c>
    </x:row>
    <x:row r="15">
      <x:c r="A15" t="str">
        <x:v>Artukbey Kahve</x:v>
      </x:c>
      <x:c r="B15" t="str">
        <x:v>Ürün kaydı</x:v>
      </x:c>
      <x:c r="C15" t="str">
        <x:v>Artukbey 7 si 1 Arada Dibek Kahve 300gr (ART00102040001)</x:v>
      </x:c>
      <x:c r="D15" t="str">
        <x:v>Menşe belirtilmemiş</x:v>
      </x:c>
      <x:c r="E15" s="1" t="n">
        <x:v>300</x:v>
      </x:c>
      <x:c r="F15" s="2" t="n">
        <x:v>0</x:v>
      </x:c>
      <x:c r="G15" t="str">
        <x:v>Fiyat</x:v>
      </x:c>
      <x:c r="H15" t="str">
        <x:v>Site haritası ürün sayfası</x:v>
      </x:c>
      <x:c r="I15" s="28" t="str">
        <x:v>https://www.artukbey.com/artukbey-7-si-1-arada-dibek-kahve-300-gr</x:v>
      </x:c>
      <x:c r="J15" s="28" t="str">
        <x:v>Ürün kimliği korundu; eksik alanlar erişilemedi olarak işaretlenecek.</x:v>
      </x:c>
    </x:row>
    <x:row r="16">
      <x:c r="A16" t="str">
        <x:v>Artukbey Kahve</x:v>
      </x:c>
      <x:c r="B16" t="str">
        <x:v>Ürün kaydı</x:v>
      </x:c>
      <x:c r="C16" t="str">
        <x:v>Artukbey 7 si Bir Arada Dibek Kahvesi Kese 100 gr (ART00102020002)</x:v>
      </x:c>
      <x:c r="D16" t="str">
        <x:v>Menşe belirtilmemiş</x:v>
      </x:c>
      <x:c r="E16" s="1" t="n">
        <x:v>100</x:v>
      </x:c>
      <x:c r="F16" s="2" t="n">
        <x:v>0</x:v>
      </x:c>
      <x:c r="G16" t="str">
        <x:v>Fiyat</x:v>
      </x:c>
      <x:c r="H16" t="str">
        <x:v>Site haritası ürün sayfası</x:v>
      </x:c>
      <x:c r="I16" s="28" t="str">
        <x:v>https://www.artukbey.com/artukbey-7-si-bir-arada-dibek-kahvesi-kese-100-gr</x:v>
      </x:c>
      <x:c r="J16" s="28" t="str">
        <x:v>Ürün kimliği korundu; eksik alanlar erişilemedi olarak işaretlenecek.</x:v>
      </x:c>
    </x:row>
    <x:row r="17">
      <x:c r="A17" t="str">
        <x:v>Artukbey Kahve</x:v>
      </x:c>
      <x:c r="B17" t="str">
        <x:v>Ürün kaydı</x:v>
      </x:c>
      <x:c r="C17" t="str">
        <x:v>Artukbey Antep Fıstıklı Dibek Kahvesi 300gr (ART00102040003)</x:v>
      </x:c>
      <x:c r="D17" t="str">
        <x:v>Menşe belirtilmemiş</x:v>
      </x:c>
      <x:c r="E17" s="1" t="n">
        <x:v>300</x:v>
      </x:c>
      <x:c r="F17" s="2" t="n">
        <x:v>0</x:v>
      </x:c>
      <x:c r="G17" t="str">
        <x:v>Fiyat</x:v>
      </x:c>
      <x:c r="H17" t="str">
        <x:v>Site haritası ürün sayfası</x:v>
      </x:c>
      <x:c r="I17" s="28" t="str">
        <x:v>https://www.artukbey.com/artukbey-antep-fistikli-dibek-kahvesi-300-gr</x:v>
      </x:c>
      <x:c r="J17" s="28" t="str">
        <x:v>Ürün kimliği korundu; eksik alanlar erişilemedi olarak işaretlenecek.</x:v>
      </x:c>
    </x:row>
    <x:row r="18">
      <x:c r="A18" t="str">
        <x:v>Artukbey Kahve</x:v>
      </x:c>
      <x:c r="B18" t="str">
        <x:v>Ürün kaydı</x:v>
      </x:c>
      <x:c r="C18" t="str">
        <x:v>Artukbey Damla Sakızlı Dibek Kahvesi 250gr (ART00102025007)</x:v>
      </x:c>
      <x:c r="D18" t="str">
        <x:v>Menşe belirtilmemiş</x:v>
      </x:c>
      <x:c r="E18" s="1" t="n">
        <x:v>250</x:v>
      </x:c>
      <x:c r="F18" s="2" t="n">
        <x:v>0</x:v>
      </x:c>
      <x:c r="G18" t="str">
        <x:v>Fiyat</x:v>
      </x:c>
      <x:c r="H18" t="str">
        <x:v>Site haritası ürün sayfası</x:v>
      </x:c>
      <x:c r="I18" s="28" t="str">
        <x:v>https://www.artukbey.com/artukbey-damla-sakizli-dibek-kahvesi-250gr-1337</x:v>
      </x:c>
      <x:c r="J18" s="28" t="str">
        <x:v>Ürün kimliği korundu; eksik alanlar erişilemedi olarak işaretlenecek.</x:v>
      </x:c>
    </x:row>
    <x:row r="19">
      <x:c r="A19" t="str">
        <x:v>Artukbey Kahve</x:v>
      </x:c>
      <x:c r="B19" t="str">
        <x:v>Ürün kaydı</x:v>
      </x:c>
      <x:c r="C19" t="str">
        <x:v>Artukbey Damla Sakızlı Türk Kahvesi 100 gr (ART00102010008)</x:v>
      </x:c>
      <x:c r="D19" t="str">
        <x:v>Menşe belirtilmemiş</x:v>
      </x:c>
      <x:c r="E19" s="1" t="n">
        <x:v>100</x:v>
      </x:c>
      <x:c r="F19" s="2" t="n">
        <x:v>0</x:v>
      </x:c>
      <x:c r="G19" t="str">
        <x:v>Fiyat</x:v>
      </x:c>
      <x:c r="H19" t="str">
        <x:v>Site haritası ürün sayfası</x:v>
      </x:c>
      <x:c r="I19" s="28" t="str">
        <x:v>https://www.artukbey.com/artukbey-damla-sakizli-turk-kahvesi-100-gr-</x:v>
      </x:c>
      <x:c r="J19" s="28" t="str">
        <x:v>Ürün kimliği korundu; eksik alanlar erişilemedi olarak işaretlenecek.</x:v>
      </x:c>
    </x:row>
    <x:row r="20">
      <x:c r="A20" t="str">
        <x:v>Artukbey Kahve</x:v>
      </x:c>
      <x:c r="B20" t="str">
        <x:v>Ürün kaydı</x:v>
      </x:c>
      <x:c r="C20" t="str">
        <x:v>Artukbey Damla Sakızlı Türk Kahvesi 300gr (ART00102040010)</x:v>
      </x:c>
      <x:c r="D20" t="str">
        <x:v>Menşe belirtilmemiş</x:v>
      </x:c>
      <x:c r="E20" s="1" t="n">
        <x:v>300</x:v>
      </x:c>
      <x:c r="F20" s="2" t="n">
        <x:v>0</x:v>
      </x:c>
      <x:c r="G20" t="str">
        <x:v>Fiyat</x:v>
      </x:c>
      <x:c r="H20" t="str">
        <x:v>Site haritası ürün sayfası</x:v>
      </x:c>
      <x:c r="I20" s="28" t="str">
        <x:v>https://www.artukbey.com/artukbey-damla-sakizli-turk-kahvesi-300gr</x:v>
      </x:c>
      <x:c r="J20" s="28" t="str">
        <x:v>Ürün kimliği korundu; eksik alanlar erişilemedi olarak işaretlenecek.</x:v>
      </x:c>
    </x:row>
    <x:row r="21">
      <x:c r="A21" t="str">
        <x:v>Artukbey Kahve</x:v>
      </x:c>
      <x:c r="B21" t="str">
        <x:v>Ürün kaydı</x:v>
      </x:c>
      <x:c r="C21" t="str">
        <x:v>Artukbey Damla Sakızlı Türk Kahvesi Kese 100 gr (ART00102020006)</x:v>
      </x:c>
      <x:c r="D21" t="str">
        <x:v>Menşe belirtilmemiş</x:v>
      </x:c>
      <x:c r="E21" s="1" t="n">
        <x:v>100</x:v>
      </x:c>
      <x:c r="F21" s="2" t="n">
        <x:v>0</x:v>
      </x:c>
      <x:c r="G21" t="str">
        <x:v>Fiyat</x:v>
      </x:c>
      <x:c r="H21" t="str">
        <x:v>Site haritası ürün sayfası</x:v>
      </x:c>
      <x:c r="I21" s="28" t="str">
        <x:v>https://www.artukbey.com/artukbey-damla-sakizli-turk-kahvesi-kese-100-gr</x:v>
      </x:c>
      <x:c r="J21" s="28" t="str">
        <x:v>Ürün kimliği korundu; eksik alanlar erişilemedi olarak işaretlenecek.</x:v>
      </x:c>
    </x:row>
    <x:row r="22">
      <x:c r="A22" t="str">
        <x:v>Artukbey Kahve</x:v>
      </x:c>
      <x:c r="B22" t="str">
        <x:v>Ürün kaydı</x:v>
      </x:c>
      <x:c r="C22" t="str">
        <x:v>Artukbey Dibek 7 Kahve 3 Bitki Special 400gr (ART00102040012)</x:v>
      </x:c>
      <x:c r="D22" t="str">
        <x:v>Menşe belirtilmemiş</x:v>
      </x:c>
      <x:c r="E22" s="1" t="n">
        <x:v>400</x:v>
      </x:c>
      <x:c r="F22" s="2" t="n">
        <x:v>0</x:v>
      </x:c>
      <x:c r="G22" t="str">
        <x:v>Fiyat</x:v>
      </x:c>
      <x:c r="H22" t="str">
        <x:v>Site haritası ürün sayfası</x:v>
      </x:c>
      <x:c r="I22" s="28" t="str">
        <x:v>https://www.artukbey.com/artukbey-dibek-7-kahve-3-bitki-special-400gr-1263</x:v>
      </x:c>
      <x:c r="J22" s="28" t="str">
        <x:v>Ürün kimliği korundu; eksik alanlar erişilemedi olarak işaretlenecek.</x:v>
      </x:c>
    </x:row>
    <x:row r="23">
      <x:c r="A23" t="str">
        <x:v>Artukbey Kahve</x:v>
      </x:c>
      <x:c r="B23" t="str">
        <x:v>Ürün kaydı</x:v>
      </x:c>
      <x:c r="C23" t="str">
        <x:v>Artukbey Dibek 7 Kahve 3 Bitki Special 800gr (ART00102080013)</x:v>
      </x:c>
      <x:c r="D23" t="str">
        <x:v>Menşe belirtilmemiş</x:v>
      </x:c>
      <x:c r="E23" s="1" t="n">
        <x:v>800</x:v>
      </x:c>
      <x:c r="F23" s="2" t="n">
        <x:v>0</x:v>
      </x:c>
      <x:c r="G23" t="str">
        <x:v>Fiyat</x:v>
      </x:c>
      <x:c r="H23" t="str">
        <x:v>Site haritası ürün sayfası</x:v>
      </x:c>
      <x:c r="I23" s="28" t="str">
        <x:v>https://www.artukbey.com/artukbey-dibek-7-kahve-3-bitki-special-800gr-1246</x:v>
      </x:c>
      <x:c r="J23" s="28" t="str">
        <x:v>Ürün kimliği korundu; eksik alanlar erişilemedi olarak işaretlenecek.</x:v>
      </x:c>
    </x:row>
    <x:row r="24">
      <x:c r="A24" t="str">
        <x:v>Artukbey Kahve</x:v>
      </x:c>
      <x:c r="B24" t="str">
        <x:v>Ürün kaydı</x:v>
      </x:c>
      <x:c r="C24" t="str">
        <x:v>Artukbey Fındıklı Dibek Kahvesi 300gr (ART00102040014)</x:v>
      </x:c>
      <x:c r="D24" t="str">
        <x:v>Menşe belirtilmemiş</x:v>
      </x:c>
      <x:c r="E24" s="1" t="n">
        <x:v>300</x:v>
      </x:c>
      <x:c r="F24" s="2" t="n">
        <x:v>0</x:v>
      </x:c>
      <x:c r="G24" t="str">
        <x:v>Fiyat</x:v>
      </x:c>
      <x:c r="H24" t="str">
        <x:v>Site haritası ürün sayfası</x:v>
      </x:c>
      <x:c r="I24" s="28" t="str">
        <x:v>https://www.artukbey.com/artukbey-findikli-dibek-kahvesi-300gr</x:v>
      </x:c>
      <x:c r="J24" s="28" t="str">
        <x:v>Ürün kimliği korundu; eksik alanlar erişilemedi olarak işaretlenecek.</x:v>
      </x:c>
    </x:row>
    <x:row r="25">
      <x:c r="A25" t="str">
        <x:v>Artukbey Kahve</x:v>
      </x:c>
      <x:c r="B25" t="str">
        <x:v>Ürün kaydı</x:v>
      </x:c>
      <x:c r="C25" t="str">
        <x:v>Artukbey Filtre Kahve 1 kg (ARTDİGSTOK0008)</x:v>
      </x:c>
      <x:c r="D25" t="str">
        <x:v>Menşe belirtilmemiş</x:v>
      </x:c>
      <x:c r="E25" s="1" t="n">
        <x:v>1000</x:v>
      </x:c>
      <x:c r="F25" s="2" t="n">
        <x:v>0</x:v>
      </x:c>
      <x:c r="G25" t="str">
        <x:v>Fiyat</x:v>
      </x:c>
      <x:c r="H25" t="str">
        <x:v>Site haritası ürün sayfası</x:v>
      </x:c>
      <x:c r="I25" s="28" t="str">
        <x:v>https://www.artukbey.com/artukbey-filtre-kahve-1-kg-1359</x:v>
      </x:c>
      <x:c r="J25" s="28" t="str">
        <x:v>Ürün kimliği korundu; eksik alanlar erişilemedi olarak işaretlenecek.</x:v>
      </x:c>
    </x:row>
    <x:row r="26">
      <x:c r="A26" t="str">
        <x:v>Artukbey Kahve</x:v>
      </x:c>
      <x:c r="B26" t="str">
        <x:v>Ürün kaydı</x:v>
      </x:c>
      <x:c r="C26" t="str">
        <x:v>Artukbey Hazır Kahve Classic 1 Kg (ART00104100011)</x:v>
      </x:c>
      <x:c r="D26" t="str">
        <x:v>Menşe belirtilmemiş</x:v>
      </x:c>
      <x:c r="E26" s="1" t="n">
        <x:v>1000</x:v>
      </x:c>
      <x:c r="F26" s="2" t="n">
        <x:v>0</x:v>
      </x:c>
      <x:c r="G26" t="str">
        <x:v>Fiyat</x:v>
      </x:c>
      <x:c r="H26" t="str">
        <x:v>Site haritası ürün sayfası</x:v>
      </x:c>
      <x:c r="I26" s="28" t="str">
        <x:v>https://www.artukbey.com/artukbey-hazir-kahve-classic-1-kg-1330</x:v>
      </x:c>
      <x:c r="J26" s="28" t="str">
        <x:v>Ürün kimliği korundu; eksik alanlar erişilemedi olarak işaretlenecek.</x:v>
      </x:c>
    </x:row>
    <x:row r="27">
      <x:c r="A27" t="str">
        <x:v>Artukbey Kahve</x:v>
      </x:c>
      <x:c r="B27" t="str">
        <x:v>Ürün kaydı</x:v>
      </x:c>
      <x:c r="C27" t="str">
        <x:v>Artukbey Hazır Kahve Classic 250 Gr (ART00104025009)</x:v>
      </x:c>
      <x:c r="D27" t="str">
        <x:v>Menşe belirtilmemiş</x:v>
      </x:c>
      <x:c r="E27" s="1" t="n">
        <x:v>250</x:v>
      </x:c>
      <x:c r="F27" s="2" t="n">
        <x:v>0</x:v>
      </x:c>
      <x:c r="G27" t="str">
        <x:v>Fiyat</x:v>
      </x:c>
      <x:c r="H27" t="str">
        <x:v>Site haritası ürün sayfası</x:v>
      </x:c>
      <x:c r="I27" s="28" t="str">
        <x:v>https://www.artukbey.com/artukbey-hazir-kahve-classic-250-gr-1332</x:v>
      </x:c>
      <x:c r="J27" s="28" t="str">
        <x:v>Ürün kimliği korundu; eksik alanlar erişilemedi olarak işaretlenecek.</x:v>
      </x:c>
    </x:row>
    <x:row r="28">
      <x:c r="A28" t="str">
        <x:v>Artukbey Kahve</x:v>
      </x:c>
      <x:c r="B28" t="str">
        <x:v>Ürün kaydı</x:v>
      </x:c>
      <x:c r="C28" t="str">
        <x:v>Artukbey Hazır Kahve Classic 500 Gr (ART00104040010)</x:v>
      </x:c>
      <x:c r="D28" t="str">
        <x:v>Menşe belirtilmemiş</x:v>
      </x:c>
      <x:c r="E28" s="1" t="n">
        <x:v>500</x:v>
      </x:c>
      <x:c r="F28" s="2" t="n">
        <x:v>0</x:v>
      </x:c>
      <x:c r="G28" t="str">
        <x:v>Fiyat</x:v>
      </x:c>
      <x:c r="H28" t="str">
        <x:v>Site haritası ürün sayfası</x:v>
      </x:c>
      <x:c r="I28" s="28" t="str">
        <x:v>https://www.artukbey.com/artukbey-hazir-kahve-classic-500-gr-1331</x:v>
      </x:c>
      <x:c r="J28" s="28" t="str">
        <x:v>Ürün kimliği korundu; eksik alanlar erişilemedi olarak işaretlenecek.</x:v>
      </x:c>
    </x:row>
    <x:row r="29">
      <x:c r="A29" t="str">
        <x:v>Artukbey Kahve</x:v>
      </x:c>
      <x:c r="B29" t="str">
        <x:v>Ürün kaydı</x:v>
      </x:c>
      <x:c r="C29" t="str">
        <x:v>Artukbey Hazır Kahve Gold 1 Kg (ART00104100014)</x:v>
      </x:c>
      <x:c r="D29" t="str">
        <x:v>Menşe belirtilmemiş</x:v>
      </x:c>
      <x:c r="E29" s="1" t="n">
        <x:v>1000</x:v>
      </x:c>
      <x:c r="F29" s="2" t="n">
        <x:v>0</x:v>
      </x:c>
      <x:c r="G29" t="str">
        <x:v>Fiyat</x:v>
      </x:c>
      <x:c r="H29" t="str">
        <x:v>Site haritası ürün sayfası</x:v>
      </x:c>
      <x:c r="I29" s="28" t="str">
        <x:v>https://www.artukbey.com/artukbey-hazir-kahve-gold-1-kg-net845-gr</x:v>
      </x:c>
      <x:c r="J29" s="28" t="str">
        <x:v>Ürün kimliği korundu; eksik alanlar erişilemedi olarak işaretlenecek.</x:v>
      </x:c>
    </x:row>
    <x:row r="30">
      <x:c r="A30" t="str">
        <x:v>Artukbey Kahve</x:v>
      </x:c>
      <x:c r="B30" t="str">
        <x:v>Ürün kaydı</x:v>
      </x:c>
      <x:c r="C30" t="str">
        <x:v>Artukbey Hazır Kahve Gold 250 Gr (ART00104025012)</x:v>
      </x:c>
      <x:c r="D30" t="str">
        <x:v>Menşe belirtilmemiş</x:v>
      </x:c>
      <x:c r="E30" s="1" t="n">
        <x:v>250</x:v>
      </x:c>
      <x:c r="F30" s="2" t="n">
        <x:v>0</x:v>
      </x:c>
      <x:c r="G30" t="str">
        <x:v>Fiyat</x:v>
      </x:c>
      <x:c r="H30" t="str">
        <x:v>Site haritası ürün sayfası</x:v>
      </x:c>
      <x:c r="I30" s="28" t="str">
        <x:v>https://www.artukbey.com/artukbey-hazir-kahve-gold-250-gr-1223</x:v>
      </x:c>
      <x:c r="J30" s="28" t="str">
        <x:v>Ürün kimliği korundu; eksik alanlar erişilemedi olarak işaretlenecek.</x:v>
      </x:c>
    </x:row>
    <x:row r="31">
      <x:c r="A31" t="str">
        <x:v>Artukbey Kahve</x:v>
      </x:c>
      <x:c r="B31" t="str">
        <x:v>Ürün kaydı</x:v>
      </x:c>
      <x:c r="C31" t="str">
        <x:v>Artukbey Hazır Kahve Gold 500 Gr (ART00104040013)</x:v>
      </x:c>
      <x:c r="D31" t="str">
        <x:v>Menşe belirtilmemiş</x:v>
      </x:c>
      <x:c r="E31" s="1" t="n">
        <x:v>500</x:v>
      </x:c>
      <x:c r="F31" s="2" t="n">
        <x:v>0</x:v>
      </x:c>
      <x:c r="G31" t="str">
        <x:v>Fiyat</x:v>
      </x:c>
      <x:c r="H31" t="str">
        <x:v>Site haritası ürün sayfası</x:v>
      </x:c>
      <x:c r="I31" s="28" t="str">
        <x:v>https://www.artukbey.com/artukbey-hazir-kahve-gold-500-gr-net405-gr</x:v>
      </x:c>
      <x:c r="J31" s="28" t="str">
        <x:v>Ürün kimliği korundu; eksik alanlar erişilemedi olarak işaretlenecek.</x:v>
      </x:c>
    </x:row>
    <x:row r="32">
      <x:c r="A32" t="str">
        <x:v>Artukbey Kahve</x:v>
      </x:c>
      <x:c r="B32" t="str">
        <x:v>Ürün kaydı</x:v>
      </x:c>
      <x:c r="C32" t="str">
        <x:v>Artukbey Kakuleli Dibek Kahve Kese 100 gr (ART00102020015)</x:v>
      </x:c>
      <x:c r="D32" t="str">
        <x:v>Menşe belirtilmemiş</x:v>
      </x:c>
      <x:c r="E32" s="1" t="n">
        <x:v>100</x:v>
      </x:c>
      <x:c r="F32" s="2" t="n">
        <x:v>0</x:v>
      </x:c>
      <x:c r="G32" t="str">
        <x:v>Fiyat</x:v>
      </x:c>
      <x:c r="H32" t="str">
        <x:v>Site haritası ürün sayfası</x:v>
      </x:c>
      <x:c r="I32" s="28" t="str">
        <x:v>https://www.artukbey.com/artukbey-kakuleli-dibek-kahve-kese-100-gr</x:v>
      </x:c>
      <x:c r="J32" s="28" t="str">
        <x:v>Ürün kimliği korundu; eksik alanlar erişilemedi olarak işaretlenecek.</x:v>
      </x:c>
    </x:row>
    <x:row r="33">
      <x:c r="A33" t="str">
        <x:v>Artukbey Kahve</x:v>
      </x:c>
      <x:c r="B33" t="str">
        <x:v>Ürün kaydı</x:v>
      </x:c>
      <x:c r="C33" t="str">
        <x:v>Artukbey Kakuleli Dibek Kahvesi 300gr (ART00102040017)</x:v>
      </x:c>
      <x:c r="D33" t="str">
        <x:v>Menşe belirtilmemiş</x:v>
      </x:c>
      <x:c r="E33" s="1" t="n">
        <x:v>300</x:v>
      </x:c>
      <x:c r="F33" s="2" t="n">
        <x:v>0</x:v>
      </x:c>
      <x:c r="G33" t="str">
        <x:v>Fiyat</x:v>
      </x:c>
      <x:c r="H33" t="str">
        <x:v>Site haritası ürün sayfası</x:v>
      </x:c>
      <x:c r="I33" s="28" t="str">
        <x:v>https://www.artukbey.com/artukbey-kakuleli-dibek-kahvesi-300gr1</x:v>
      </x:c>
      <x:c r="J33" s="28" t="str">
        <x:v>Ürün kimliği korundu; eksik alanlar erişilemedi olarak işaretlenecek.</x:v>
      </x:c>
    </x:row>
    <x:row r="34">
      <x:c r="A34" t="str">
        <x:v>Artukbey Kahve</x:v>
      </x:c>
      <x:c r="B34" t="str">
        <x:v>Ürün kaydı</x:v>
      </x:c>
      <x:c r="C34" t="str">
        <x:v>Artukbey Menengiç Kahvesi 200gr (ART00102020021)</x:v>
      </x:c>
      <x:c r="D34" t="str">
        <x:v>Menşe belirtilmemiş</x:v>
      </x:c>
      <x:c r="E34" s="1" t="n">
        <x:v>200</x:v>
      </x:c>
      <x:c r="F34" s="2" t="n">
        <x:v>0</x:v>
      </x:c>
      <x:c r="G34" t="str">
        <x:v>Fiyat</x:v>
      </x:c>
      <x:c r="H34" t="str">
        <x:v>Site haritası ürün sayfası</x:v>
      </x:c>
      <x:c r="I34" s="28" t="str">
        <x:v>https://www.artukbey.com/artukbey-menengic-kahvesi-200gr-1338</x:v>
      </x:c>
      <x:c r="J34" s="28" t="str">
        <x:v>Ürün kimliği korundu; eksik alanlar erişilemedi olarak işaretlenecek.</x:v>
      </x:c>
    </x:row>
    <x:row r="35">
      <x:c r="A35" t="str">
        <x:v>Artukbey Kahve</x:v>
      </x:c>
      <x:c r="B35" t="str">
        <x:v>Ürün kaydı</x:v>
      </x:c>
      <x:c r="C35" t="str">
        <x:v>Artukbey Menengiç Kahvesi 300gr (ART00102040022)</x:v>
      </x:c>
      <x:c r="D35" t="str">
        <x:v>Menşe belirtilmemiş</x:v>
      </x:c>
      <x:c r="E35" s="1" t="n">
        <x:v>300</x:v>
      </x:c>
      <x:c r="F35" s="2" t="n">
        <x:v>0</x:v>
      </x:c>
      <x:c r="G35" t="str">
        <x:v>Fiyat</x:v>
      </x:c>
      <x:c r="H35" t="str">
        <x:v>Site haritası ürün sayfası</x:v>
      </x:c>
      <x:c r="I35" s="28" t="str">
        <x:v>https://www.artukbey.com/artukbey-menengic-kahvesi-300gr</x:v>
      </x:c>
      <x:c r="J35" s="28" t="str">
        <x:v>Ürün kimliği korundu; eksik alanlar erişilemedi olarak işaretlenecek.</x:v>
      </x:c>
    </x:row>
    <x:row r="36">
      <x:c r="A36" t="str">
        <x:v>Artukbey Kahve</x:v>
      </x:c>
      <x:c r="B36" t="str">
        <x:v>Ürün kaydı</x:v>
      </x:c>
      <x:c r="C36" t="str">
        <x:v>Artukbey Menengiç Kahvesi Kese 100 gr (ART00102020039)</x:v>
      </x:c>
      <x:c r="D36" t="str">
        <x:v>Menşe belirtilmemiş</x:v>
      </x:c>
      <x:c r="E36" s="1" t="n">
        <x:v>100</x:v>
      </x:c>
      <x:c r="F36" s="2" t="n">
        <x:v>0</x:v>
      </x:c>
      <x:c r="G36" t="str">
        <x:v>Fiyat</x:v>
      </x:c>
      <x:c r="H36" t="str">
        <x:v>Site haritası ürün sayfası</x:v>
      </x:c>
      <x:c r="I36" s="28" t="str">
        <x:v>https://www.artukbey.com/artukbey-menengic-kahvesi-kese-100gr</x:v>
      </x:c>
      <x:c r="J36" s="28" t="str">
        <x:v>Ürün kimliği korundu; eksik alanlar erişilemedi olarak işaretlenecek.</x:v>
      </x:c>
    </x:row>
    <x:row r="37">
      <x:c r="A37" t="str">
        <x:v>Artukbey Kahve</x:v>
      </x:c>
      <x:c r="B37" t="str">
        <x:v>Ürün kaydı</x:v>
      </x:c>
      <x:c r="C37" t="str">
        <x:v>Artukbey Sade Dibek Türk Kahvesi 300gr (ART00102040027)</x:v>
      </x:c>
      <x:c r="D37" t="str">
        <x:v>Menşe belirtilmemiş</x:v>
      </x:c>
      <x:c r="E37" s="1" t="n">
        <x:v>300</x:v>
      </x:c>
      <x:c r="F37" s="2" t="n">
        <x:v>0</x:v>
      </x:c>
      <x:c r="G37" t="str">
        <x:v>Fiyat</x:v>
      </x:c>
      <x:c r="H37" t="str">
        <x:v>Site haritası ürün sayfası</x:v>
      </x:c>
      <x:c r="I37" s="28" t="str">
        <x:v>https://www.artukbey.com/artukbey-sade-dibek-turk-kahvesi-300-gr</x:v>
      </x:c>
      <x:c r="J37" s="28" t="str">
        <x:v>Ürün kimliği korundu; eksik alanlar erişilemedi olarak işaretlenecek.</x:v>
      </x:c>
    </x:row>
    <x:row r="38">
      <x:c r="A38" t="str">
        <x:v>Artukbey Kahve</x:v>
      </x:c>
      <x:c r="B38" t="str">
        <x:v>Ürün kaydı</x:v>
      </x:c>
      <x:c r="C38" t="str">
        <x:v>Artukbey Sade Dibek Türk Kahvesi Kese 100 gr (ART00102020025)</x:v>
      </x:c>
      <x:c r="D38" t="str">
        <x:v>Menşe belirtilmemiş</x:v>
      </x:c>
      <x:c r="E38" s="1" t="n">
        <x:v>100</x:v>
      </x:c>
      <x:c r="F38" s="2" t="n">
        <x:v>0</x:v>
      </x:c>
      <x:c r="G38" t="str">
        <x:v>Fiyat</x:v>
      </x:c>
      <x:c r="H38" t="str">
        <x:v>Site haritası ürün sayfası</x:v>
      </x:c>
      <x:c r="I38" s="28" t="str">
        <x:v>https://www.artukbey.com/sade-dibek-turk-kahvesi-kese-100-gr</x:v>
      </x:c>
      <x:c r="J38" s="28" t="str">
        <x:v>Ürün kimliği korundu; eksik alanlar erişilemedi olarak işaretlenecek.</x:v>
      </x:c>
    </x:row>
    <x:row r="39">
      <x:c r="A39" t="str">
        <x:v>Artukbey Kahve</x:v>
      </x:c>
      <x:c r="B39" t="str">
        <x:v>Ürün kaydı</x:v>
      </x:c>
      <x:c r="C39" t="str">
        <x:v>Artukbey Special Damla Sakızlı Dibek Kahvesi 250gr (ART00102025029)</x:v>
      </x:c>
      <x:c r="D39" t="str">
        <x:v>Menşe belirtilmemiş</x:v>
      </x:c>
      <x:c r="E39" s="1" t="n">
        <x:v>250</x:v>
      </x:c>
      <x:c r="F39" s="2" t="n">
        <x:v>0</x:v>
      </x:c>
      <x:c r="G39" t="str">
        <x:v>Fiyat</x:v>
      </x:c>
      <x:c r="H39" t="str">
        <x:v>Site haritası ürün sayfası</x:v>
      </x:c>
      <x:c r="I39" s="28" t="str">
        <x:v>https://www.artukbey.com/artukbey-special-damla-sakizli-dibek-kahvesi-250gr-1273</x:v>
      </x:c>
      <x:c r="J39" s="28" t="str">
        <x:v>Ürün kimliği korundu; eksik alanlar erişilemedi olarak işaretlenecek.</x:v>
      </x:c>
    </x:row>
    <x:row r="40">
      <x:c r="A40" t="str">
        <x:v>Artukbey Kahve</x:v>
      </x:c>
      <x:c r="B40" t="str">
        <x:v>Ürün kaydı</x:v>
      </x:c>
      <x:c r="C40" t="str">
        <x:v>Artukbey Special Dibek Kahvesi 250gr (ART00102025030)</x:v>
      </x:c>
      <x:c r="D40" t="str">
        <x:v>Menşe belirtilmemiş</x:v>
      </x:c>
      <x:c r="E40" s="1" t="n">
        <x:v>250</x:v>
      </x:c>
      <x:c r="F40" s="2" t="n">
        <x:v>0</x:v>
      </x:c>
      <x:c r="G40" t="str">
        <x:v>Fiyat</x:v>
      </x:c>
      <x:c r="H40" t="str">
        <x:v>Site haritası ürün sayfası</x:v>
      </x:c>
      <x:c r="I40" s="28" t="str">
        <x:v>https://www.artukbey.com/artukbey-special-dibek-kahvesi-250gr-1272</x:v>
      </x:c>
      <x:c r="J40" s="28" t="str">
        <x:v>Ürün kimliği korundu; eksik alanlar erişilemedi olarak işaretlenecek.</x:v>
      </x:c>
    </x:row>
    <x:row r="41">
      <x:c r="A41" t="str">
        <x:v>Artukbey Kahve</x:v>
      </x:c>
      <x:c r="B41" t="str">
        <x:v>Ürün kaydı</x:v>
      </x:c>
      <x:c r="C41" t="str">
        <x:v>Artukbey Süryani Dibek Kahvesi Kese 100 gr (ART00102020031)</x:v>
      </x:c>
      <x:c r="D41" t="str">
        <x:v>Menşe belirtilmemiş</x:v>
      </x:c>
      <x:c r="E41" s="1" t="n">
        <x:v>100</x:v>
      </x:c>
      <x:c r="F41" s="2" t="n">
        <x:v>0</x:v>
      </x:c>
      <x:c r="G41" t="str">
        <x:v>Fiyat</x:v>
      </x:c>
      <x:c r="H41" t="str">
        <x:v>Site haritası ürün sayfası</x:v>
      </x:c>
      <x:c r="I41" s="28" t="str">
        <x:v>https://www.artukbey.com/artukbey-suryani-dibek-kahvesi-kese-100gr</x:v>
      </x:c>
      <x:c r="J41" s="28" t="str">
        <x:v>Ürün kimliği korundu; eksik alanlar erişilemedi olarak işaretlenecek.</x:v>
      </x:c>
    </x:row>
    <x:row r="42">
      <x:c r="A42" t="str">
        <x:v>Artukbey Kahve</x:v>
      </x:c>
      <x:c r="B42" t="str">
        <x:v>Ürün kaydı</x:v>
      </x:c>
      <x:c r="C42" t="str">
        <x:v>Artukbey Türk Kahvesi 100gr (ART00105010001)</x:v>
      </x:c>
      <x:c r="D42" t="str">
        <x:v>Menşe belirtilmemiş</x:v>
      </x:c>
      <x:c r="E42" s="1" t="n">
        <x:v>100</x:v>
      </x:c>
      <x:c r="F42" s="2" t="n">
        <x:v>0</x:v>
      </x:c>
      <x:c r="G42" t="str">
        <x:v>Fiyat</x:v>
      </x:c>
      <x:c r="H42" t="str">
        <x:v>Site haritası ürün sayfası</x:v>
      </x:c>
      <x:c r="I42" s="28" t="str">
        <x:v>https://www.artukbey.com/artukbey-turk-kahvesi-100gr-1216</x:v>
      </x:c>
      <x:c r="J42" s="28" t="str">
        <x:v>Ürün kimliği korundu; eksik alanlar erişilemedi olarak işaretlenecek.</x:v>
      </x:c>
    </x:row>
    <x:row r="43">
      <x:c r="A43" t="str">
        <x:v>Artukbey Kahve</x:v>
      </x:c>
      <x:c r="B43" t="str">
        <x:v>Ürün kaydı</x:v>
      </x:c>
      <x:c r="C43" t="str">
        <x:v>Bitter Çikolatalı Dibek Kahvesi 300 gr (ART00102040034)</x:v>
      </x:c>
      <x:c r="D43" t="str">
        <x:v>Menşe belirtilmemiş</x:v>
      </x:c>
      <x:c r="E43" s="1" t="n">
        <x:v>300</x:v>
      </x:c>
      <x:c r="F43" s="2" t="n">
        <x:v>0</x:v>
      </x:c>
      <x:c r="G43" t="str">
        <x:v>Fiyat</x:v>
      </x:c>
      <x:c r="H43" t="str">
        <x:v>Site haritası ürün sayfası</x:v>
      </x:c>
      <x:c r="I43" s="28" t="str">
        <x:v>https://www.artukbey.com/bitter-cikolatali-dibek-kahvesi-300-gr</x:v>
      </x:c>
      <x:c r="J43" s="28" t="str">
        <x:v>Ürün kimliği korundu; eksik alanlar erişilemedi olarak işaretlenecek.</x:v>
      </x:c>
    </x:row>
    <x:row r="44">
      <x:c r="A44" t="str">
        <x:v>Artukbey Kahve</x:v>
      </x:c>
      <x:c r="B44" t="str">
        <x:v>Ürün kaydı</x:v>
      </x:c>
      <x:c r="C44" t="str">
        <x:v>Blend (Filtre Kahve ) 250 Gr (ART00103025001)</x:v>
      </x:c>
      <x:c r="D44" t="str">
        <x:v>Harman – menşe belirtilmemiş</x:v>
      </x:c>
      <x:c r="E44" s="1" t="n">
        <x:v>250</x:v>
      </x:c>
      <x:c r="F44" s="2" t="n">
        <x:v>0</x:v>
      </x:c>
      <x:c r="G44" t="str">
        <x:v>Fiyat</x:v>
      </x:c>
      <x:c r="H44" t="str">
        <x:v>Site haritası ürün sayfası</x:v>
      </x:c>
      <x:c r="I44" s="28" t="str">
        <x:v>https://www.artukbey.com/blend-filtre-kahve-cekirdegi-250-gr</x:v>
      </x:c>
      <x:c r="J44" s="28" t="str">
        <x:v>Ürün kimliği korundu; eksik alanlar erişilemedi olarak işaretlenecek.</x:v>
      </x:c>
    </x:row>
    <x:row r="45">
      <x:c r="A45" t="str">
        <x:v>Artukbey Kahve</x:v>
      </x:c>
      <x:c r="B45" t="str">
        <x:v>Ürün kaydı</x:v>
      </x:c>
      <x:c r="C45" t="str">
        <x:v>Classic (Filtre Kahve) 250 Gr (ART00103025002)</x:v>
      </x:c>
      <x:c r="D45" t="str">
        <x:v>Menşe belirtilmemiş</x:v>
      </x:c>
      <x:c r="E45" s="1" t="n">
        <x:v>250</x:v>
      </x:c>
      <x:c r="F45" s="2" t="n">
        <x:v>0</x:v>
      </x:c>
      <x:c r="G45" t="str">
        <x:v>Fiyat</x:v>
      </x:c>
      <x:c r="H45" t="str">
        <x:v>Site haritası ürün sayfası</x:v>
      </x:c>
      <x:c r="I45" s="28" t="str">
        <x:v>https://www.artukbey.com/classic-filtre-kahve-cekirdegi-250-gr</x:v>
      </x:c>
      <x:c r="J45" s="28" t="str">
        <x:v>Ürün kimliği korundu; eksik alanlar erişilemedi olarak işaretlenecek.</x:v>
      </x:c>
    </x:row>
    <x:row r="46">
      <x:c r="A46" t="str">
        <x:v>Artukbey Kahve</x:v>
      </x:c>
      <x:c r="B46" t="str">
        <x:v>Ürün kaydı</x:v>
      </x:c>
      <x:c r="C46" t="str">
        <x:v>Costa Rica (Filtre Kahve) 250 Gr (ART00103025006)</x:v>
      </x:c>
      <x:c r="D46" t="str">
        <x:v>Kosta Rika</x:v>
      </x:c>
      <x:c r="E46" s="1" t="n">
        <x:v>250</x:v>
      </x:c>
      <x:c r="F46" s="2" t="n">
        <x:v>0</x:v>
      </x:c>
      <x:c r="G46" t="str">
        <x:v>Fiyat</x:v>
      </x:c>
      <x:c r="H46" t="str">
        <x:v>Site haritası ürün sayfası</x:v>
      </x:c>
      <x:c r="I46" s="28" t="str">
        <x:v>https://www.artukbey.com/costa-ricafiltre-kahve-cekirdegi-250-gr</x:v>
      </x:c>
      <x:c r="J46" s="28" t="str">
        <x:v>Ürün kimliği korundu; eksik alanlar erişilemedi olarak işaretlenecek.</x:v>
      </x:c>
    </x:row>
    <x:row r="47">
      <x:c r="A47" t="str">
        <x:v>Artukbey Kahve</x:v>
      </x:c>
      <x:c r="B47" t="str">
        <x:v>Ürün kaydı</x:v>
      </x:c>
      <x:c r="C47" t="str">
        <x:v>Damla Sakızlı Türk Kahvesi 1 Kg (ART00102040040)</x:v>
      </x:c>
      <x:c r="D47" t="str">
        <x:v>Menşe belirtilmemiş</x:v>
      </x:c>
      <x:c r="E47" s="1" t="n">
        <x:v>1000</x:v>
      </x:c>
      <x:c r="F47" s="2" t="n">
        <x:v>0</x:v>
      </x:c>
      <x:c r="G47" t="str">
        <x:v>Fiyat</x:v>
      </x:c>
      <x:c r="H47" t="str">
        <x:v>Site haritası ürün sayfası</x:v>
      </x:c>
      <x:c r="I47" s="28" t="str">
        <x:v>https://www.artukbey.com/damla-sakizli-turk-kahvesi-1-kg-1334</x:v>
      </x:c>
      <x:c r="J47" s="28" t="str">
        <x:v>Ürün kimliği korundu; eksik alanlar erişilemedi olarak işaretlenecek.</x:v>
      </x:c>
    </x:row>
    <x:row r="48">
      <x:c r="A48" t="str">
        <x:v>Artukbey Kahve</x:v>
      </x:c>
      <x:c r="B48" t="str">
        <x:v>Ürün kaydı</x:v>
      </x:c>
      <x:c r="C48" t="str">
        <x:v>Damlasakızlı Türk Kahvesi Teneke Kutu 250 gr (ART00102025044)</x:v>
      </x:c>
      <x:c r="D48" t="str">
        <x:v>Menşe belirtilmemiş</x:v>
      </x:c>
      <x:c r="E48" s="1" t="n">
        <x:v>250</x:v>
      </x:c>
      <x:c r="F48" s="2" t="n">
        <x:v>0</x:v>
      </x:c>
      <x:c r="G48" t="str">
        <x:v>Fiyat</x:v>
      </x:c>
      <x:c r="H48" t="str">
        <x:v>Site haritası ürün sayfası</x:v>
      </x:c>
      <x:c r="I48" s="28" t="str">
        <x:v>https://www.artukbey.com/damlasakizli-turk-kahvesi-teneke-kutu-250-gr-1340</x:v>
      </x:c>
      <x:c r="J48" s="28" t="str">
        <x:v>Ürün kimliği korundu; eksik alanlar erişilemedi olarak işaretlenecek.</x:v>
      </x:c>
    </x:row>
    <x:row r="49">
      <x:c r="A49" t="str">
        <x:v>Artukbey Kahve</x:v>
      </x:c>
      <x:c r="B49" t="str">
        <x:v>Ürün kaydı</x:v>
      </x:c>
      <x:c r="C49" t="str">
        <x:v>Espresso Kahve Çekirdeği 1 Kg (ART00104100015)</x:v>
      </x:c>
      <x:c r="D49" t="str">
        <x:v>Menşe belirtilmemiş</x:v>
      </x:c>
      <x:c r="E49" s="1" t="n">
        <x:v>1000</x:v>
      </x:c>
      <x:c r="F49" s="2" t="n">
        <x:v>0</x:v>
      </x:c>
      <x:c r="G49" t="str">
        <x:v>Fiyat</x:v>
      </x:c>
      <x:c r="H49" t="str">
        <x:v>Site haritası ürün sayfası</x:v>
      </x:c>
      <x:c r="I49" s="28" t="str">
        <x:v>https://www.artukbey.com/espresso-kahve-cekirdegi-1-kg-1217</x:v>
      </x:c>
      <x:c r="J49" s="28" t="str">
        <x:v>Ürün kimliği korundu; eksik alanlar erişilemedi olarak işaretlenecek.</x:v>
      </x:c>
    </x:row>
    <x:row r="50">
      <x:c r="A50" t="str">
        <x:v>Artukbey Kahve</x:v>
      </x:c>
      <x:c r="B50" t="str">
        <x:v>Ürün kaydı</x:v>
      </x:c>
      <x:c r="C50" t="str">
        <x:v>Ethiopia (Filtre Kahve Çekirdeği) 250 Gr (ART00103025007)</x:v>
      </x:c>
      <x:c r="D50" t="str">
        <x:v>Etiyopya</x:v>
      </x:c>
      <x:c r="E50" s="1" t="n">
        <x:v>250</x:v>
      </x:c>
      <x:c r="F50" s="2" t="n">
        <x:v>0</x:v>
      </x:c>
      <x:c r="G50" t="str">
        <x:v>Fiyat</x:v>
      </x:c>
      <x:c r="H50" t="str">
        <x:v>Site haritası ürün sayfası</x:v>
      </x:c>
      <x:c r="I50" s="28" t="str">
        <x:v>https://www.artukbey.com/ethiopia-filtre-kahve-cekirdegi-250-gr-1241</x:v>
      </x:c>
      <x:c r="J50" s="28" t="str">
        <x:v>Ürün kimliği korundu; eksik alanlar erişilemedi olarak işaretlenecek.</x:v>
      </x:c>
    </x:row>
    <x:row r="51">
      <x:c r="A51" t="str">
        <x:v>Artukbey Kahve</x:v>
      </x:c>
      <x:c r="B51" t="str">
        <x:v>Ürün kaydı</x:v>
      </x:c>
      <x:c r="C51" t="str">
        <x:v>Gold Kahve (40 adet*2 gr) (ART00104000024)</x:v>
      </x:c>
      <x:c r="D51" t="str">
        <x:v>Menşe belirtilmemiş</x:v>
      </x:c>
      <x:c r="E51" s="1" t="str">
        <x:v>Erişilemedi</x:v>
      </x:c>
      <x:c r="F51" s="2" t="n">
        <x:v>0</x:v>
      </x:c>
      <x:c r="G51" t="str">
        <x:v>Gramaj + fiyat</x:v>
      </x:c>
      <x:c r="H51" t="str">
        <x:v>Site haritası ürün sayfası</x:v>
      </x:c>
      <x:c r="I51" s="28" t="str">
        <x:v>https://www.artukbey.com/gold-kahve-40-adet2-gr1</x:v>
      </x:c>
      <x:c r="J51" s="28" t="str">
        <x:v>Ürün kimliği korundu; eksik alanlar erişilemedi olarak işaretlenecek.</x:v>
      </x:c>
    </x:row>
    <x:row r="52">
      <x:c r="A52" t="str">
        <x:v>Artukbey Kahve</x:v>
      </x:c>
      <x:c r="B52" t="str">
        <x:v>Ürün kaydı</x:v>
      </x:c>
      <x:c r="C52" t="str">
        <x:v>Kahve Kreması (Süt tozu) 1 Kg (ART01403100001)</x:v>
      </x:c>
      <x:c r="D52" t="str">
        <x:v>Menşe belirtilmemiş</x:v>
      </x:c>
      <x:c r="E52" s="1" t="n">
        <x:v>1000</x:v>
      </x:c>
      <x:c r="F52" s="2" t="n">
        <x:v>0</x:v>
      </x:c>
      <x:c r="G52" t="str">
        <x:v>Fiyat</x:v>
      </x:c>
      <x:c r="H52" t="str">
        <x:v>Site haritası ürün sayfası</x:v>
      </x:c>
      <x:c r="I52" s="28" t="str">
        <x:v>https://www.artukbey.com/kahve-kremasi-sut-tozu-1-kg-net845-gr</x:v>
      </x:c>
      <x:c r="J52" s="28" t="str">
        <x:v>Ürün kimliği korundu; eksik alanlar erişilemedi olarak işaretlenecek.</x:v>
      </x:c>
    </x:row>
    <x:row r="53">
      <x:c r="A53" t="str">
        <x:v>Artukbey Kahve</x:v>
      </x:c>
      <x:c r="B53" t="str">
        <x:v>Ürün kaydı</x:v>
      </x:c>
      <x:c r="C53" t="str">
        <x:v>Kahve Kreması (Süt tozu) 250 Gr (ART01403025002)</x:v>
      </x:c>
      <x:c r="D53" t="str">
        <x:v>Menşe belirtilmemiş</x:v>
      </x:c>
      <x:c r="E53" s="1" t="n">
        <x:v>250</x:v>
      </x:c>
      <x:c r="F53" s="2" t="n">
        <x:v>0</x:v>
      </x:c>
      <x:c r="G53" t="str">
        <x:v>Fiyat</x:v>
      </x:c>
      <x:c r="H53" t="str">
        <x:v>Site haritası ürün sayfası</x:v>
      </x:c>
      <x:c r="I53" s="28" t="str">
        <x:v>https://www.artukbey.com/kahve-kremasi-sut-tozu-250-gr-934</x:v>
      </x:c>
      <x:c r="J53" s="28" t="str">
        <x:v>Ürün kimliği korundu; eksik alanlar erişilemedi olarak işaretlenecek.</x:v>
      </x:c>
    </x:row>
    <x:row r="54">
      <x:c r="A54" t="str">
        <x:v>Artukbey Kahve</x:v>
      </x:c>
      <x:c r="B54" t="str">
        <x:v>Ürün kaydı</x:v>
      </x:c>
      <x:c r="C54" t="str">
        <x:v>Kahve Kreması (Süt tozu) 500 Gr (ART01403050003)</x:v>
      </x:c>
      <x:c r="D54" t="str">
        <x:v>Menşe belirtilmemiş</x:v>
      </x:c>
      <x:c r="E54" s="1" t="n">
        <x:v>500</x:v>
      </x:c>
      <x:c r="F54" s="2" t="n">
        <x:v>0</x:v>
      </x:c>
      <x:c r="G54" t="str">
        <x:v>Fiyat</x:v>
      </x:c>
      <x:c r="H54" t="str">
        <x:v>Site haritası ürün sayfası</x:v>
      </x:c>
      <x:c r="I54" s="28" t="str">
        <x:v>https://www.artukbey.com/kahve-kremasi-sut-tozu-500-gr-net405-gr</x:v>
      </x:c>
      <x:c r="J54" s="28" t="str">
        <x:v>Ürün kimliği korundu; eksik alanlar erişilemedi olarak işaretlenecek.</x:v>
      </x:c>
    </x:row>
    <x:row r="55">
      <x:c r="A55" t="str">
        <x:v>Artukbey Kahve</x:v>
      </x:c>
      <x:c r="B55" t="str">
        <x:v>Ürün kaydı</x:v>
      </x:c>
      <x:c r="C55" t="str">
        <x:v>Kahveli Sarma Lokum 1 kg (ART00505100006)</x:v>
      </x:c>
      <x:c r="D55" t="str">
        <x:v>Menşe belirtilmemiş</x:v>
      </x:c>
      <x:c r="E55" s="1" t="n">
        <x:v>1000</x:v>
      </x:c>
      <x:c r="F55" s="2" t="n">
        <x:v>0</x:v>
      </x:c>
      <x:c r="G55" t="str">
        <x:v>Fiyat</x:v>
      </x:c>
      <x:c r="H55" t="str">
        <x:v>Site haritası ürün sayfası</x:v>
      </x:c>
      <x:c r="I55" s="28" t="str">
        <x:v>https://www.artukbey.com/kahveli-sarma-lokum-1-kg-net-845-gr</x:v>
      </x:c>
      <x:c r="J55" s="28" t="str">
        <x:v>Ürün kimliği korundu; eksik alanlar erişilemedi olarak işaretlenecek.</x:v>
      </x:c>
    </x:row>
    <x:row r="56">
      <x:c r="A56" t="str">
        <x:v>Artukbey Kahve</x:v>
      </x:c>
      <x:c r="B56" t="str">
        <x:v>Ürün kaydı</x:v>
      </x:c>
      <x:c r="C56" t="str">
        <x:v>Kahveli Sarma Lokum 250 Gr (ART00505025004)</x:v>
      </x:c>
      <x:c r="D56" t="str">
        <x:v>Menşe belirtilmemiş</x:v>
      </x:c>
      <x:c r="E56" s="1" t="n">
        <x:v>250</x:v>
      </x:c>
      <x:c r="F56" s="2" t="n">
        <x:v>0</x:v>
      </x:c>
      <x:c r="G56" t="str">
        <x:v>Fiyat</x:v>
      </x:c>
      <x:c r="H56" t="str">
        <x:v>Site haritası ürün sayfası</x:v>
      </x:c>
      <x:c r="I56" s="28" t="str">
        <x:v>https://www.artukbey.com/kahveli-sarma-lokum-250-gr-1076</x:v>
      </x:c>
      <x:c r="J56" s="28" t="str">
        <x:v>Ürün kimliği korundu; eksik alanlar erişilemedi olarak işaretlenecek.</x:v>
      </x:c>
    </x:row>
    <x:row r="57">
      <x:c r="A57" t="str">
        <x:v>Artukbey Kahve</x:v>
      </x:c>
      <x:c r="B57" t="str">
        <x:v>Ürün kaydı</x:v>
      </x:c>
      <x:c r="C57" t="str">
        <x:v>Kahveli Sarma Lokum 500 Gr (ART00505050005)</x:v>
      </x:c>
      <x:c r="D57" t="str">
        <x:v>Menşe belirtilmemiş</x:v>
      </x:c>
      <x:c r="E57" s="1" t="n">
        <x:v>500</x:v>
      </x:c>
      <x:c r="F57" s="2" t="n">
        <x:v>0</x:v>
      </x:c>
      <x:c r="G57" t="str">
        <x:v>Fiyat</x:v>
      </x:c>
      <x:c r="H57" t="str">
        <x:v>Site haritası ürün sayfası</x:v>
      </x:c>
      <x:c r="I57" s="28" t="str">
        <x:v>https://www.artukbey.com/kahveli-sarma-lokum-500-gr-net405-gr</x:v>
      </x:c>
      <x:c r="J57" s="28" t="str">
        <x:v>Ürün kimliği korundu; eksik alanlar erişilemedi olarak işaretlenecek.</x:v>
      </x:c>
    </x:row>
    <x:row r="58">
      <x:c r="A58" t="str">
        <x:v>Artukbey Kahve</x:v>
      </x:c>
      <x:c r="B58" t="str">
        <x:v>Ürün kaydı</x:v>
      </x:c>
      <x:c r="C58" t="str">
        <x:v>Kenya (Filtre Kahve Çekirdeği) 250 Gr (ART00104025017)</x:v>
      </x:c>
      <x:c r="D58" t="str">
        <x:v>Kenya</x:v>
      </x:c>
      <x:c r="E58" s="1" t="n">
        <x:v>250</x:v>
      </x:c>
      <x:c r="F58" s="2" t="n">
        <x:v>0</x:v>
      </x:c>
      <x:c r="G58" t="str">
        <x:v>Fiyat</x:v>
      </x:c>
      <x:c r="H58" t="str">
        <x:v>Site haritası ürün sayfası</x:v>
      </x:c>
      <x:c r="I58" s="28" t="str">
        <x:v>https://www.artukbey.com/kenya-filtre-kahve-cekirdegi-250-gr-1222</x:v>
      </x:c>
      <x:c r="J58" s="28" t="str">
        <x:v>Ürün kimliği korundu; eksik alanlar erişilemedi olarak işaretlenecek.</x:v>
      </x:c>
    </x:row>
    <x:row r="59">
      <x:c r="A59" t="str">
        <x:v>Artukbey Kahve</x:v>
      </x:c>
      <x:c r="B59" t="str">
        <x:v>Ürün kaydı</x:v>
      </x:c>
      <x:c r="C59" t="str">
        <x:v>Menengiç Kahve 100gr (ART00102020022)</x:v>
      </x:c>
      <x:c r="D59" t="str">
        <x:v>Menşe belirtilmemiş</x:v>
      </x:c>
      <x:c r="E59" s="1" t="n">
        <x:v>100</x:v>
      </x:c>
      <x:c r="F59" s="2" t="n">
        <x:v>0</x:v>
      </x:c>
      <x:c r="G59" t="str">
        <x:v>Fiyat</x:v>
      </x:c>
      <x:c r="H59" t="str">
        <x:v>Site haritası ürün sayfası</x:v>
      </x:c>
      <x:c r="I59" s="28" t="str">
        <x:v>https://www.artukbey.com/menengic-kahve-100gr-34128</x:v>
      </x:c>
      <x:c r="J59" s="28" t="str">
        <x:v>Ürün kimliği korundu; eksik alanlar erişilemedi olarak işaretlenecek.</x:v>
      </x:c>
    </x:row>
    <x:row r="60">
      <x:c r="A60" t="str">
        <x:v>Artukbey Kahve</x:v>
      </x:c>
      <x:c r="B60" t="str">
        <x:v>Ürün kaydı</x:v>
      </x:c>
      <x:c r="C60" t="str">
        <x:v>Sade Türk Kahvesi (Hazır Set) (ART00104000019)</x:v>
      </x:c>
      <x:c r="D60" t="str">
        <x:v>Menşe belirtilmemiş</x:v>
      </x:c>
      <x:c r="E60" s="1" t="str">
        <x:v>Erişilemedi</x:v>
      </x:c>
      <x:c r="F60" s="2" t="n">
        <x:v>0</x:v>
      </x:c>
      <x:c r="G60" t="str">
        <x:v>Gramaj + fiyat</x:v>
      </x:c>
      <x:c r="H60" t="str">
        <x:v>Site haritası ürün sayfası</x:v>
      </x:c>
      <x:c r="I60" s="28" t="str">
        <x:v>https://www.artukbey.com/sade-turk-kahvesi-10lu-7-gr-hazir-set</x:v>
      </x:c>
      <x:c r="J60" s="28" t="str">
        <x:v>Ürün kimliği korundu; eksik alanlar erişilemedi olarak işaretlenecek.</x:v>
      </x:c>
    </x:row>
    <x:row r="61">
      <x:c r="A61" t="str">
        <x:v>Artukbey Kahve</x:v>
      </x:c>
      <x:c r="B61" t="str">
        <x:v>Ürün kaydı</x:v>
      </x:c>
      <x:c r="C61" t="str">
        <x:v>Special Damla Sakızlı Dibek Kahvesi 300gr (ART00102040037)</x:v>
      </x:c>
      <x:c r="D61" t="str">
        <x:v>Menşe belirtilmemiş</x:v>
      </x:c>
      <x:c r="E61" s="1" t="n">
        <x:v>300</x:v>
      </x:c>
      <x:c r="F61" s="2" t="n">
        <x:v>0</x:v>
      </x:c>
      <x:c r="G61" t="str">
        <x:v>Fiyat</x:v>
      </x:c>
      <x:c r="H61" t="str">
        <x:v>Site haritası ürün sayfası</x:v>
      </x:c>
      <x:c r="I61" s="28" t="str">
        <x:v>https://www.artukbey.com/special-damla-sakizli-dibek-kahvesi-300gr</x:v>
      </x:c>
      <x:c r="J61" s="28" t="str">
        <x:v>Ürün kimliği korundu; eksik alanlar erişilemedi olarak işaretlenecek.</x:v>
      </x:c>
    </x:row>
    <x:row r="62">
      <x:c r="A62" t="str">
        <x:v>Artukbey Kahve</x:v>
      </x:c>
      <x:c r="B62" t="str">
        <x:v>Ürün kaydı</x:v>
      </x:c>
      <x:c r="C62" t="str">
        <x:v>Special Damlasakızlı Dibek Kahvesi Teneke Kutu 250 gr (ART00102025042)</x:v>
      </x:c>
      <x:c r="D62" t="str">
        <x:v>Menşe belirtilmemiş</x:v>
      </x:c>
      <x:c r="E62" s="1" t="n">
        <x:v>250</x:v>
      </x:c>
      <x:c r="F62" s="2" t="n">
        <x:v>0</x:v>
      </x:c>
      <x:c r="G62" t="str">
        <x:v>Fiyat</x:v>
      </x:c>
      <x:c r="H62" t="str">
        <x:v>Site haritası ürün sayfası</x:v>
      </x:c>
      <x:c r="I62" s="28" t="str">
        <x:v>https://www.artukbey.com/special-damlasakizli-dibek-kahvesi-teneke-kutu-250-gr-1311</x:v>
      </x:c>
      <x:c r="J62" s="28" t="str">
        <x:v>Ürün kimliği korundu; eksik alanlar erişilemedi olarak işaretlenecek.</x:v>
      </x:c>
    </x:row>
    <x:row r="63">
      <x:c r="A63" t="str">
        <x:v>Artukbey Kahve</x:v>
      </x:c>
      <x:c r="B63" t="str">
        <x:v>Ürün kaydı</x:v>
      </x:c>
      <x:c r="C63" t="str">
        <x:v>Special Dibek Kahvesi Kese 100gr (ART00102020040)</x:v>
      </x:c>
      <x:c r="D63" t="str">
        <x:v>Menşe belirtilmemiş</x:v>
      </x:c>
      <x:c r="E63" s="1" t="n">
        <x:v>100</x:v>
      </x:c>
      <x:c r="F63" s="2" t="n">
        <x:v>0</x:v>
      </x:c>
      <x:c r="G63" t="str">
        <x:v>Fiyat</x:v>
      </x:c>
      <x:c r="H63" t="str">
        <x:v>Site haritası ürün sayfası</x:v>
      </x:c>
      <x:c r="I63" s="28" t="str">
        <x:v>https://www.artukbey.com/special-dibek-kahvesi-kese-100gr1</x:v>
      </x:c>
      <x:c r="J63" s="28" t="str">
        <x:v>Ürün kimliği korundu; eksik alanlar erişilemedi olarak işaretlenecek.</x:v>
      </x:c>
    </x:row>
    <x:row r="64">
      <x:c r="A64" t="str">
        <x:v>Artukbey Kahve</x:v>
      </x:c>
      <x:c r="B64" t="str">
        <x:v>Ürün kaydı</x:v>
      </x:c>
      <x:c r="C64" t="str">
        <x:v>Special Kahve 100 gr (ART00102020027)</x:v>
      </x:c>
      <x:c r="D64" t="str">
        <x:v>Menşe belirtilmemiş</x:v>
      </x:c>
      <x:c r="E64" s="1" t="n">
        <x:v>100</x:v>
      </x:c>
      <x:c r="F64" s="2" t="n">
        <x:v>0</x:v>
      </x:c>
      <x:c r="G64" t="str">
        <x:v>Fiyat</x:v>
      </x:c>
      <x:c r="H64" t="str">
        <x:v>Site haritası ürün sayfası</x:v>
      </x:c>
      <x:c r="I64" s="28" t="str">
        <x:v>https://www.artukbey.com/special-dibek-kahve-100-gr</x:v>
      </x:c>
      <x:c r="J64" s="28" t="str">
        <x:v>Ürün kimliği korundu; eksik alanlar erişilemedi olarak işaretlenecek.</x:v>
      </x:c>
    </x:row>
    <x:row r="65">
      <x:c r="A65" t="str">
        <x:v>Artukbey Kahve</x:v>
      </x:c>
      <x:c r="B65" t="str">
        <x:v>Ürün kaydı</x:v>
      </x:c>
      <x:c r="C65" t="str">
        <x:v>Special Menengiç Dibek Kahvesi 250 gr (ART00102025040)</x:v>
      </x:c>
      <x:c r="D65" t="str">
        <x:v>Menşe belirtilmemiş</x:v>
      </x:c>
      <x:c r="E65" s="1" t="n">
        <x:v>250</x:v>
      </x:c>
      <x:c r="F65" s="2" t="n">
        <x:v>0</x:v>
      </x:c>
      <x:c r="G65" t="str">
        <x:v>Fiyat</x:v>
      </x:c>
      <x:c r="H65" t="str">
        <x:v>Site haritası ürün sayfası</x:v>
      </x:c>
      <x:c r="I65" s="28" t="str">
        <x:v>https://www.artukbey.com/special-menengic-dibek-kahvesi-250gr-1269</x:v>
      </x:c>
      <x:c r="J65" s="28" t="str">
        <x:v>Ürün kimliği korundu; eksik alanlar erişilemedi olarak işaretlenecek.</x:v>
      </x:c>
    </x:row>
    <x:row r="66">
      <x:c r="A66" t="str">
        <x:v>Artukbey Kahve</x:v>
      </x:c>
      <x:c r="B66" t="str">
        <x:v>Ürün kaydı</x:v>
      </x:c>
      <x:c r="C66" t="str">
        <x:v>Süryani Dibek Kahve 300 gr (ART00102040033)</x:v>
      </x:c>
      <x:c r="D66" t="str">
        <x:v>Menşe belirtilmemiş</x:v>
      </x:c>
      <x:c r="E66" s="1" t="n">
        <x:v>300</x:v>
      </x:c>
      <x:c r="F66" s="2" t="n">
        <x:v>0</x:v>
      </x:c>
      <x:c r="G66" t="str">
        <x:v>Fiyat</x:v>
      </x:c>
      <x:c r="H66" t="str">
        <x:v>Site haritası ürün sayfası</x:v>
      </x:c>
      <x:c r="I66" s="28" t="str">
        <x:v>https://www.artukbey.com/artukbey-suryani-dibek-kahvesi-300-gr</x:v>
      </x:c>
      <x:c r="J66" s="28" t="str">
        <x:v>Ürün kimliği korundu; eksik alanlar erişilemedi olarak işaretlenecek.</x:v>
      </x:c>
    </x:row>
    <x:row r="67">
      <x:c r="A67" t="str">
        <x:v>Artukbey Kahve</x:v>
      </x:c>
      <x:c r="B67" t="str">
        <x:v>Ürün kaydı</x:v>
      </x:c>
      <x:c r="C67" t="str">
        <x:v>Sütlü Türk Kahvesi (Hazır Set) (ART00104000023)</x:v>
      </x:c>
      <x:c r="D67" t="str">
        <x:v>Menşe belirtilmemiş</x:v>
      </x:c>
      <x:c r="E67" s="1" t="str">
        <x:v>Erişilemedi</x:v>
      </x:c>
      <x:c r="F67" s="2" t="n">
        <x:v>0</x:v>
      </x:c>
      <x:c r="G67" t="str">
        <x:v>Gramaj + fiyat</x:v>
      </x:c>
      <x:c r="H67" t="str">
        <x:v>Site haritası ürün sayfası</x:v>
      </x:c>
      <x:c r="I67" s="28" t="str">
        <x:v>https://www.artukbey.com/sutlu-turk-kahvesi-hazir-set-1333</x:v>
      </x:c>
      <x:c r="J67" s="28" t="str">
        <x:v>Ürün kimliği korundu; eksik alanlar erişilemedi olarak işaretlenecek.</x:v>
      </x:c>
    </x:row>
    <x:row r="68">
      <x:c r="A68" t="str">
        <x:v>Artukbey Kahve</x:v>
      </x:c>
      <x:c r="B68" t="str">
        <x:v>Ürün kaydı</x:v>
      </x:c>
      <x:c r="C68" t="str">
        <x:v>Türk Kahvesi (Açık) 1 Kg (ART00105100003)</x:v>
      </x:c>
      <x:c r="D68" t="str">
        <x:v>Menşe belirtilmemiş</x:v>
      </x:c>
      <x:c r="E68" s="1" t="n">
        <x:v>1000</x:v>
      </x:c>
      <x:c r="F68" s="2" t="n">
        <x:v>0</x:v>
      </x:c>
      <x:c r="G68" t="str">
        <x:v>Fiyat</x:v>
      </x:c>
      <x:c r="H68" t="str">
        <x:v>Site haritası ürün sayfası</x:v>
      </x:c>
      <x:c r="I68" s="28" t="str">
        <x:v>https://www.artukbey.com/turk-kahvesi-acik-1-kg-net845-gr</x:v>
      </x:c>
      <x:c r="J68" s="28" t="str">
        <x:v>Ürün kimliği korundu; eksik alanlar erişilemedi olarak işaretlenecek.</x:v>
      </x:c>
    </x:row>
    <x:row r="69">
      <x:c r="A69" t="str">
        <x:v>Artukbey Kahve</x:v>
      </x:c>
      <x:c r="B69" t="str">
        <x:v>Ürün kaydı</x:v>
      </x:c>
      <x:c r="C69" t="str">
        <x:v>Türk Kahvesi (Açık) 250 Gr (ART00105025002)</x:v>
      </x:c>
      <x:c r="D69" t="str">
        <x:v>Menşe belirtilmemiş</x:v>
      </x:c>
      <x:c r="E69" s="1" t="n">
        <x:v>250</x:v>
      </x:c>
      <x:c r="F69" s="2" t="n">
        <x:v>0</x:v>
      </x:c>
      <x:c r="G69" t="str">
        <x:v>Fiyat</x:v>
      </x:c>
      <x:c r="H69" t="str">
        <x:v>Site haritası ürün sayfası</x:v>
      </x:c>
      <x:c r="I69" s="28" t="str">
        <x:v>https://www.artukbey.com/turk-kahvesi-acik-250-gr-1215</x:v>
      </x:c>
      <x:c r="J69" s="28" t="str">
        <x:v>Ürün kimliği korundu; eksik alanlar erişilemedi olarak işaretlenecek.</x:v>
      </x:c>
    </x:row>
    <x:row r="70">
      <x:c r="A70" t="str">
        <x:v>Artukbey Kahve</x:v>
      </x:c>
      <x:c r="B70" t="str">
        <x:v>Ürün kaydı</x:v>
      </x:c>
      <x:c r="C70" t="str">
        <x:v>Türk Kahvesi (Açık) 500 Gr (ART00105050004)</x:v>
      </x:c>
      <x:c r="D70" t="str">
        <x:v>Menşe belirtilmemiş</x:v>
      </x:c>
      <x:c r="E70" s="1" t="n">
        <x:v>500</x:v>
      </x:c>
      <x:c r="F70" s="2" t="n">
        <x:v>0</x:v>
      </x:c>
      <x:c r="G70" t="str">
        <x:v>Fiyat</x:v>
      </x:c>
      <x:c r="H70" t="str">
        <x:v>Site haritası ürün sayfası</x:v>
      </x:c>
      <x:c r="I70" s="28" t="str">
        <x:v>https://www.artukbey.com/turk-kahvesi-acik-500-gr-net405-gr</x:v>
      </x:c>
      <x:c r="J70" s="28" t="str">
        <x:v>Ürün kimliği korundu; eksik alanlar erişilemedi olarak işaretlenecek.</x:v>
      </x:c>
    </x:row>
    <x:row r="71">
      <x:c r="A71" t="str">
        <x:v>Backfield Roasting Co.</x:v>
      </x:c>
      <x:c r="B71" t="str">
        <x:v>Katalog takip kaydı</x:v>
      </x:c>
      <x:c r="C71" t="str">
        <x:v>Ürün kataloğu — ayrıntılı ürün verisine erişilemedi</x:v>
      </x:c>
      <x:c r="D71" t="str">
        <x:v>Erişilemedi</x:v>
      </x:c>
      <x:c r="E71" s="1" t="str">
        <x:v>Erişilemedi</x:v>
      </x:c>
      <x:c r="F71" s="2" t="str">
        <x:v>Erişilemedi</x:v>
      </x:c>
      <x:c r="G71" t="str">
        <x:v>Gramaj + fiyat</x:v>
      </x:c>
      <x:c r="H71" t="str">
        <x:v>Instagram veya mevcut kaynak</x:v>
      </x:c>
      <x:c r="I71" s="28" t="str">
        <x:v>Erişilemedi</x:v>
      </x:c>
      <x:c r="J71" s="28" t="str">
        <x:v>Ürün adı, gramaj ve fiyat birlikte çıkarılamadı. Bağlantı manuel inceleme için korundu.</x:v>
      </x:c>
    </x:row>
    <x:row r="72">
      <x:c r="A72" t="str">
        <x:v>Baristas Roastery</x:v>
      </x:c>
      <x:c r="B72" t="str">
        <x:v>Katalog takip kaydı</x:v>
      </x:c>
      <x:c r="C72" t="str">
        <x:v>Ürün kataloğu — ayrıntılı ürün verisine erişilemedi</x:v>
      </x:c>
      <x:c r="D72" t="str">
        <x:v>Erişilemedi</x:v>
      </x:c>
      <x:c r="E72" s="1" t="str">
        <x:v>Erişilemedi</x:v>
      </x:c>
      <x:c r="F72" s="2" t="str">
        <x:v>Erişilemedi</x:v>
      </x:c>
      <x:c r="G72" t="str">
        <x:v>Gramaj + fiyat</x:v>
      </x:c>
      <x:c r="H72" t="str">
        <x:v>Mağaza/katalog bağlantısı</x:v>
      </x:c>
      <x:c r="I72" s="28" t="str">
        <x:v>https://www.baristasroastery.com/</x:v>
      </x:c>
      <x:c r="J72" s="28" t="str">
        <x:v>Ürün adı, gramaj ve fiyat birlikte çıkarılamadı. Bağlantı manuel inceleme için korundu.</x:v>
      </x:c>
    </x:row>
    <x:row r="73">
      <x:c r="A73" t="str">
        <x:v>Baristocrat</x:v>
      </x:c>
      <x:c r="B73" t="str">
        <x:v>Ürün kaydı</x:v>
      </x:c>
      <x:c r="C73" t="str">
        <x:v>Aristocrat Espresso Blend</x:v>
      </x:c>
      <x:c r="D73" t="str">
        <x:v>Harman – menşe belirtilmemiş</x:v>
      </x:c>
      <x:c r="E73" s="1" t="str">
        <x:v>Erişilemedi</x:v>
      </x:c>
      <x:c r="F73" s="2" t="n">
        <x:v>500</x:v>
      </x:c>
      <x:c r="G73" t="str">
        <x:v>Gramaj</x:v>
      </x:c>
      <x:c r="H73" t="str">
        <x:v>WooCommerce Store API</x:v>
      </x:c>
      <x:c r="I73" s="28" t="str">
        <x:v>https://www.baristocrat.com/urun/aristocrat-espresso-blend/</x:v>
      </x:c>
      <x:c r="J73" s="28" t="str">
        <x:v>Fiyat veya gramaj eksik olsa da ürün korundu.</x:v>
      </x:c>
    </x:row>
    <x:row r="74">
      <x:c r="A74" t="str">
        <x:v>Baristocrat</x:v>
      </x:c>
      <x:c r="B74" t="str">
        <x:v>Ürün kaydı</x:v>
      </x:c>
      <x:c r="C74" t="str">
        <x:v>Baristocrat Sample Box</x:v>
      </x:c>
      <x:c r="D74" t="str">
        <x:v>Menşe belirtilmemiş</x:v>
      </x:c>
      <x:c r="E74" s="1" t="str">
        <x:v>Erişilemedi</x:v>
      </x:c>
      <x:c r="F74" s="2" t="n">
        <x:v>1000</x:v>
      </x:c>
      <x:c r="G74" t="str">
        <x:v>Gramaj</x:v>
      </x:c>
      <x:c r="H74" t="str">
        <x:v>WooCommerce Store API</x:v>
      </x:c>
      <x:c r="I74" s="28" t="str">
        <x:v>https://www.baristocrat.com/urun/baristocrat-sample-box/</x:v>
      </x:c>
      <x:c r="J74" s="28" t="str">
        <x:v>Fiyat veya gramaj eksik olsa da ürün korundu.</x:v>
      </x:c>
    </x:row>
    <x:row r="75">
      <x:c r="A75" t="str">
        <x:v>Barney’s Coffee House</x:v>
      </x:c>
      <x:c r="B75" t="str">
        <x:v>Katalog takip kaydı</x:v>
      </x:c>
      <x:c r="C75" t="str">
        <x:v>Ürün kataloğu — ayrıntılı ürün verisine erişilemedi</x:v>
      </x:c>
      <x:c r="D75" t="str">
        <x:v>Erişilemedi</x:v>
      </x:c>
      <x:c r="E75" s="1" t="str">
        <x:v>Erişilemedi</x:v>
      </x:c>
      <x:c r="F75" s="2" t="str">
        <x:v>Erişilemedi</x:v>
      </x:c>
      <x:c r="G75" t="str">
        <x:v>Gramaj + fiyat</x:v>
      </x:c>
      <x:c r="H75" t="str">
        <x:v>Instagram veya mevcut kaynak</x:v>
      </x:c>
      <x:c r="I75" s="28" t="str">
        <x:v>Erişilemedi</x:v>
      </x:c>
      <x:c r="J75" s="28" t="str">
        <x:v>Ürün adı, gramaj ve fiyat birlikte çıkarılamadı. Bağlantı manuel inceleme için korundu.</x:v>
      </x:c>
    </x:row>
    <x:row r="76">
      <x:c r="A76" t="str">
        <x:v>Benesso Coffee</x:v>
      </x:c>
      <x:c r="B76" t="str">
        <x:v>Katalog takip kaydı</x:v>
      </x:c>
      <x:c r="C76" t="str">
        <x:v>Ürün kataloğu — ayrıntılı ürün verisine erişilemedi</x:v>
      </x:c>
      <x:c r="D76" t="str">
        <x:v>Erişilemedi</x:v>
      </x:c>
      <x:c r="E76" s="1" t="str">
        <x:v>Erişilemedi</x:v>
      </x:c>
      <x:c r="F76" s="2" t="str">
        <x:v>Erişilemedi</x:v>
      </x:c>
      <x:c r="G76" t="str">
        <x:v>Gramaj + fiyat</x:v>
      </x:c>
      <x:c r="H76" t="str">
        <x:v>Instagram veya mevcut kaynak</x:v>
      </x:c>
      <x:c r="I76" s="28" t="str">
        <x:v>Erişilemedi</x:v>
      </x:c>
      <x:c r="J76" s="28" t="str">
        <x:v>Ürün adı, gramaj ve fiyat birlikte çıkarılamadı. Bağlantı manuel inceleme için korundu.</x:v>
      </x:c>
    </x:row>
    <x:row r="77">
      <x:c r="A77" t="str">
        <x:v>Blum Coffee</x:v>
      </x:c>
      <x:c r="B77" t="str">
        <x:v>Katalog takip kaydı</x:v>
      </x:c>
      <x:c r="C77" t="str">
        <x:v>Ürün kataloğu — ayrıntılı ürün verisine erişilemedi</x:v>
      </x:c>
      <x:c r="D77" t="str">
        <x:v>Erişilemedi</x:v>
      </x:c>
      <x:c r="E77" s="1" t="str">
        <x:v>Erişilemedi</x:v>
      </x:c>
      <x:c r="F77" s="2" t="str">
        <x:v>Erişilemedi</x:v>
      </x:c>
      <x:c r="G77" t="str">
        <x:v>Gramaj + fiyat</x:v>
      </x:c>
      <x:c r="H77" t="str">
        <x:v>Instagram veya mevcut kaynak</x:v>
      </x:c>
      <x:c r="I77" s="28" t="str">
        <x:v>Erişilemedi</x:v>
      </x:c>
      <x:c r="J77" s="28" t="str">
        <x:v>Ürün adı, gramaj ve fiyat birlikte çıkarılamadı. Bağlantı manuel inceleme için korundu.</x:v>
      </x:c>
    </x:row>
    <x:row r="78">
      <x:c r="A78" t="str">
        <x:v>Bravo Coffee Roastery</x:v>
      </x:c>
      <x:c r="B78" t="str">
        <x:v>Ürün kaydı</x:v>
      </x:c>
      <x:c r="C78" t="str">
        <x:v>HESAP OLUŞTUR</x:v>
      </x:c>
      <x:c r="D78" t="str">
        <x:v>Menşe belirtilmemiş</x:v>
      </x:c>
      <x:c r="E78" s="1" t="str">
        <x:v>Erişilemedi</x:v>
      </x:c>
      <x:c r="F78" s="2" t="n">
        <x:v>2</x:v>
      </x:c>
      <x:c r="G78" t="str">
        <x:v>Gramaj</x:v>
      </x:c>
      <x:c r="H78" t="str">
        <x:v>Site haritası ürün sayfası</x:v>
      </x:c>
      <x:c r="I78" s="28" t="str">
        <x:v>https://www.bravocoffeeroastery.com/asama/kayit-ol/</x:v>
      </x:c>
      <x:c r="J78" s="28" t="str">
        <x:v>Ürün kimliği korundu; eksik alanlar erişilemedi olarak işaretlenecek.</x:v>
      </x:c>
    </x:row>
    <x:row r="79">
      <x:c r="A79" t="str">
        <x:v>Bravo Coffee Roastery</x:v>
      </x:c>
      <x:c r="B79" t="str">
        <x:v>Ürün kaydı</x:v>
      </x:c>
      <x:c r="C79" t="str">
        <x:v>KAHVE</x:v>
      </x:c>
      <x:c r="D79" t="str">
        <x:v>Menşe belirtilmemiş</x:v>
      </x:c>
      <x:c r="E79" s="1" t="str">
        <x:v>Erişilemedi</x:v>
      </x:c>
      <x:c r="F79" s="2" t="n">
        <x:v>0</x:v>
      </x:c>
      <x:c r="G79" t="str">
        <x:v>Gramaj + fiyat</x:v>
      </x:c>
      <x:c r="H79" t="str">
        <x:v>Site haritası ürün sayfası</x:v>
      </x:c>
      <x:c r="I79" s="28" t="str">
        <x:v>https://www.bravocoffeeroastery.com/kahve-1/</x:v>
      </x:c>
      <x:c r="J79" s="28" t="str">
        <x:v>Ürün kimliği korundu; eksik alanlar erişilemedi olarak işaretlenecek.</x:v>
      </x:c>
    </x:row>
    <x:row r="80">
      <x:c r="A80" t="str">
        <x:v>Bravo Coffee Roastery</x:v>
      </x:c>
      <x:c r="B80" t="str">
        <x:v>Ürün kaydı</x:v>
      </x:c>
      <x:c r="C80" t="str">
        <x:v>Kahvenin Tarihi ve Kökeni</x:v>
      </x:c>
      <x:c r="D80" t="str">
        <x:v>Menşe belirtilmemiş</x:v>
      </x:c>
      <x:c r="E80" s="1" t="str">
        <x:v>Erişilemedi</x:v>
      </x:c>
      <x:c r="F80" s="2" t="n">
        <x:v>0</x:v>
      </x:c>
      <x:c r="G80" t="str">
        <x:v>Gramaj + fiyat</x:v>
      </x:c>
      <x:c r="H80" t="str">
        <x:v>Site haritası ürün sayfası</x:v>
      </x:c>
      <x:c r="I80" s="28" t="str">
        <x:v>https://www.bravocoffeeroastery.com/blog/kahvenin-tarihi-ve-kokeni/</x:v>
      </x:c>
      <x:c r="J80" s="28" t="str">
        <x:v>Ürün kimliği korundu; eksik alanlar erişilemedi olarak işaretlenecek.</x:v>
      </x:c>
    </x:row>
    <x:row r="81">
      <x:c r="A81" t="str">
        <x:v>Bravo Coffee Roastery</x:v>
      </x:c>
      <x:c r="B81" t="str">
        <x:v>Ürün kaydı</x:v>
      </x:c>
      <x:c r="C81" t="str">
        <x:v>ONLINE SHOP</x:v>
      </x:c>
      <x:c r="D81" t="str">
        <x:v>Menşe belirtilmemiş</x:v>
      </x:c>
      <x:c r="E81" s="1" t="str">
        <x:v>Erişilemedi</x:v>
      </x:c>
      <x:c r="F81" s="2" t="n">
        <x:v>0</x:v>
      </x:c>
      <x:c r="G81" t="str">
        <x:v>Gramaj + fiyat</x:v>
      </x:c>
      <x:c r="H81" t="str">
        <x:v>Site haritası ürün sayfası</x:v>
      </x:c>
      <x:c r="I81" s="28" t="str">
        <x:v>https://www.bravocoffeeroastery.com/</x:v>
      </x:c>
      <x:c r="J81" s="28" t="str">
        <x:v>Ürün kimliği korundu; eksik alanlar erişilemedi olarak işaretlenecek.</x:v>
      </x:c>
    </x:row>
    <x:row r="82">
      <x:c r="A82" t="str">
        <x:v>Bravo Coffee Roastery</x:v>
      </x:c>
      <x:c r="B82" t="str">
        <x:v>Ürün kaydı</x:v>
      </x:c>
      <x:c r="C82" t="str">
        <x:v>OTURUM AÇ</x:v>
      </x:c>
      <x:c r="D82" t="str">
        <x:v>Menşe belirtilmemiş</x:v>
      </x:c>
      <x:c r="E82" s="1" t="str">
        <x:v>Erişilemedi</x:v>
      </x:c>
      <x:c r="F82" s="2" t="n">
        <x:v>8</x:v>
      </x:c>
      <x:c r="G82" t="str">
        <x:v>Gramaj</x:v>
      </x:c>
      <x:c r="H82" t="str">
        <x:v>Site haritası ürün sayfası</x:v>
      </x:c>
      <x:c r="I82" s="28" t="str">
        <x:v>https://www.bravocoffeeroastery.com/asama/login/</x:v>
      </x:c>
      <x:c r="J82" s="28" t="str">
        <x:v>Ürün kimliği korundu; eksik alanlar erişilemedi olarak işaretlenecek.</x:v>
      </x:c>
    </x:row>
    <x:row r="83">
      <x:c r="A83" t="str">
        <x:v>Bravo Coffee Roastery</x:v>
      </x:c>
      <x:c r="B83" t="str">
        <x:v>Ürün kaydı</x:v>
      </x:c>
      <x:c r="C83" t="str">
        <x:v>SİPARİŞ TAKİP</x:v>
      </x:c>
      <x:c r="D83" t="str">
        <x:v>Menşe belirtilmemiş</x:v>
      </x:c>
      <x:c r="E83" s="1" t="str">
        <x:v>Erişilemedi</x:v>
      </x:c>
      <x:c r="F83" s="2" t="n">
        <x:v>1</x:v>
      </x:c>
      <x:c r="G83" t="str">
        <x:v>Gramaj</x:v>
      </x:c>
      <x:c r="H83" t="str">
        <x:v>Site haritası ürün sayfası</x:v>
      </x:c>
      <x:c r="I83" s="28" t="str">
        <x:v>https://www.bravocoffeeroastery.com/asama/siparis-takip/</x:v>
      </x:c>
      <x:c r="J83" s="28" t="str">
        <x:v>Ürün kimliği korundu; eksik alanlar erişilemedi olarak işaretlenecek.</x:v>
      </x:c>
    </x:row>
    <x:row r="84">
      <x:c r="A84" t="str">
        <x:v>Bravo Coffee Roastery</x:v>
      </x:c>
      <x:c r="B84" t="str">
        <x:v>Ürün kaydı</x:v>
      </x:c>
      <x:c r="C84" t="str">
        <x:v>ŞİFRENİZİ SIFIRLAYIN</x:v>
      </x:c>
      <x:c r="D84" t="str">
        <x:v>Menşe belirtilmemiş</x:v>
      </x:c>
      <x:c r="E84" s="1" t="str">
        <x:v>Erişilemedi</x:v>
      </x:c>
      <x:c r="F84" s="2" t="n">
        <x:v>7</x:v>
      </x:c>
      <x:c r="G84" t="str">
        <x:v>Gramaj</x:v>
      </x:c>
      <x:c r="H84" t="str">
        <x:v>Site haritası ürün sayfası</x:v>
      </x:c>
      <x:c r="I84" s="28" t="str">
        <x:v>https://www.bravocoffeeroastery.com/asama/sifremi-unuttum/</x:v>
      </x:c>
      <x:c r="J84" s="28" t="str">
        <x:v>Ürün kimliği korundu; eksik alanlar erişilemedi olarak işaretlenecek.</x:v>
      </x:c>
    </x:row>
    <x:row r="85">
      <x:c r="A85" t="str">
        <x:v>Bu Coffee Roastery</x:v>
      </x:c>
      <x:c r="B85" t="str">
        <x:v>Ürün kaydı</x:v>
      </x:c>
      <x:c r="C85" t="str">
        <x:v>About Us Bu Coffee Roastery</x:v>
      </x:c>
      <x:c r="D85" t="str">
        <x:v>Menşe belirtilmemiş</x:v>
      </x:c>
      <x:c r="E85" s="1" t="str">
        <x:v>Erişilemedi</x:v>
      </x:c>
      <x:c r="F85" s="2" t="str">
        <x:v>Erişilemedi</x:v>
      </x:c>
      <x:c r="G85" t="str">
        <x:v>Gramaj + fiyat</x:v>
      </x:c>
      <x:c r="H85" t="str">
        <x:v>Site haritası ürün sayfası</x:v>
      </x:c>
      <x:c r="I85" s="28" t="str">
        <x:v>https://www.bucoffee.com.tr/about-us/</x:v>
      </x:c>
      <x:c r="J85" s="28" t="str">
        <x:v>Ürün kimliği korundu; eksik alanlar erişilemedi olarak işaretlenecek.</x:v>
      </x:c>
    </x:row>
    <x:row r="86">
      <x:c r="A86" t="str">
        <x:v>Bu Coffee Roastery</x:v>
      </x:c>
      <x:c r="B86" t="str">
        <x:v>Ürün kaydı</x:v>
      </x:c>
      <x:c r="C86" t="str">
        <x:v>BRAZIL BOSSA NOVA</x:v>
      </x:c>
      <x:c r="D86" t="str">
        <x:v>Brezilya</x:v>
      </x:c>
      <x:c r="E86" s="1" t="str">
        <x:v>Erişilemedi</x:v>
      </x:c>
      <x:c r="F86" s="2" t="str">
        <x:v>Erişilemedi</x:v>
      </x:c>
      <x:c r="G86" t="str">
        <x:v>Gramaj + fiyat</x:v>
      </x:c>
      <x:c r="H86" t="str">
        <x:v>Site haritası ürün sayfası</x:v>
      </x:c>
      <x:c r="I86" s="28" t="str">
        <x:v>https://www.bucoffee.com.tr/kahvelerimiz/dunya-kahveleri/brazil-bossa-nova/</x:v>
      </x:c>
      <x:c r="J86" s="28" t="str">
        <x:v>Ürün kimliği korundu; eksik alanlar erişilemedi olarak işaretlenecek.</x:v>
      </x:c>
    </x:row>
    <x:row r="87">
      <x:c r="A87" t="str">
        <x:v>Bu Coffee Roastery</x:v>
      </x:c>
      <x:c r="B87" t="str">
        <x:v>Ürün kaydı</x:v>
      </x:c>
      <x:c r="C87" t="str">
        <x:v>BRAZIL SANTOS</x:v>
      </x:c>
      <x:c r="D87" t="str">
        <x:v>Brezilya</x:v>
      </x:c>
      <x:c r="E87" s="1" t="str">
        <x:v>Erişilemedi</x:v>
      </x:c>
      <x:c r="F87" s="2" t="str">
        <x:v>Erişilemedi</x:v>
      </x:c>
      <x:c r="G87" t="str">
        <x:v>Gramaj + fiyat</x:v>
      </x:c>
      <x:c r="H87" t="str">
        <x:v>Site haritası ürün sayfası</x:v>
      </x:c>
      <x:c r="I87" s="28" t="str">
        <x:v>https://www.bucoffee.com.tr/kahvelerimiz/dunya-kahveleri/brazil-santos/</x:v>
      </x:c>
      <x:c r="J87" s="28" t="str">
        <x:v>Ürün kimliği korundu; eksik alanlar erişilemedi olarak işaretlenecek.</x:v>
      </x:c>
    </x:row>
    <x:row r="88">
      <x:c r="A88" t="str">
        <x:v>Bu Coffee Roastery</x:v>
      </x:c>
      <x:c r="B88" t="str">
        <x:v>Ürün kaydı</x:v>
      </x:c>
      <x:c r="C88" t="str">
        <x:v>COLOMBIA DECAF</x:v>
      </x:c>
      <x:c r="D88" t="str">
        <x:v>Kolombiya</x:v>
      </x:c>
      <x:c r="E88" s="1" t="str">
        <x:v>Erişilemedi</x:v>
      </x:c>
      <x:c r="F88" s="2" t="str">
        <x:v>Erişilemedi</x:v>
      </x:c>
      <x:c r="G88" t="str">
        <x:v>Gramaj + fiyat</x:v>
      </x:c>
      <x:c r="H88" t="str">
        <x:v>Site haritası ürün sayfası</x:v>
      </x:c>
      <x:c r="I88" s="28" t="str">
        <x:v>https://www.bucoffee.com.tr/kahvelerimiz/dunya-kahveleri/colombia-decaf/</x:v>
      </x:c>
      <x:c r="J88" s="28" t="str">
        <x:v>Ürün kimliği korundu; eksik alanlar erişilemedi olarak işaretlenecek.</x:v>
      </x:c>
    </x:row>
    <x:row r="89">
      <x:c r="A89" t="str">
        <x:v>Bu Coffee Roastery</x:v>
      </x:c>
      <x:c r="B89" t="str">
        <x:v>Ürün kaydı</x:v>
      </x:c>
      <x:c r="C89" t="str">
        <x:v>COLOMBIA SUPREMO</x:v>
      </x:c>
      <x:c r="D89" t="str">
        <x:v>Kolombiya</x:v>
      </x:c>
      <x:c r="E89" s="1" t="str">
        <x:v>Erişilemedi</x:v>
      </x:c>
      <x:c r="F89" s="2" t="str">
        <x:v>Erişilemedi</x:v>
      </x:c>
      <x:c r="G89" t="str">
        <x:v>Gramaj + fiyat</x:v>
      </x:c>
      <x:c r="H89" t="str">
        <x:v>Site haritası ürün sayfası</x:v>
      </x:c>
      <x:c r="I89" s="28" t="str">
        <x:v>https://www.bucoffee.com.tr/kahvelerimiz/dunya-kahveleri/colombia-supremo/</x:v>
      </x:c>
      <x:c r="J89" s="28" t="str">
        <x:v>Ürün kimliği korundu; eksik alanlar erişilemedi olarak işaretlenecek.</x:v>
      </x:c>
    </x:row>
    <x:row r="90">
      <x:c r="A90" t="str">
        <x:v>Bu Coffee Roastery</x:v>
      </x:c>
      <x:c r="B90" t="str">
        <x:v>Ürün kaydı</x:v>
      </x:c>
      <x:c r="C90" t="str">
        <x:v>Contact Bu Coffee Roastery</x:v>
      </x:c>
      <x:c r="D90" t="str">
        <x:v>Menşe belirtilmemiş</x:v>
      </x:c>
      <x:c r="E90" s="1" t="str">
        <x:v>Erişilemedi</x:v>
      </x:c>
      <x:c r="F90" s="2" t="str">
        <x:v>Erişilemedi</x:v>
      </x:c>
      <x:c r="G90" t="str">
        <x:v>Gramaj + fiyat</x:v>
      </x:c>
      <x:c r="H90" t="str">
        <x:v>Site haritası ürün sayfası</x:v>
      </x:c>
      <x:c r="I90" s="28" t="str">
        <x:v>https://www.bucoffee.com.tr/iletisim/</x:v>
      </x:c>
      <x:c r="J90" s="28" t="str">
        <x:v>Ürün kimliği korundu; eksik alanlar erişilemedi olarak işaretlenecek.</x:v>
      </x:c>
    </x:row>
    <x:row r="91">
      <x:c r="A91" t="str">
        <x:v>Bu Coffee Roastery</x:v>
      </x:c>
      <x:c r="B91" t="str">
        <x:v>Ürün kaydı</x:v>
      </x:c>
      <x:c r="C91" t="str">
        <x:v>COSTA RICA TARRAZU SHB</x:v>
      </x:c>
      <x:c r="D91" t="str">
        <x:v>Kosta Rika</x:v>
      </x:c>
      <x:c r="E91" s="1" t="str">
        <x:v>Erişilemedi</x:v>
      </x:c>
      <x:c r="F91" s="2" t="str">
        <x:v>Erişilemedi</x:v>
      </x:c>
      <x:c r="G91" t="str">
        <x:v>Gramaj + fiyat</x:v>
      </x:c>
      <x:c r="H91" t="str">
        <x:v>Site haritası ürün sayfası</x:v>
      </x:c>
      <x:c r="I91" s="28" t="str">
        <x:v>https://www.bucoffee.com.tr/kahvelerimiz/dunya-kahveleri/costa-rica-tarrazu-shb/</x:v>
      </x:c>
      <x:c r="J91" s="28" t="str">
        <x:v>Ürün kimliği korundu; eksik alanlar erişilemedi olarak işaretlenecek.</x:v>
      </x:c>
    </x:row>
    <x:row r="92">
      <x:c r="A92" t="str">
        <x:v>Bu Coffee Roastery</x:v>
      </x:c>
      <x:c r="B92" t="str">
        <x:v>Ürün kaydı</x:v>
      </x:c>
      <x:c r="C92" t="str">
        <x:v>DAMLA SAKIZLI TÜRK KAHVESİ</x:v>
      </x:c>
      <x:c r="D92" t="str">
        <x:v>Menşe belirtilmemiş</x:v>
      </x:c>
      <x:c r="E92" s="1" t="str">
        <x:v>Erişilemedi</x:v>
      </x:c>
      <x:c r="F92" s="2" t="str">
        <x:v>Erişilemedi</x:v>
      </x:c>
      <x:c r="G92" t="str">
        <x:v>Gramaj + fiyat</x:v>
      </x:c>
      <x:c r="H92" t="str">
        <x:v>Site haritası ürün sayfası</x:v>
      </x:c>
      <x:c r="I92" s="28" t="str">
        <x:v>https://www.bucoffee.com.tr/kahvelerimiz/turk-kahvesi/damla-sakizli-turk-kahvesi/</x:v>
      </x:c>
      <x:c r="J92" s="28" t="str">
        <x:v>Ürün kimliği korundu; eksik alanlar erişilemedi olarak işaretlenecek.</x:v>
      </x:c>
    </x:row>
    <x:row r="93">
      <x:c r="A93" t="str">
        <x:v>Bu Coffee Roastery</x:v>
      </x:c>
      <x:c r="B93" t="str">
        <x:v>Ürün kaydı</x:v>
      </x:c>
      <x:c r="C93" t="str">
        <x:v>DİBEK KAHVESİ</x:v>
      </x:c>
      <x:c r="D93" t="str">
        <x:v>Menşe belirtilmemiş</x:v>
      </x:c>
      <x:c r="E93" s="1" t="str">
        <x:v>Erişilemedi</x:v>
      </x:c>
      <x:c r="F93" s="2" t="str">
        <x:v>Erişilemedi</x:v>
      </x:c>
      <x:c r="G93" t="str">
        <x:v>Gramaj + fiyat</x:v>
      </x:c>
      <x:c r="H93" t="str">
        <x:v>Site haritası ürün sayfası</x:v>
      </x:c>
      <x:c r="I93" s="28" t="str">
        <x:v>https://www.bucoffee.com.tr/kahvelerimiz/turk-kahvesi/dibek-kahvesi/</x:v>
      </x:c>
      <x:c r="J93" s="28" t="str">
        <x:v>Ürün kimliği korundu; eksik alanlar erişilemedi olarak işaretlenecek.</x:v>
      </x:c>
    </x:row>
    <x:row r="94">
      <x:c r="A94" t="str">
        <x:v>Bu Coffee Roastery</x:v>
      </x:c>
      <x:c r="B94" t="str">
        <x:v>Ürün kaydı</x:v>
      </x:c>
      <x:c r="C94" t="str">
        <x:v>Dünya Kahveleri Bu Coffee Roastery</x:v>
      </x:c>
      <x:c r="D94" t="str">
        <x:v>Menşe belirtilmemiş</x:v>
      </x:c>
      <x:c r="E94" s="1" t="str">
        <x:v>Erişilemedi</x:v>
      </x:c>
      <x:c r="F94" s="2" t="str">
        <x:v>Erişilemedi</x:v>
      </x:c>
      <x:c r="G94" t="str">
        <x:v>Gramaj + fiyat</x:v>
      </x:c>
      <x:c r="H94" t="str">
        <x:v>Site haritası ürün sayfası</x:v>
      </x:c>
      <x:c r="I94" s="28" t="str">
        <x:v>https://www.bucoffee.com.tr/kahvelerimiz/dunya-kahveleri/</x:v>
      </x:c>
      <x:c r="J94" s="28" t="str">
        <x:v>Ürün kimliği korundu; eksik alanlar erişilemedi olarak işaretlenecek.</x:v>
      </x:c>
    </x:row>
    <x:row r="95">
      <x:c r="A95" t="str">
        <x:v>Bu Coffee Roastery</x:v>
      </x:c>
      <x:c r="B95" t="str">
        <x:v>Ürün kaydı</x:v>
      </x:c>
      <x:c r="C95" t="str">
        <x:v>EL SALVADOR LA JOYA ESTATE SHG</x:v>
      </x:c>
      <x:c r="D95" t="str">
        <x:v>El Salvador</x:v>
      </x:c>
      <x:c r="E95" s="1" t="str">
        <x:v>Erişilemedi</x:v>
      </x:c>
      <x:c r="F95" s="2" t="str">
        <x:v>Erişilemedi</x:v>
      </x:c>
      <x:c r="G95" t="str">
        <x:v>Gramaj + fiyat</x:v>
      </x:c>
      <x:c r="H95" t="str">
        <x:v>Site haritası ürün sayfası</x:v>
      </x:c>
      <x:c r="I95" s="28" t="str">
        <x:v>https://www.bucoffee.com.tr/kahvelerimiz/dunya-kahveleri/el-salvador-la-joya-estate-shg/</x:v>
      </x:c>
      <x:c r="J95" s="28" t="str">
        <x:v>Ürün kimliği korundu; eksik alanlar erişilemedi olarak işaretlenecek.</x:v>
      </x:c>
    </x:row>
    <x:row r="96">
      <x:c r="A96" t="str">
        <x:v>Bu Coffee Roastery</x:v>
      </x:c>
      <x:c r="B96" t="str">
        <x:v>Ürün kaydı</x:v>
      </x:c>
      <x:c r="C96" t="str">
        <x:v>EN ÇOK SEVİLEN KAHVELERİMİZ</x:v>
      </x:c>
      <x:c r="D96" t="str">
        <x:v>Menşe belirtilmemiş</x:v>
      </x:c>
      <x:c r="E96" s="1" t="str">
        <x:v>Erişilemedi</x:v>
      </x:c>
      <x:c r="F96" s="2" t="str">
        <x:v>Erişilemedi</x:v>
      </x:c>
      <x:c r="G96" t="str">
        <x:v>Gramaj + fiyat</x:v>
      </x:c>
      <x:c r="H96" t="str">
        <x:v>Site haritası ürün sayfası</x:v>
      </x:c>
      <x:c r="I96" s="28" t="str">
        <x:v>https://www.bucoffee.com.tr/</x:v>
      </x:c>
      <x:c r="J96" s="28" t="str">
        <x:v>Ürün kimliği korundu; eksik alanlar erişilemedi olarak işaretlenecek.</x:v>
      </x:c>
    </x:row>
    <x:row r="97">
      <x:c r="A97" t="str">
        <x:v>Bu Coffee Roastery</x:v>
      </x:c>
      <x:c r="B97" t="str">
        <x:v>Ürün kaydı</x:v>
      </x:c>
      <x:c r="C97" t="str">
        <x:v>Espresso Bu Coffee Roastery</x:v>
      </x:c>
      <x:c r="D97" t="str">
        <x:v>Menşe belirtilmemiş</x:v>
      </x:c>
      <x:c r="E97" s="1" t="str">
        <x:v>Erişilemedi</x:v>
      </x:c>
      <x:c r="F97" s="2" t="str">
        <x:v>Erişilemedi</x:v>
      </x:c>
      <x:c r="G97" t="str">
        <x:v>Gramaj + fiyat</x:v>
      </x:c>
      <x:c r="H97" t="str">
        <x:v>Site haritası ürün sayfası</x:v>
      </x:c>
      <x:c r="I97" s="28" t="str">
        <x:v>https://www.bucoffee.com.tr/kahvelerimiz/espresso/</x:v>
      </x:c>
      <x:c r="J97" s="28" t="str">
        <x:v>Ürün kimliği korundu; eksik alanlar erişilemedi olarak işaretlenecek.</x:v>
      </x:c>
    </x:row>
    <x:row r="98">
      <x:c r="A98" t="str">
        <x:v>Bu Coffee Roastery</x:v>
      </x:c>
      <x:c r="B98" t="str">
        <x:v>Ürün kaydı</x:v>
      </x:c>
      <x:c r="C98" t="str">
        <x:v>ETHIOPIA YIRGACHEFFE</x:v>
      </x:c>
      <x:c r="D98" t="str">
        <x:v>Etiyopya</x:v>
      </x:c>
      <x:c r="E98" s="1" t="str">
        <x:v>Erişilemedi</x:v>
      </x:c>
      <x:c r="F98" s="2" t="str">
        <x:v>Erişilemedi</x:v>
      </x:c>
      <x:c r="G98" t="str">
        <x:v>Gramaj + fiyat</x:v>
      </x:c>
      <x:c r="H98" t="str">
        <x:v>Site haritası ürün sayfası</x:v>
      </x:c>
      <x:c r="I98" s="28" t="str">
        <x:v>https://www.bucoffee.com.tr/kahvelerimiz/dunya-kahveleri/ethiopia-yirgacheffe/</x:v>
      </x:c>
      <x:c r="J98" s="28" t="str">
        <x:v>Ürün kimliği korundu; eksik alanlar erişilemedi olarak işaretlenecek.</x:v>
      </x:c>
    </x:row>
    <x:row r="99">
      <x:c r="A99" t="str">
        <x:v>Bu Coffee Roastery</x:v>
      </x:c>
      <x:c r="B99" t="str">
        <x:v>Ürün kaydı</x:v>
      </x:c>
      <x:c r="C99" t="str">
        <x:v>Filtre Kahve Bu Coffee Roastery</x:v>
      </x:c>
      <x:c r="D99" t="str">
        <x:v>Menşe belirtilmemiş</x:v>
      </x:c>
      <x:c r="E99" s="1" t="str">
        <x:v>Erişilemedi</x:v>
      </x:c>
      <x:c r="F99" s="2" t="str">
        <x:v>Erişilemedi</x:v>
      </x:c>
      <x:c r="G99" t="str">
        <x:v>Gramaj + fiyat</x:v>
      </x:c>
      <x:c r="H99" t="str">
        <x:v>Site haritası ürün sayfası</x:v>
      </x:c>
      <x:c r="I99" s="28" t="str">
        <x:v>https://www.bucoffee.com.tr/kahvelerimiz/filtre-kahve/</x:v>
      </x:c>
      <x:c r="J99" s="28" t="str">
        <x:v>Ürün kimliği korundu; eksik alanlar erişilemedi olarak işaretlenecek.</x:v>
      </x:c>
    </x:row>
    <x:row r="100">
      <x:c r="A100" t="str">
        <x:v>Bu Coffee Roastery</x:v>
      </x:c>
      <x:c r="B100" t="str">
        <x:v>Ürün kaydı</x:v>
      </x:c>
      <x:c r="C100" t="str">
        <x:v>GRANÜL KAHVE (GOLD)</x:v>
      </x:c>
      <x:c r="D100" t="str">
        <x:v>Menşe belirtilmemiş</x:v>
      </x:c>
      <x:c r="E100" s="1" t="str">
        <x:v>Erişilemedi</x:v>
      </x:c>
      <x:c r="F100" s="2" t="str">
        <x:v>Erişilemedi</x:v>
      </x:c>
      <x:c r="G100" t="str">
        <x:v>Gramaj + fiyat</x:v>
      </x:c>
      <x:c r="H100" t="str">
        <x:v>Site haritası ürün sayfası</x:v>
      </x:c>
      <x:c r="I100" s="28" t="str">
        <x:v>https://www.bucoffee.com.tr/kahvelerimiz/granul-kahve/granul-kahve-gold/</x:v>
      </x:c>
      <x:c r="J100" s="28" t="str">
        <x:v>Ürün kimliği korundu; eksik alanlar erişilemedi olarak işaretlenecek.</x:v>
      </x:c>
    </x:row>
    <x:row r="101">
      <x:c r="A101" t="str">
        <x:v>Bu Coffee Roastery</x:v>
      </x:c>
      <x:c r="B101" t="str">
        <x:v>Ürün kaydı</x:v>
      </x:c>
      <x:c r="C101" t="str">
        <x:v>Granül Kahve Bu Coffee Roastery</x:v>
      </x:c>
      <x:c r="D101" t="str">
        <x:v>Menşe belirtilmemiş</x:v>
      </x:c>
      <x:c r="E101" s="1" t="str">
        <x:v>Erişilemedi</x:v>
      </x:c>
      <x:c r="F101" s="2" t="str">
        <x:v>Erişilemedi</x:v>
      </x:c>
      <x:c r="G101" t="str">
        <x:v>Gramaj + fiyat</x:v>
      </x:c>
      <x:c r="H101" t="str">
        <x:v>Site haritası ürün sayfası</x:v>
      </x:c>
      <x:c r="I101" s="28" t="str">
        <x:v>https://www.bucoffee.com.tr/kahvelerimiz/granul-kahve/</x:v>
      </x:c>
      <x:c r="J101" s="28" t="str">
        <x:v>Ürün kimliği korundu; eksik alanlar erişilemedi olarak işaretlenecek.</x:v>
      </x:c>
    </x:row>
    <x:row r="102">
      <x:c r="A102" t="str">
        <x:v>Bu Coffee Roastery</x:v>
      </x:c>
      <x:c r="B102" t="str">
        <x:v>Ürün kaydı</x:v>
      </x:c>
      <x:c r="C102" t="str">
        <x:v>GUATEMALA HUEHUETENANGO SHB</x:v>
      </x:c>
      <x:c r="D102" t="str">
        <x:v>Guatemala</x:v>
      </x:c>
      <x:c r="E102" s="1" t="str">
        <x:v>Erişilemedi</x:v>
      </x:c>
      <x:c r="F102" s="2" t="str">
        <x:v>Erişilemedi</x:v>
      </x:c>
      <x:c r="G102" t="str">
        <x:v>Gramaj + fiyat</x:v>
      </x:c>
      <x:c r="H102" t="str">
        <x:v>Site haritası ürün sayfası</x:v>
      </x:c>
      <x:c r="I102" s="28" t="str">
        <x:v>https://www.bucoffee.com.tr/kahvelerimiz/dunya-kahveleri/guatemala-huehuetenango-shb/</x:v>
      </x:c>
      <x:c r="J102" s="28" t="str">
        <x:v>Ürün kimliği korundu; eksik alanlar erişilemedi olarak işaretlenecek.</x:v>
      </x:c>
    </x:row>
    <x:row r="103">
      <x:c r="A103" t="str">
        <x:v>Bu Coffee Roastery</x:v>
      </x:c>
      <x:c r="B103" t="str">
        <x:v>Ürün kaydı</x:v>
      </x:c>
      <x:c r="C103" t="str">
        <x:v>HONDURAS SAN MARCOS</x:v>
      </x:c>
      <x:c r="D103" t="str">
        <x:v>Honduras</x:v>
      </x:c>
      <x:c r="E103" s="1" t="str">
        <x:v>Erişilemedi</x:v>
      </x:c>
      <x:c r="F103" s="2" t="str">
        <x:v>Erişilemedi</x:v>
      </x:c>
      <x:c r="G103" t="str">
        <x:v>Gramaj + fiyat</x:v>
      </x:c>
      <x:c r="H103" t="str">
        <x:v>Site haritası ürün sayfası</x:v>
      </x:c>
      <x:c r="I103" s="28" t="str">
        <x:v>https://www.bucoffee.com.tr/kahvelerimiz/dunya-kahveleri/honduras-san-marcos/</x:v>
      </x:c>
      <x:c r="J103" s="28" t="str">
        <x:v>Ürün kimliği korundu; eksik alanlar erişilemedi olarak işaretlenecek.</x:v>
      </x:c>
    </x:row>
    <x:row r="104">
      <x:c r="A104" t="str">
        <x:v>Bu Coffee Roastery</x:v>
      </x:c>
      <x:c r="B104" t="str">
        <x:v>Ürün kaydı</x:v>
      </x:c>
      <x:c r="C104" t="str">
        <x:v>INDONESIA SUMATRA</x:v>
      </x:c>
      <x:c r="D104" t="str">
        <x:v>Endonezya</x:v>
      </x:c>
      <x:c r="E104" s="1" t="str">
        <x:v>Erişilemedi</x:v>
      </x:c>
      <x:c r="F104" s="2" t="str">
        <x:v>Erişilemedi</x:v>
      </x:c>
      <x:c r="G104" t="str">
        <x:v>Gramaj + fiyat</x:v>
      </x:c>
      <x:c r="H104" t="str">
        <x:v>Site haritası ürün sayfası</x:v>
      </x:c>
      <x:c r="I104" s="28" t="str">
        <x:v>https://www.bucoffee.com.tr/kahvelerimiz/dunya-kahveleri/indonesia-sumatra/</x:v>
      </x:c>
      <x:c r="J104" s="28" t="str">
        <x:v>Ürün kimliği korundu; eksik alanlar erişilemedi olarak işaretlenecek.</x:v>
      </x:c>
    </x:row>
    <x:row r="105">
      <x:c r="A105" t="str">
        <x:v>Bu Coffee Roastery</x:v>
      </x:c>
      <x:c r="B105" t="str">
        <x:v>Ürün kaydı</x:v>
      </x:c>
      <x:c r="C105" t="str">
        <x:v>Kahvelerimiz Bu Coffee Roastery</x:v>
      </x:c>
      <x:c r="D105" t="str">
        <x:v>Menşe belirtilmemiş</x:v>
      </x:c>
      <x:c r="E105" s="1" t="str">
        <x:v>Erişilemedi</x:v>
      </x:c>
      <x:c r="F105" s="2" t="str">
        <x:v>Erişilemedi</x:v>
      </x:c>
      <x:c r="G105" t="str">
        <x:v>Gramaj + fiyat</x:v>
      </x:c>
      <x:c r="H105" t="str">
        <x:v>Site haritası ürün sayfası</x:v>
      </x:c>
      <x:c r="I105" s="28" t="str">
        <x:v>https://www.bucoffee.com.tr/kahvelerimiz/</x:v>
      </x:c>
      <x:c r="J105" s="28" t="str">
        <x:v>Ürün kimliği korundu; eksik alanlar erişilemedi olarak işaretlenecek.</x:v>
      </x:c>
    </x:row>
    <x:row r="106">
      <x:c r="A106" t="str">
        <x:v>Bu Coffee Roastery</x:v>
      </x:c>
      <x:c r="B106" t="str">
        <x:v>Ürün kaydı</x:v>
      </x:c>
      <x:c r="C106" t="str">
        <x:v>KAPSÜL KAHVE (HAFİF) (10'lu Paket)</x:v>
      </x:c>
      <x:c r="D106" t="str">
        <x:v>Menşe belirtilmemiş</x:v>
      </x:c>
      <x:c r="E106" s="1" t="str">
        <x:v>Erişilemedi</x:v>
      </x:c>
      <x:c r="F106" s="2" t="str">
        <x:v>Erişilemedi</x:v>
      </x:c>
      <x:c r="G106" t="str">
        <x:v>Gramaj + fiyat</x:v>
      </x:c>
      <x:c r="H106" t="str">
        <x:v>Site haritası ürün sayfası</x:v>
      </x:c>
      <x:c r="I106" s="28" t="str">
        <x:v>https://www.bucoffee.com.tr/kahvelerimiz/kapsul-kahve/kapsul-kahve-hafif/</x:v>
      </x:c>
      <x:c r="J106" s="28" t="str">
        <x:v>Ürün kimliği korundu; eksik alanlar erişilemedi olarak işaretlenecek.</x:v>
      </x:c>
    </x:row>
    <x:row r="107">
      <x:c r="A107" t="str">
        <x:v>Bu Coffee Roastery</x:v>
      </x:c>
      <x:c r="B107" t="str">
        <x:v>Ürün kaydı</x:v>
      </x:c>
      <x:c r="C107" t="str">
        <x:v>KAPSÜL KAHVE (ORTA) (10'lu Paket)</x:v>
      </x:c>
      <x:c r="D107" t="str">
        <x:v>Menşe belirtilmemiş</x:v>
      </x:c>
      <x:c r="E107" s="1" t="str">
        <x:v>Erişilemedi</x:v>
      </x:c>
      <x:c r="F107" s="2" t="str">
        <x:v>Erişilemedi</x:v>
      </x:c>
      <x:c r="G107" t="str">
        <x:v>Gramaj + fiyat</x:v>
      </x:c>
      <x:c r="H107" t="str">
        <x:v>Site haritası ürün sayfası</x:v>
      </x:c>
      <x:c r="I107" s="28" t="str">
        <x:v>https://www.bucoffee.com.tr/kahvelerimiz/kapsul-kahve/kapsul-kahve-orta/</x:v>
      </x:c>
      <x:c r="J107" s="28" t="str">
        <x:v>Ürün kimliği korundu; eksik alanlar erişilemedi olarak işaretlenecek.</x:v>
      </x:c>
    </x:row>
    <x:row r="108">
      <x:c r="A108" t="str">
        <x:v>Bu Coffee Roastery</x:v>
      </x:c>
      <x:c r="B108" t="str">
        <x:v>Ürün kaydı</x:v>
      </x:c>
      <x:c r="C108" t="str">
        <x:v>KAPSÜL KAHVE (SERT) (10'lu Paket)</x:v>
      </x:c>
      <x:c r="D108" t="str">
        <x:v>Menşe belirtilmemiş</x:v>
      </x:c>
      <x:c r="E108" s="1" t="str">
        <x:v>Erişilemedi</x:v>
      </x:c>
      <x:c r="F108" s="2" t="str">
        <x:v>Erişilemedi</x:v>
      </x:c>
      <x:c r="G108" t="str">
        <x:v>Gramaj + fiyat</x:v>
      </x:c>
      <x:c r="H108" t="str">
        <x:v>Site haritası ürün sayfası</x:v>
      </x:c>
      <x:c r="I108" s="28" t="str">
        <x:v>https://www.bucoffee.com.tr/kahvelerimiz/kapsul-kahve/kapsul-kahve-sert/</x:v>
      </x:c>
      <x:c r="J108" s="28" t="str">
        <x:v>Ürün kimliği korundu; eksik alanlar erişilemedi olarak işaretlenecek.</x:v>
      </x:c>
    </x:row>
    <x:row r="109">
      <x:c r="A109" t="str">
        <x:v>Bu Coffee Roastery</x:v>
      </x:c>
      <x:c r="B109" t="str">
        <x:v>Ürün kaydı</x:v>
      </x:c>
      <x:c r="C109" t="str">
        <x:v>Kapsül Kahve Bu Coffee Roastery</x:v>
      </x:c>
      <x:c r="D109" t="str">
        <x:v>Menşe belirtilmemiş</x:v>
      </x:c>
      <x:c r="E109" s="1" t="str">
        <x:v>Erişilemedi</x:v>
      </x:c>
      <x:c r="F109" s="2" t="str">
        <x:v>Erişilemedi</x:v>
      </x:c>
      <x:c r="G109" t="str">
        <x:v>Gramaj + fiyat</x:v>
      </x:c>
      <x:c r="H109" t="str">
        <x:v>Site haritası ürün sayfası</x:v>
      </x:c>
      <x:c r="I109" s="28" t="str">
        <x:v>https://www.bucoffee.com.tr/kahvelerimiz/kapsul-kahve/</x:v>
      </x:c>
      <x:c r="J109" s="28" t="str">
        <x:v>Ürün kimliği korundu; eksik alanlar erişilemedi olarak işaretlenecek.</x:v>
      </x:c>
    </x:row>
    <x:row r="110">
      <x:c r="A110" t="str">
        <x:v>Bu Coffee Roastery</x:v>
      </x:c>
      <x:c r="B110" t="str">
        <x:v>Ürün kaydı</x:v>
      </x:c>
      <x:c r="C110" t="str">
        <x:v>KENYA AA</x:v>
      </x:c>
      <x:c r="D110" t="str">
        <x:v>Kenya</x:v>
      </x:c>
      <x:c r="E110" s="1" t="str">
        <x:v>Erişilemedi</x:v>
      </x:c>
      <x:c r="F110" s="2" t="str">
        <x:v>Erişilemedi</x:v>
      </x:c>
      <x:c r="G110" t="str">
        <x:v>Gramaj + fiyat</x:v>
      </x:c>
      <x:c r="H110" t="str">
        <x:v>Site haritası ürün sayfası</x:v>
      </x:c>
      <x:c r="I110" s="28" t="str">
        <x:v>https://www.bucoffee.com.tr/kahvelerimiz/dunya-kahveleri/kenya-aa/</x:v>
      </x:c>
      <x:c r="J110" s="28" t="str">
        <x:v>Ürün kimliği korundu; eksik alanlar erişilemedi olarak işaretlenecek.</x:v>
      </x:c>
    </x:row>
    <x:row r="111">
      <x:c r="A111" t="str">
        <x:v>Bu Coffee Roastery</x:v>
      </x:c>
      <x:c r="B111" t="str">
        <x:v>Ürün kaydı</x:v>
      </x:c>
      <x:c r="C111" t="str">
        <x:v>MEXICO DECAF</x:v>
      </x:c>
      <x:c r="D111" t="str">
        <x:v>Meksika</x:v>
      </x:c>
      <x:c r="E111" s="1" t="str">
        <x:v>Erişilemedi</x:v>
      </x:c>
      <x:c r="F111" s="2" t="str">
        <x:v>Erişilemedi</x:v>
      </x:c>
      <x:c r="G111" t="str">
        <x:v>Gramaj + fiyat</x:v>
      </x:c>
      <x:c r="H111" t="str">
        <x:v>Site haritası ürün sayfası</x:v>
      </x:c>
      <x:c r="I111" s="28" t="str">
        <x:v>https://www.bucoffee.com.tr/kahvelerimiz/dunya-kahveleri/mexico-decaf/</x:v>
      </x:c>
      <x:c r="J111" s="28" t="str">
        <x:v>Ürün kimliği korundu; eksik alanlar erişilemedi olarak işaretlenecek.</x:v>
      </x:c>
    </x:row>
    <x:row r="112">
      <x:c r="A112" t="str">
        <x:v>Bu Coffee Roastery</x:v>
      </x:c>
      <x:c r="B112" t="str">
        <x:v>Ürün kaydı</x:v>
      </x:c>
      <x:c r="C112" t="str">
        <x:v>News Bu Coffee Roastery</x:v>
      </x:c>
      <x:c r="D112" t="str">
        <x:v>Menşe belirtilmemiş</x:v>
      </x:c>
      <x:c r="E112" s="1" t="str">
        <x:v>Erişilemedi</x:v>
      </x:c>
      <x:c r="F112" s="2" t="str">
        <x:v>Erişilemedi</x:v>
      </x:c>
      <x:c r="G112" t="str">
        <x:v>Gramaj + fiyat</x:v>
      </x:c>
      <x:c r="H112" t="str">
        <x:v>Site haritası ürün sayfası</x:v>
      </x:c>
      <x:c r="I112" s="28" t="str">
        <x:v>https://www.bucoffee.com.tr/news/</x:v>
      </x:c>
      <x:c r="J112" s="28" t="str">
        <x:v>Ürün kimliği korundu; eksik alanlar erişilemedi olarak işaretlenecek.</x:v>
      </x:c>
    </x:row>
    <x:row r="113">
      <x:c r="A113" t="str">
        <x:v>Bu Coffee Roastery</x:v>
      </x:c>
      <x:c r="B113" t="str">
        <x:v>Ürün kaydı</x:v>
      </x:c>
      <x:c r="C113" t="str">
        <x:v>OSMANLI KAHVESİ</x:v>
      </x:c>
      <x:c r="D113" t="str">
        <x:v>Menşe belirtilmemiş</x:v>
      </x:c>
      <x:c r="E113" s="1" t="str">
        <x:v>Erişilemedi</x:v>
      </x:c>
      <x:c r="F113" s="2" t="str">
        <x:v>Erişilemedi</x:v>
      </x:c>
      <x:c r="G113" t="str">
        <x:v>Gramaj + fiyat</x:v>
      </x:c>
      <x:c r="H113" t="str">
        <x:v>Site haritası ürün sayfası</x:v>
      </x:c>
      <x:c r="I113" s="28" t="str">
        <x:v>https://www.bucoffee.com.tr/kahvelerimiz/turk-kahvesi/osmanli-kahvesi/</x:v>
      </x:c>
      <x:c r="J113" s="28" t="str">
        <x:v>Ürün kimliği korundu; eksik alanlar erişilemedi olarak işaretlenecek.</x:v>
      </x:c>
    </x:row>
    <x:row r="114">
      <x:c r="A114" t="str">
        <x:v>Bu Coffee Roastery</x:v>
      </x:c>
      <x:c r="B114" t="str">
        <x:v>Ürün kaydı</x:v>
      </x:c>
      <x:c r="C114" t="str">
        <x:v>PERU</x:v>
      </x:c>
      <x:c r="D114" t="str">
        <x:v>Peru</x:v>
      </x:c>
      <x:c r="E114" s="1" t="str">
        <x:v>Erişilemedi</x:v>
      </x:c>
      <x:c r="F114" s="2" t="str">
        <x:v>Erişilemedi</x:v>
      </x:c>
      <x:c r="G114" t="str">
        <x:v>Gramaj + fiyat</x:v>
      </x:c>
      <x:c r="H114" t="str">
        <x:v>Site haritası ürün sayfası</x:v>
      </x:c>
      <x:c r="I114" s="28" t="str">
        <x:v>https://www.bucoffee.com.tr/kahvelerimiz/dunya-kahveleri/peru/</x:v>
      </x:c>
      <x:c r="J114" s="28" t="str">
        <x:v>Ürün kimliği korundu; eksik alanlar erişilemedi olarak işaretlenecek.</x:v>
      </x:c>
    </x:row>
    <x:row r="115">
      <x:c r="A115" t="str">
        <x:v>Bu Coffee Roastery</x:v>
      </x:c>
      <x:c r="B115" t="str">
        <x:v>Ürün kaydı</x:v>
      </x:c>
      <x:c r="C115" t="str">
        <x:v>Services Bu Coffee Roastery</x:v>
      </x:c>
      <x:c r="D115" t="str">
        <x:v>Menşe belirtilmemiş</x:v>
      </x:c>
      <x:c r="E115" s="1" t="str">
        <x:v>Erişilemedi</x:v>
      </x:c>
      <x:c r="F115" s="2" t="str">
        <x:v>Erişilemedi</x:v>
      </x:c>
      <x:c r="G115" t="str">
        <x:v>Gramaj + fiyat</x:v>
      </x:c>
      <x:c r="H115" t="str">
        <x:v>Site haritası ürün sayfası</x:v>
      </x:c>
      <x:c r="I115" s="28" t="str">
        <x:v>https://www.bucoffee.com.tr/services/</x:v>
      </x:c>
      <x:c r="J115" s="28" t="str">
        <x:v>Ürün kimliği korundu; eksik alanlar erişilemedi olarak işaretlenecek.</x:v>
      </x:c>
    </x:row>
    <x:row r="116">
      <x:c r="A116" t="str">
        <x:v>Bu Coffee Roastery</x:v>
      </x:c>
      <x:c r="B116" t="str">
        <x:v>Ürün kaydı</x:v>
      </x:c>
      <x:c r="C116" t="str">
        <x:v>TOPTAN SATIŞ Bu Coffee Roastery</x:v>
      </x:c>
      <x:c r="D116" t="str">
        <x:v>Menşe belirtilmemiş</x:v>
      </x:c>
      <x:c r="E116" s="1" t="str">
        <x:v>Erişilemedi</x:v>
      </x:c>
      <x:c r="F116" s="2" t="str">
        <x:v>Erişilemedi</x:v>
      </x:c>
      <x:c r="G116" t="str">
        <x:v>Gramaj + fiyat</x:v>
      </x:c>
      <x:c r="H116" t="str">
        <x:v>Site haritası ürün sayfası</x:v>
      </x:c>
      <x:c r="I116" s="28" t="str">
        <x:v>https://www.bucoffee.com.tr/toptan-satis/</x:v>
      </x:c>
      <x:c r="J116" s="28" t="str">
        <x:v>Ürün kimliği korundu; eksik alanlar erişilemedi olarak işaretlenecek.</x:v>
      </x:c>
    </x:row>
    <x:row r="117">
      <x:c r="A117" t="str">
        <x:v>Bu Coffee Roastery</x:v>
      </x:c>
      <x:c r="B117" t="str">
        <x:v>Ürün kaydı</x:v>
      </x:c>
      <x:c r="C117" t="str">
        <x:v>TÜRK KAHVESİ</x:v>
      </x:c>
      <x:c r="D117" t="str">
        <x:v>Menşe belirtilmemiş</x:v>
      </x:c>
      <x:c r="E117" s="1" t="str">
        <x:v>Erişilemedi</x:v>
      </x:c>
      <x:c r="F117" s="2" t="str">
        <x:v>Erişilemedi</x:v>
      </x:c>
      <x:c r="G117" t="str">
        <x:v>Gramaj + fiyat</x:v>
      </x:c>
      <x:c r="H117" t="str">
        <x:v>Site haritası ürün sayfası</x:v>
      </x:c>
      <x:c r="I117" s="28" t="str">
        <x:v>https://www.bucoffee.com.tr/kahvelerimiz/turk-kahvesi/turk-kahvesi/</x:v>
      </x:c>
      <x:c r="J117" s="28" t="str">
        <x:v>Ürün kimliği korundu; eksik alanlar erişilemedi olarak işaretlenecek.</x:v>
      </x:c>
    </x:row>
    <x:row r="118">
      <x:c r="A118" t="str">
        <x:v>Bu Coffee Roastery</x:v>
      </x:c>
      <x:c r="B118" t="str">
        <x:v>Ürün kaydı</x:v>
      </x:c>
      <x:c r="C118" t="str">
        <x:v>Türk Kahvesi Bu Coffee Roastery</x:v>
      </x:c>
      <x:c r="D118" t="str">
        <x:v>Menşe belirtilmemiş</x:v>
      </x:c>
      <x:c r="E118" s="1" t="str">
        <x:v>Erişilemedi</x:v>
      </x:c>
      <x:c r="F118" s="2" t="str">
        <x:v>Erişilemedi</x:v>
      </x:c>
      <x:c r="G118" t="str">
        <x:v>Gramaj + fiyat</x:v>
      </x:c>
      <x:c r="H118" t="str">
        <x:v>Site haritası ürün sayfası</x:v>
      </x:c>
      <x:c r="I118" s="28" t="str">
        <x:v>https://www.bucoffee.com.tr/kahvelerimiz/turk-kahvesi/</x:v>
      </x:c>
      <x:c r="J118" s="28" t="str">
        <x:v>Ürün kimliği korundu; eksik alanlar erişilemedi olarak işaretlenecek.</x:v>
      </x:c>
    </x:row>
    <x:row r="119">
      <x:c r="A119" t="str">
        <x:v>cafeMU</x:v>
      </x:c>
      <x:c r="B119" t="str">
        <x:v>Ürün kaydı</x:v>
      </x:c>
      <x:c r="C119" t="str">
        <x:v>Brezilya Santos</x:v>
      </x:c>
      <x:c r="D119" t="str">
        <x:v>Brezilya</x:v>
      </x:c>
      <x:c r="E119" s="1" t="str">
        <x:v>Erişilemedi</x:v>
      </x:c>
      <x:c r="F119" s="2" t="n">
        <x:v>450</x:v>
      </x:c>
      <x:c r="G119" t="str">
        <x:v>Gramaj</x:v>
      </x:c>
      <x:c r="H119" t="str">
        <x:v>WooCommerce Store API</x:v>
      </x:c>
      <x:c r="I119" s="28" t="str">
        <x:v>https://cafemu.com.tr/urun/brezilya-santos/</x:v>
      </x:c>
      <x:c r="J119" s="28" t="str">
        <x:v>Fiyat veya gramaj eksik olsa da ürün korundu.</x:v>
      </x:c>
    </x:row>
    <x:row r="120">
      <x:c r="A120" t="str">
        <x:v>cafeMU</x:v>
      </x:c>
      <x:c r="B120" t="str">
        <x:v>Ürün kaydı</x:v>
      </x:c>
      <x:c r="C120" t="str">
        <x:v>Coffee Filters 4 Numara Brown Filtre Kahve Kağıdı</x:v>
      </x:c>
      <x:c r="D120" t="str">
        <x:v>Menşe belirtilmemiş</x:v>
      </x:c>
      <x:c r="E120" s="1" t="str">
        <x:v>Erişilemedi</x:v>
      </x:c>
      <x:c r="F120" s="2" t="n">
        <x:v>0</x:v>
      </x:c>
      <x:c r="G120" t="str">
        <x:v>Gramaj + fiyat</x:v>
      </x:c>
      <x:c r="H120" t="str">
        <x:v>WooCommerce Store API</x:v>
      </x:c>
      <x:c r="I120" s="28" t="str">
        <x:v>https://cafemu.com.tr/urun/coffee-filters-4-numara-brown-filtre-kahve-kagidi/</x:v>
      </x:c>
      <x:c r="J120" s="28" t="str">
        <x:v>Fiyat veya gramaj eksik olsa da ürün korundu.</x:v>
      </x:c>
    </x:row>
    <x:row r="121">
      <x:c r="A121" t="str">
        <x:v>cafeMU</x:v>
      </x:c>
      <x:c r="B121" t="str">
        <x:v>Ürün kaydı</x:v>
      </x:c>
      <x:c r="C121" t="str">
        <x:v>Etiyopya Lekempti</x:v>
      </x:c>
      <x:c r="D121" t="str">
        <x:v>Etiyopya</x:v>
      </x:c>
      <x:c r="E121" s="1" t="str">
        <x:v>Erişilemedi</x:v>
      </x:c>
      <x:c r="F121" s="2" t="n">
        <x:v>450</x:v>
      </x:c>
      <x:c r="G121" t="str">
        <x:v>Gramaj</x:v>
      </x:c>
      <x:c r="H121" t="str">
        <x:v>WooCommerce Store API</x:v>
      </x:c>
      <x:c r="I121" s="28" t="str">
        <x:v>https://cafemu.com.tr/urun/etiyopya-lekempti/</x:v>
      </x:c>
      <x:c r="J121" s="28" t="str">
        <x:v>Fiyat veya gramaj eksik olsa da ürün korundu.</x:v>
      </x:c>
    </x:row>
    <x:row r="122">
      <x:c r="A122" t="str">
        <x:v>cafeMU</x:v>
      </x:c>
      <x:c r="B122" t="str">
        <x:v>Ürün kaydı</x:v>
      </x:c>
      <x:c r="C122" t="str">
        <x:v>Etiyopya Yirgacheffe</x:v>
      </x:c>
      <x:c r="D122" t="str">
        <x:v>Etiyopya</x:v>
      </x:c>
      <x:c r="E122" s="1" t="str">
        <x:v>Erişilemedi</x:v>
      </x:c>
      <x:c r="F122" s="2" t="n">
        <x:v>0</x:v>
      </x:c>
      <x:c r="G122" t="str">
        <x:v>Gramaj + fiyat</x:v>
      </x:c>
      <x:c r="H122" t="str">
        <x:v>WooCommerce Store API</x:v>
      </x:c>
      <x:c r="I122" s="28" t="str">
        <x:v>https://cafemu.com.tr/urun/etiyopya-yirgacheffe/</x:v>
      </x:c>
      <x:c r="J122" s="28" t="str">
        <x:v>Fiyat veya gramaj eksik olsa da ürün korundu.</x:v>
      </x:c>
    </x:row>
    <x:row r="123">
      <x:c r="A123" t="str">
        <x:v>cafeMU</x:v>
      </x:c>
      <x:c r="B123" t="str">
        <x:v>Ürün kaydı</x:v>
      </x:c>
      <x:c r="C123" t="str">
        <x:v>Guatemala Huehuetenango</x:v>
      </x:c>
      <x:c r="D123" t="str">
        <x:v>Guatemala</x:v>
      </x:c>
      <x:c r="E123" s="1" t="str">
        <x:v>Erişilemedi</x:v>
      </x:c>
      <x:c r="F123" s="2" t="n">
        <x:v>450</x:v>
      </x:c>
      <x:c r="G123" t="str">
        <x:v>Gramaj</x:v>
      </x:c>
      <x:c r="H123" t="str">
        <x:v>WooCommerce Store API</x:v>
      </x:c>
      <x:c r="I123" s="28" t="str">
        <x:v>https://cafemu.com.tr/urun/guatemala/</x:v>
      </x:c>
      <x:c r="J123" s="28" t="str">
        <x:v>Fiyat veya gramaj eksik olsa da ürün korundu.</x:v>
      </x:c>
    </x:row>
    <x:row r="124">
      <x:c r="A124" t="str">
        <x:v>cafeMU</x:v>
      </x:c>
      <x:c r="B124" t="str">
        <x:v>Ürün kaydı</x:v>
      </x:c>
      <x:c r="C124" t="str">
        <x:v>Honduras</x:v>
      </x:c>
      <x:c r="D124" t="str">
        <x:v>Honduras</x:v>
      </x:c>
      <x:c r="E124" s="1" t="str">
        <x:v>Erişilemedi</x:v>
      </x:c>
      <x:c r="F124" s="2" t="n">
        <x:v>450</x:v>
      </x:c>
      <x:c r="G124" t="str">
        <x:v>Gramaj</x:v>
      </x:c>
      <x:c r="H124" t="str">
        <x:v>WooCommerce Store API</x:v>
      </x:c>
      <x:c r="I124" s="28" t="str">
        <x:v>https://cafemu.com.tr/urun/honduras/</x:v>
      </x:c>
      <x:c r="J124" s="28" t="str">
        <x:v>Fiyat veya gramaj eksik olsa da ürün korundu.</x:v>
      </x:c>
    </x:row>
    <x:row r="125">
      <x:c r="A125" t="str">
        <x:v>cafeMU</x:v>
      </x:c>
      <x:c r="B125" t="str">
        <x:v>Ürün kaydı</x:v>
      </x:c>
      <x:c r="C125" t="str">
        <x:v>Kenya Natural</x:v>
      </x:c>
      <x:c r="D125" t="str">
        <x:v>Kenya</x:v>
      </x:c>
      <x:c r="E125" s="1" t="str">
        <x:v>Erişilemedi</x:v>
      </x:c>
      <x:c r="F125" s="2" t="n">
        <x:v>450</x:v>
      </x:c>
      <x:c r="G125" t="str">
        <x:v>Gramaj</x:v>
      </x:c>
      <x:c r="H125" t="str">
        <x:v>WooCommerce Store API</x:v>
      </x:c>
      <x:c r="I125" s="28" t="str">
        <x:v>https://cafemu.com.tr/urun/kenya/</x:v>
      </x:c>
      <x:c r="J125" s="28" t="str">
        <x:v>Fiyat veya gramaj eksik olsa da ürün korundu.</x:v>
      </x:c>
    </x:row>
    <x:row r="126">
      <x:c r="A126" t="str">
        <x:v>cafeMU</x:v>
      </x:c>
      <x:c r="B126" t="str">
        <x:v>Ürün kaydı</x:v>
      </x:c>
      <x:c r="C126" t="str">
        <x:v>Kolombiya Supremo</x:v>
      </x:c>
      <x:c r="D126" t="str">
        <x:v>Kolombiya</x:v>
      </x:c>
      <x:c r="E126" s="1" t="str">
        <x:v>Erişilemedi</x:v>
      </x:c>
      <x:c r="F126" s="2" t="n">
        <x:v>450</x:v>
      </x:c>
      <x:c r="G126" t="str">
        <x:v>Gramaj</x:v>
      </x:c>
      <x:c r="H126" t="str">
        <x:v>WooCommerce Store API</x:v>
      </x:c>
      <x:c r="I126" s="28" t="str">
        <x:v>https://cafemu.com.tr/urun/kolombiya/</x:v>
      </x:c>
      <x:c r="J126" s="28" t="str">
        <x:v>Fiyat veya gramaj eksik olsa da ürün korundu.</x:v>
      </x:c>
    </x:row>
    <x:row r="127">
      <x:c r="A127" t="str">
        <x:v>cafeMU</x:v>
      </x:c>
      <x:c r="B127" t="str">
        <x:v>Ürün kaydı</x:v>
      </x:c>
      <x:c r="C127" t="str">
        <x:v>Sumatra</x:v>
      </x:c>
      <x:c r="D127" t="str">
        <x:v>Endonezya</x:v>
      </x:c>
      <x:c r="E127" s="1" t="str">
        <x:v>Erişilemedi</x:v>
      </x:c>
      <x:c r="F127" s="2" t="n">
        <x:v>0</x:v>
      </x:c>
      <x:c r="G127" t="str">
        <x:v>Gramaj + fiyat</x:v>
      </x:c>
      <x:c r="H127" t="str">
        <x:v>WooCommerce Store API</x:v>
      </x:c>
      <x:c r="I127" s="28" t="str">
        <x:v>https://cafemu.com.tr/urun/sumatra/</x:v>
      </x:c>
      <x:c r="J127" s="28" t="str">
        <x:v>Fiyat veya gramaj eksik olsa da ürün korundu.</x:v>
      </x:c>
    </x:row>
    <x:row r="128">
      <x:c r="A128" t="str">
        <x:v>cafeMU</x:v>
      </x:c>
      <x:c r="B128" t="str">
        <x:v>Ürün kaydı</x:v>
      </x:c>
      <x:c r="C128" t="str">
        <x:v>Türk Kahvesi</x:v>
      </x:c>
      <x:c r="D128" t="str">
        <x:v>Brezilya</x:v>
      </x:c>
      <x:c r="E128" s="1" t="str">
        <x:v>Erişilemedi</x:v>
      </x:c>
      <x:c r="F128" s="2" t="n">
        <x:v>300</x:v>
      </x:c>
      <x:c r="G128" t="str">
        <x:v>Gramaj</x:v>
      </x:c>
      <x:c r="H128" t="str">
        <x:v>WooCommerce Store API</x:v>
      </x:c>
      <x:c r="I128" s="28" t="str">
        <x:v>https://cafemu.com.tr/urun/turk-kahvesi/</x:v>
      </x:c>
      <x:c r="J128" s="28" t="str">
        <x:v>Fiyat veya gramaj eksik olsa da ürün korundu.</x:v>
      </x:c>
    </x:row>
    <x:row r="129">
      <x:c r="A129" t="str">
        <x:v>Calibre Coffee</x:v>
      </x:c>
      <x:c r="B129" t="str">
        <x:v>Katalog takip kaydı</x:v>
      </x:c>
      <x:c r="C129" t="str">
        <x:v>Ürün kataloğu — ayrıntılı ürün verisine erişilemedi</x:v>
      </x:c>
      <x:c r="D129" t="str">
        <x:v>Erişilemedi</x:v>
      </x:c>
      <x:c r="E129" s="1" t="str">
        <x:v>Erişilemedi</x:v>
      </x:c>
      <x:c r="F129" s="2" t="str">
        <x:v>Erişilemedi</x:v>
      </x:c>
      <x:c r="G129" t="str">
        <x:v>Gramaj + fiyat</x:v>
      </x:c>
      <x:c r="H129" t="str">
        <x:v>Instagram veya mevcut kaynak</x:v>
      </x:c>
      <x:c r="I129" s="28" t="str">
        <x:v>Erişilemedi</x:v>
      </x:c>
      <x:c r="J129" s="28" t="str">
        <x:v>Ürün adı, gramaj ve fiyat birlikte çıkarılamadı. Bağlantı manuel inceleme için korundu.</x:v>
      </x:c>
    </x:row>
    <x:row r="130">
      <x:c r="A130" t="str">
        <x:v>Celsius Coffee</x:v>
      </x:c>
      <x:c r="B130" t="str">
        <x:v>Katalog takip kaydı</x:v>
      </x:c>
      <x:c r="C130" t="str">
        <x:v>Ürün kataloğu — ayrıntılı ürün verisine erişilemedi</x:v>
      </x:c>
      <x:c r="D130" t="str">
        <x:v>Erişilemedi</x:v>
      </x:c>
      <x:c r="E130" s="1" t="str">
        <x:v>Erişilemedi</x:v>
      </x:c>
      <x:c r="F130" s="2" t="str">
        <x:v>Erişilemedi</x:v>
      </x:c>
      <x:c r="G130" t="str">
        <x:v>Gramaj + fiyat</x:v>
      </x:c>
      <x:c r="H130" t="str">
        <x:v>Instagram veya mevcut kaynak</x:v>
      </x:c>
      <x:c r="I130" s="28" t="str">
        <x:v>Erişilemedi</x:v>
      </x:c>
      <x:c r="J130" s="28" t="str">
        <x:v>Ürün adı, gramaj ve fiyat birlikte çıkarılamadı. Bağlantı manuel inceleme için korundu.</x:v>
      </x:c>
    </x:row>
    <x:row r="131">
      <x:c r="A131" t="str">
        <x:v>Cho Coffee Roastery</x:v>
      </x:c>
      <x:c r="B131" t="str">
        <x:v>Ürün kaydı</x:v>
      </x:c>
      <x:c r="C131" t="str">
        <x:v>&amp;#x27;brezilya&amp;#x27; ile etiketlenen &amp;#xFC;r&amp;#xFC;nler</x:v>
      </x:c>
      <x:c r="D131" t="str">
        <x:v>Brezilya</x:v>
      </x:c>
      <x:c r="E131" s="1" t="str">
        <x:v>Erişilemedi</x:v>
      </x:c>
      <x:c r="F131" s="2" t="str">
        <x:v>Erişilemedi</x:v>
      </x:c>
      <x:c r="G131" t="str">
        <x:v>Gramaj + fiyat</x:v>
      </x:c>
      <x:c r="H131" t="str">
        <x:v>Site haritası ürün sayfası</x:v>
      </x:c>
      <x:c r="I131" s="28" t="str">
        <x:v>https://chocoffeeroastery.com/tr/brezilya</x:v>
      </x:c>
      <x:c r="J131" s="28" t="str">
        <x:v>Ürün kimliği korundu; eksik alanlar erişilemedi olarak işaretlenecek.</x:v>
      </x:c>
    </x:row>
    <x:row r="132">
      <x:c r="A132" t="str">
        <x:v>Cho Coffee Roastery</x:v>
      </x:c>
      <x:c r="B132" t="str">
        <x:v>Ürün kaydı</x:v>
      </x:c>
      <x:c r="C132" t="str">
        <x:v>&amp;#x27;colombia&amp;#x27; ile etiketlenen &amp;#xFC;r&amp;#xFC;nler</x:v>
      </x:c>
      <x:c r="D132" t="str">
        <x:v>Kolombiya</x:v>
      </x:c>
      <x:c r="E132" s="1" t="str">
        <x:v>Erişilemedi</x:v>
      </x:c>
      <x:c r="F132" s="2" t="str">
        <x:v>Erişilemedi</x:v>
      </x:c>
      <x:c r="G132" t="str">
        <x:v>Gramaj + fiyat</x:v>
      </x:c>
      <x:c r="H132" t="str">
        <x:v>Site haritası ürün sayfası</x:v>
      </x:c>
      <x:c r="I132" s="28" t="str">
        <x:v>https://chocoffeeroastery.com/tr/colombia</x:v>
      </x:c>
      <x:c r="J132" s="28" t="str">
        <x:v>Ürün kimliği korundu; eksik alanlar erişilemedi olarak işaretlenecek.</x:v>
      </x:c>
    </x:row>
    <x:row r="133">
      <x:c r="A133" t="str">
        <x:v>Cho Coffee Roastery</x:v>
      </x:c>
      <x:c r="B133" t="str">
        <x:v>Ürün kaydı</x:v>
      </x:c>
      <x:c r="C133" t="str">
        <x:v>&amp;#x27;costarica&amp;#x27; ile etiketlenen &amp;#xFC;r&amp;#xFC;nler</x:v>
      </x:c>
      <x:c r="D133" t="str">
        <x:v>Menşe belirtilmemiş</x:v>
      </x:c>
      <x:c r="E133" s="1" t="str">
        <x:v>Erişilemedi</x:v>
      </x:c>
      <x:c r="F133" s="2" t="str">
        <x:v>Erişilemedi</x:v>
      </x:c>
      <x:c r="G133" t="str">
        <x:v>Gramaj + fiyat</x:v>
      </x:c>
      <x:c r="H133" t="str">
        <x:v>Site haritası ürün sayfası</x:v>
      </x:c>
      <x:c r="I133" s="28" t="str">
        <x:v>https://chocoffeeroastery.com/tr/costarica</x:v>
      </x:c>
      <x:c r="J133" s="28" t="str">
        <x:v>Ürün kimliği korundu; eksik alanlar erişilemedi olarak işaretlenecek.</x:v>
      </x:c>
    </x:row>
    <x:row r="134">
      <x:c r="A134" t="str">
        <x:v>Cho Coffee Roastery</x:v>
      </x:c>
      <x:c r="B134" t="str">
        <x:v>Ürün kaydı</x:v>
      </x:c>
      <x:c r="C134" t="str">
        <x:v>&amp;#x27;endonezya&amp;#x27; ile etiketlenen &amp;#xFC;r&amp;#xFC;nler</x:v>
      </x:c>
      <x:c r="D134" t="str">
        <x:v>Endonezya</x:v>
      </x:c>
      <x:c r="E134" s="1" t="str">
        <x:v>Erişilemedi</x:v>
      </x:c>
      <x:c r="F134" s="2" t="str">
        <x:v>Erişilemedi</x:v>
      </x:c>
      <x:c r="G134" t="str">
        <x:v>Gramaj + fiyat</x:v>
      </x:c>
      <x:c r="H134" t="str">
        <x:v>Site haritası ürün sayfası</x:v>
      </x:c>
      <x:c r="I134" s="28" t="str">
        <x:v>https://chocoffeeroastery.com/tr/endonezya</x:v>
      </x:c>
      <x:c r="J134" s="28" t="str">
        <x:v>Ürün kimliği korundu; eksik alanlar erişilemedi olarak işaretlenecek.</x:v>
      </x:c>
    </x:row>
    <x:row r="135">
      <x:c r="A135" t="str">
        <x:v>Cho Coffee Roastery</x:v>
      </x:c>
      <x:c r="B135" t="str">
        <x:v>Ürün kaydı</x:v>
      </x:c>
      <x:c r="C135" t="str">
        <x:v>&amp;#x27;espresso&amp;#x27; ile etiketlenen &amp;#xFC;r&amp;#xFC;nler</x:v>
      </x:c>
      <x:c r="D135" t="str">
        <x:v>Menşe belirtilmemiş</x:v>
      </x:c>
      <x:c r="E135" s="1" t="str">
        <x:v>Erişilemedi</x:v>
      </x:c>
      <x:c r="F135" s="2" t="str">
        <x:v>Erişilemedi</x:v>
      </x:c>
      <x:c r="G135" t="str">
        <x:v>Gramaj + fiyat</x:v>
      </x:c>
      <x:c r="H135" t="str">
        <x:v>Site haritası ürün sayfası</x:v>
      </x:c>
      <x:c r="I135" s="28" t="str">
        <x:v>https://chocoffeeroastery.com/tr/espresso</x:v>
      </x:c>
      <x:c r="J135" s="28" t="str">
        <x:v>Ürün kimliği korundu; eksik alanlar erişilemedi olarak işaretlenecek.</x:v>
      </x:c>
    </x:row>
    <x:row r="136">
      <x:c r="A136" t="str">
        <x:v>Cho Coffee Roastery</x:v>
      </x:c>
      <x:c r="B136" t="str">
        <x:v>Ürün kaydı</x:v>
      </x:c>
      <x:c r="C136" t="str">
        <x:v>&amp;#x27;ethiopia&amp;#x27; ile etiketlenen &amp;#xFC;r&amp;#xFC;nler</x:v>
      </x:c>
      <x:c r="D136" t="str">
        <x:v>Etiyopya</x:v>
      </x:c>
      <x:c r="E136" s="1" t="str">
        <x:v>Erişilemedi</x:v>
      </x:c>
      <x:c r="F136" s="2" t="str">
        <x:v>Erişilemedi</x:v>
      </x:c>
      <x:c r="G136" t="str">
        <x:v>Gramaj + fiyat</x:v>
      </x:c>
      <x:c r="H136" t="str">
        <x:v>Site haritası ürün sayfası</x:v>
      </x:c>
      <x:c r="I136" s="28" t="str">
        <x:v>https://chocoffeeroastery.com/tr/ethiopia</x:v>
      </x:c>
      <x:c r="J136" s="28" t="str">
        <x:v>Ürün kimliği korundu; eksik alanlar erişilemedi olarak işaretlenecek.</x:v>
      </x:c>
    </x:row>
    <x:row r="137">
      <x:c r="A137" t="str">
        <x:v>Cho Coffee Roastery</x:v>
      </x:c>
      <x:c r="B137" t="str">
        <x:v>Ürün kaydı</x:v>
      </x:c>
      <x:c r="C137" t="str">
        <x:v>&amp;#x27;filtrecoffee&amp;#x27; ile etiketlenen &amp;#xFC;r&amp;#xFC;nler</x:v>
      </x:c>
      <x:c r="D137" t="str">
        <x:v>Menşe belirtilmemiş</x:v>
      </x:c>
      <x:c r="E137" s="1" t="str">
        <x:v>Erişilemedi</x:v>
      </x:c>
      <x:c r="F137" s="2" t="str">
        <x:v>Erişilemedi</x:v>
      </x:c>
      <x:c r="G137" t="str">
        <x:v>Gramaj + fiyat</x:v>
      </x:c>
      <x:c r="H137" t="str">
        <x:v>Site haritası ürün sayfası</x:v>
      </x:c>
      <x:c r="I137" s="28" t="str">
        <x:v>https://chocoffeeroastery.com/tr/filtrecoffee</x:v>
      </x:c>
      <x:c r="J137" s="28" t="str">
        <x:v>Ürün kimliği korundu; eksik alanlar erişilemedi olarak işaretlenecek.</x:v>
      </x:c>
    </x:row>
    <x:row r="138">
      <x:c r="A138" t="str">
        <x:v>Cho Coffee Roastery</x:v>
      </x:c>
      <x:c r="B138" t="str">
        <x:v>Ürün kaydı</x:v>
      </x:c>
      <x:c r="C138" t="str">
        <x:v>BREZILYA SANTUARIO SUL GEISHA LUIZ PAULO</x:v>
      </x:c>
      <x:c r="D138" t="str">
        <x:v>Brezilya</x:v>
      </x:c>
      <x:c r="E138" s="1" t="str">
        <x:v>Erişilemedi</x:v>
      </x:c>
      <x:c r="F138" s="2" t="n">
        <x:v>450</x:v>
      </x:c>
      <x:c r="G138" t="str">
        <x:v>Gramaj</x:v>
      </x:c>
      <x:c r="H138" t="str">
        <x:v>Site haritası ürün sayfası</x:v>
      </x:c>
      <x:c r="I138" s="28" t="str">
        <x:v>https://chocoffeeroastery.com/tr/brezilya-santuario-sul-geisha</x:v>
      </x:c>
      <x:c r="J138" s="28" t="str">
        <x:v>Ürün kimliği korundu; eksik alanlar erişilemedi olarak işaretlenecek.</x:v>
      </x:c>
    </x:row>
    <x:row r="139">
      <x:c r="A139" t="str">
        <x:v>Cho Coffee Roastery</x:v>
      </x:c>
      <x:c r="B139" t="str">
        <x:v>Ürün kaydı</x:v>
      </x:c>
      <x:c r="C139" t="str">
        <x:v>BREZILYA SANTUARIO SUL STARMAYA</x:v>
      </x:c>
      <x:c r="D139" t="str">
        <x:v>Brezilya</x:v>
      </x:c>
      <x:c r="E139" s="1" t="str">
        <x:v>Erişilemedi</x:v>
      </x:c>
      <x:c r="F139" s="2" t="n">
        <x:v>300</x:v>
      </x:c>
      <x:c r="G139" t="str">
        <x:v>Gramaj</x:v>
      </x:c>
      <x:c r="H139" t="str">
        <x:v>Site haritası ürün sayfası</x:v>
      </x:c>
      <x:c r="I139" s="28" t="str">
        <x:v>https://chocoffeeroastery.com/tr/brezilya-santuario-sul-starmaya-2</x:v>
      </x:c>
      <x:c r="J139" s="28" t="str">
        <x:v>Ürün kimliği korundu; eksik alanlar erişilemedi olarak işaretlenecek.</x:v>
      </x:c>
    </x:row>
    <x:row r="140">
      <x:c r="A140" t="str">
        <x:v>Cho Coffee Roastery</x:v>
      </x:c>
      <x:c r="B140" t="str">
        <x:v>Ürün kaydı</x:v>
      </x:c>
      <x:c r="C140" t="str">
        <x:v>Cafec TH-3 Filtre Kahve Ka&amp;#x11F;&amp;#x131;d&amp;#x131;</x:v>
      </x:c>
      <x:c r="D140" t="str">
        <x:v>Menşe belirtilmemiş</x:v>
      </x:c>
      <x:c r="E140" s="1" t="str">
        <x:v>Erişilemedi</x:v>
      </x:c>
      <x:c r="F140" s="2" t="n">
        <x:v>585</x:v>
      </x:c>
      <x:c r="G140" t="str">
        <x:v>Gramaj</x:v>
      </x:c>
      <x:c r="H140" t="str">
        <x:v>Site haritası ürün sayfası</x:v>
      </x:c>
      <x:c r="I140" s="28" t="str">
        <x:v>https://chocoffeeroastery.com/tr/cafec-th-3-filtre-kagidi</x:v>
      </x:c>
      <x:c r="J140" s="28" t="str">
        <x:v>Ürün kimliği korundu; eksik alanlar erişilemedi olarak işaretlenecek.</x:v>
      </x:c>
    </x:row>
    <x:row r="141">
      <x:c r="A141" t="str">
        <x:v>Cho Coffee Roastery</x:v>
      </x:c>
      <x:c r="B141" t="str">
        <x:v>Ürün kaydı</x:v>
      </x:c>
      <x:c r="C141" t="str">
        <x:v>Cho Coffee Roastery. &amp;#xC7;&amp;#x130;KOLATA</x:v>
      </x:c>
      <x:c r="D141" t="str">
        <x:v>Menşe belirtilmemiş</x:v>
      </x:c>
      <x:c r="E141" s="1" t="str">
        <x:v>Erişilemedi</x:v>
      </x:c>
      <x:c r="F141" s="2" t="str">
        <x:v>Erişilemedi</x:v>
      </x:c>
      <x:c r="G141" t="str">
        <x:v>Gramaj + fiyat</x:v>
      </x:c>
      <x:c r="H141" t="str">
        <x:v>Site haritası ürün sayfası</x:v>
      </x:c>
      <x:c r="I141" s="28" t="str">
        <x:v>https://chocoffeeroastery.com/tr/cikolata-2</x:v>
      </x:c>
      <x:c r="J141" s="28" t="str">
        <x:v>Ürün kimliği korundu; eksik alanlar erişilemedi olarak işaretlenecek.</x:v>
      </x:c>
    </x:row>
    <x:row r="142">
      <x:c r="A142" t="str">
        <x:v>Cho Coffee Roastery</x:v>
      </x:c>
      <x:c r="B142" t="str">
        <x:v>Ürün kaydı</x:v>
      </x:c>
      <x:c r="C142" t="str">
        <x:v>Cho Coffee Roastery. Bizimle iletisime ge&amp;#xE7;in</x:v>
      </x:c>
      <x:c r="D142" t="str">
        <x:v>Menşe belirtilmemiş</x:v>
      </x:c>
      <x:c r="E142" s="1" t="str">
        <x:v>Erişilemedi</x:v>
      </x:c>
      <x:c r="F142" s="2" t="str">
        <x:v>Erişilemedi</x:v>
      </x:c>
      <x:c r="G142" t="str">
        <x:v>Gramaj + fiyat</x:v>
      </x:c>
      <x:c r="H142" t="str">
        <x:v>Site haritası ürün sayfası</x:v>
      </x:c>
      <x:c r="I142" s="28" t="str">
        <x:v>https://chocoffeeroastery.com/tr/contactus</x:v>
      </x:c>
      <x:c r="J142" s="28" t="str">
        <x:v>Ürün kimliği korundu; eksik alanlar erişilemedi olarak işaretlenecek.</x:v>
      </x:c>
    </x:row>
    <x:row r="143">
      <x:c r="A143" t="str">
        <x:v>Cho Coffee Roastery</x:v>
      </x:c>
      <x:c r="B143" t="str">
        <x:v>Ürün kaydı</x:v>
      </x:c>
      <x:c r="C143" t="str">
        <x:v>Cho Coffee Roastery. CAFEC</x:v>
      </x:c>
      <x:c r="D143" t="str">
        <x:v>Menşe belirtilmemiş</x:v>
      </x:c>
      <x:c r="E143" s="1" t="str">
        <x:v>Erişilemedi</x:v>
      </x:c>
      <x:c r="F143" s="2" t="str">
        <x:v>Erişilemedi</x:v>
      </x:c>
      <x:c r="G143" t="str">
        <x:v>Gramaj + fiyat</x:v>
      </x:c>
      <x:c r="H143" t="str">
        <x:v>Site haritası ürün sayfası</x:v>
      </x:c>
      <x:c r="I143" s="28" t="str">
        <x:v>https://chocoffeeroastery.com/tr/cafec</x:v>
      </x:c>
      <x:c r="J143" s="28" t="str">
        <x:v>Ürün kimliği korundu; eksik alanlar erişilemedi olarak işaretlenecek.</x:v>
      </x:c>
    </x:row>
    <x:row r="144">
      <x:c r="A144" t="str">
        <x:v>Cho Coffee Roastery</x:v>
      </x:c>
      <x:c r="B144" t="str">
        <x:v>Ürün kaydı</x:v>
      </x:c>
      <x:c r="C144" t="str">
        <x:v>Cho Coffee Roastery. Cho Coffee Roastery</x:v>
      </x:c>
      <x:c r="D144" t="str">
        <x:v>Menşe belirtilmemiş</x:v>
      </x:c>
      <x:c r="E144" s="1" t="str">
        <x:v>Erişilemedi</x:v>
      </x:c>
      <x:c r="F144" s="2" t="str">
        <x:v>Erişilemedi</x:v>
      </x:c>
      <x:c r="G144" t="str">
        <x:v>Gramaj + fiyat</x:v>
      </x:c>
      <x:c r="H144" t="str">
        <x:v>Site haritası ürün sayfası</x:v>
      </x:c>
      <x:c r="I144" s="28" t="str">
        <x:v>https://chocoffeeroastery.com/tr</x:v>
      </x:c>
      <x:c r="J144" s="28" t="str">
        <x:v>Ürün kimliği korundu; eksik alanlar erişilemedi olarak işaretlenecek.</x:v>
      </x:c>
    </x:row>
    <x:row r="145">
      <x:c r="A145" t="str">
        <x:v>Cho Coffee Roastery</x:v>
      </x:c>
      <x:c r="B145" t="str">
        <x:v>Ürün kaydı</x:v>
      </x:c>
      <x:c r="C145" t="str">
        <x:v>Cho Coffee Roastery. FELLOW</x:v>
      </x:c>
      <x:c r="D145" t="str">
        <x:v>Menşe belirtilmemiş</x:v>
      </x:c>
      <x:c r="E145" s="1" t="str">
        <x:v>Erişilemedi</x:v>
      </x:c>
      <x:c r="F145" s="2" t="str">
        <x:v>Erişilemedi</x:v>
      </x:c>
      <x:c r="G145" t="str">
        <x:v>Gramaj + fiyat</x:v>
      </x:c>
      <x:c r="H145" t="str">
        <x:v>Site haritası ürün sayfası</x:v>
      </x:c>
      <x:c r="I145" s="28" t="str">
        <x:v>https://chocoffeeroastery.com/tr/fellow</x:v>
      </x:c>
      <x:c r="J145" s="28" t="str">
        <x:v>Ürün kimliği korundu; eksik alanlar erişilemedi olarak işaretlenecek.</x:v>
      </x:c>
    </x:row>
    <x:row r="146">
      <x:c r="A146" t="str">
        <x:v>Cho Coffee Roastery</x:v>
      </x:c>
      <x:c r="B146" t="str">
        <x:v>Ürün kaydı</x:v>
      </x:c>
      <x:c r="C146" t="str">
        <x:v>Cho Coffee Roastery. HARIO</x:v>
      </x:c>
      <x:c r="D146" t="str">
        <x:v>Menşe belirtilmemiş</x:v>
      </x:c>
      <x:c r="E146" s="1" t="str">
        <x:v>Erişilemedi</x:v>
      </x:c>
      <x:c r="F146" s="2" t="str">
        <x:v>Erişilemedi</x:v>
      </x:c>
      <x:c r="G146" t="str">
        <x:v>Gramaj + fiyat</x:v>
      </x:c>
      <x:c r="H146" t="str">
        <x:v>Site haritası ürün sayfası</x:v>
      </x:c>
      <x:c r="I146" s="28" t="str">
        <x:v>https://chocoffeeroastery.com/tr/hario</x:v>
      </x:c>
      <x:c r="J146" s="28" t="str">
        <x:v>Ürün kimliği korundu; eksik alanlar erişilemedi olarak işaretlenecek.</x:v>
      </x:c>
    </x:row>
    <x:row r="147">
      <x:c r="A147" t="str">
        <x:v>Cho Coffee Roastery</x:v>
      </x:c>
      <x:c r="B147" t="str">
        <x:v>Ürün kaydı</x:v>
      </x:c>
      <x:c r="C147" t="str">
        <x:v>Cho Coffee Roastery. Limited Edition</x:v>
      </x:c>
      <x:c r="D147" t="str">
        <x:v>Menşe belirtilmemiş</x:v>
      </x:c>
      <x:c r="E147" s="1" t="str">
        <x:v>Erişilemedi</x:v>
      </x:c>
      <x:c r="F147" s="2" t="str">
        <x:v>Erişilemedi</x:v>
      </x:c>
      <x:c r="G147" t="str">
        <x:v>Gramaj + fiyat</x:v>
      </x:c>
      <x:c r="H147" t="str">
        <x:v>Site haritası ürün sayfası</x:v>
      </x:c>
      <x:c r="I147" s="28" t="str">
        <x:v>https://chocoffeeroastery.com/tr/limited-edition</x:v>
      </x:c>
      <x:c r="J147" s="28" t="str">
        <x:v>Ürün kimliği korundu; eksik alanlar erişilemedi olarak işaretlenecek.</x:v>
      </x:c>
    </x:row>
    <x:row r="148">
      <x:c r="A148" t="str">
        <x:v>Cho Coffee Roastery</x:v>
      </x:c>
      <x:c r="B148" t="str">
        <x:v>Ürün kaydı</x:v>
      </x:c>
      <x:c r="C148" t="str">
        <x:v>Cho Coffee Roastery. MOCCAMASTER</x:v>
      </x:c>
      <x:c r="D148" t="str">
        <x:v>Menşe belirtilmemiş</x:v>
      </x:c>
      <x:c r="E148" s="1" t="str">
        <x:v>Erişilemedi</x:v>
      </x:c>
      <x:c r="F148" s="2" t="str">
        <x:v>Erişilemedi</x:v>
      </x:c>
      <x:c r="G148" t="str">
        <x:v>Gramaj + fiyat</x:v>
      </x:c>
      <x:c r="H148" t="str">
        <x:v>Site haritası ürün sayfası</x:v>
      </x:c>
      <x:c r="I148" s="28" t="str">
        <x:v>https://chocoffeeroastery.com/tr/moccamaster</x:v>
      </x:c>
      <x:c r="J148" s="28" t="str">
        <x:v>Ürün kimliği korundu; eksik alanlar erişilemedi olarak işaretlenecek.</x:v>
      </x:c>
    </x:row>
    <x:row r="149">
      <x:c r="A149" t="str">
        <x:v>Cho Coffee Roastery</x:v>
      </x:c>
      <x:c r="B149" t="str">
        <x:v>Ürün kaydı</x:v>
      </x:c>
      <x:c r="C149" t="str">
        <x:v>Cho Coffee Roastery. MORNING</x:v>
      </x:c>
      <x:c r="D149" t="str">
        <x:v>Menşe belirtilmemiş</x:v>
      </x:c>
      <x:c r="E149" s="1" t="str">
        <x:v>Erişilemedi</x:v>
      </x:c>
      <x:c r="F149" s="2" t="str">
        <x:v>Erişilemedi</x:v>
      </x:c>
      <x:c r="G149" t="str">
        <x:v>Gramaj + fiyat</x:v>
      </x:c>
      <x:c r="H149" t="str">
        <x:v>Site haritası ürün sayfası</x:v>
      </x:c>
      <x:c r="I149" s="28" t="str">
        <x:v>https://chocoffeeroastery.com/tr/morning</x:v>
      </x:c>
      <x:c r="J149" s="28" t="str">
        <x:v>Ürün kimliği korundu; eksik alanlar erişilemedi olarak işaretlenecek.</x:v>
      </x:c>
    </x:row>
    <x:row r="150">
      <x:c r="A150" t="str">
        <x:v>Cho Coffee Roastery</x:v>
      </x:c>
      <x:c r="B150" t="str">
        <x:v>Ürün kaydı</x:v>
      </x:c>
      <x:c r="C150" t="str">
        <x:v>Cho Coffee Roastery. SEZONSAL KAHVELER</x:v>
      </x:c>
      <x:c r="D150" t="str">
        <x:v>Menşe belirtilmemiş</x:v>
      </x:c>
      <x:c r="E150" s="1" t="str">
        <x:v>Erişilemedi</x:v>
      </x:c>
      <x:c r="F150" s="2" t="str">
        <x:v>Erişilemedi</x:v>
      </x:c>
      <x:c r="G150" t="str">
        <x:v>Gramaj + fiyat</x:v>
      </x:c>
      <x:c r="H150" t="str">
        <x:v>Site haritası ürün sayfası</x:v>
      </x:c>
      <x:c r="I150" s="28" t="str">
        <x:v>https://chocoffeeroastery.com/tr/sezonsal-kahveler</x:v>
      </x:c>
      <x:c r="J150" s="28" t="str">
        <x:v>Ürün kimliği korundu; eksik alanlar erişilemedi olarak işaretlenecek.</x:v>
      </x:c>
    </x:row>
    <x:row r="151">
      <x:c r="A151" t="str">
        <x:v>Cho Coffee Roastery</x:v>
      </x:c>
      <x:c r="B151" t="str">
        <x:v>Ürün kaydı</x:v>
      </x:c>
      <x:c r="C151" t="str">
        <x:v>Cho Coffee Roastery. T&amp;#xFC;rk Kahvesi</x:v>
      </x:c>
      <x:c r="D151" t="str">
        <x:v>Menşe belirtilmemiş</x:v>
      </x:c>
      <x:c r="E151" s="1" t="str">
        <x:v>Erişilemedi</x:v>
      </x:c>
      <x:c r="F151" s="2" t="str">
        <x:v>Erişilemedi</x:v>
      </x:c>
      <x:c r="G151" t="str">
        <x:v>Gramaj + fiyat</x:v>
      </x:c>
      <x:c r="H151" t="str">
        <x:v>Site haritası ürün sayfası</x:v>
      </x:c>
      <x:c r="I151" s="28" t="str">
        <x:v>https://chocoffeeroastery.com/tr/turk-kahvesi</x:v>
      </x:c>
      <x:c r="J151" s="28" t="str">
        <x:v>Ürün kimliği korundu; eksik alanlar erişilemedi olarak işaretlenecek.</x:v>
      </x:c>
    </x:row>
    <x:row r="152">
      <x:c r="A152" t="str">
        <x:v>Cho Coffee Roastery</x:v>
      </x:c>
      <x:c r="B152" t="str">
        <x:v>Ürün kaydı</x:v>
      </x:c>
      <x:c r="C152" t="str">
        <x:v>Cho Coffee Roastery. TIMEMORE</x:v>
      </x:c>
      <x:c r="D152" t="str">
        <x:v>Menşe belirtilmemiş</x:v>
      </x:c>
      <x:c r="E152" s="1" t="str">
        <x:v>Erişilemedi</x:v>
      </x:c>
      <x:c r="F152" s="2" t="str">
        <x:v>Erişilemedi</x:v>
      </x:c>
      <x:c r="G152" t="str">
        <x:v>Gramaj + fiyat</x:v>
      </x:c>
      <x:c r="H152" t="str">
        <x:v>Site haritası ürün sayfası</x:v>
      </x:c>
      <x:c r="I152" s="28" t="str">
        <x:v>https://chocoffeeroastery.com/tr/timemore</x:v>
      </x:c>
      <x:c r="J152" s="28" t="str">
        <x:v>Ürün kimliği korundu; eksik alanlar erişilemedi olarak işaretlenecek.</x:v>
      </x:c>
    </x:row>
    <x:row r="153">
      <x:c r="A153" t="str">
        <x:v>Cho Coffee Roastery</x:v>
      </x:c>
      <x:c r="B153" t="str">
        <x:v>Ürün kaydı</x:v>
      </x:c>
      <x:c r="C153" t="str">
        <x:v>Cho Coffee Roastery. WILFA</x:v>
      </x:c>
      <x:c r="D153" t="str">
        <x:v>Menşe belirtilmemiş</x:v>
      </x:c>
      <x:c r="E153" s="1" t="str">
        <x:v>Erişilemedi</x:v>
      </x:c>
      <x:c r="F153" s="2" t="str">
        <x:v>Erişilemedi</x:v>
      </x:c>
      <x:c r="G153" t="str">
        <x:v>Gramaj + fiyat</x:v>
      </x:c>
      <x:c r="H153" t="str">
        <x:v>Site haritası ürün sayfası</x:v>
      </x:c>
      <x:c r="I153" s="28" t="str">
        <x:v>https://chocoffeeroastery.com/tr/wilfa</x:v>
      </x:c>
      <x:c r="J153" s="28" t="str">
        <x:v>Ürün kimliği korundu; eksik alanlar erişilemedi olarak işaretlenecek.</x:v>
      </x:c>
    </x:row>
    <x:row r="154">
      <x:c r="A154" t="str">
        <x:v>Cho Coffee Roastery</x:v>
      </x:c>
      <x:c r="B154" t="str">
        <x:v>Ürün kaydı</x:v>
      </x:c>
      <x:c r="C154" t="str">
        <x:v>CHO NOCTURNE ESPRESSO</x:v>
      </x:c>
      <x:c r="D154" t="str">
        <x:v>Menşe belirtilmemiş</x:v>
      </x:c>
      <x:c r="E154" s="1" t="str">
        <x:v>Erişilemedi</x:v>
      </x:c>
      <x:c r="F154" s="2" t="n">
        <x:v>450</x:v>
      </x:c>
      <x:c r="G154" t="str">
        <x:v>Gramaj</x:v>
      </x:c>
      <x:c r="H154" t="str">
        <x:v>Site haritası ürün sayfası</x:v>
      </x:c>
      <x:c r="I154" s="28" t="str">
        <x:v>https://chocoffeeroastery.com/tr/cho-nocture-espresso</x:v>
      </x:c>
      <x:c r="J154" s="28" t="str">
        <x:v>Ürün kimliği korundu; eksik alanlar erişilemedi olarak işaretlenecek.</x:v>
      </x:c>
    </x:row>
    <x:row r="155">
      <x:c r="A155" t="str">
        <x:v>Cho Coffee Roastery</x:v>
      </x:c>
      <x:c r="B155" t="str">
        <x:v>Ürün kaydı</x:v>
      </x:c>
      <x:c r="C155" t="str">
        <x:v>CHO SIGNATURE ESPRESSO</x:v>
      </x:c>
      <x:c r="D155" t="str">
        <x:v>Menşe belirtilmemiş</x:v>
      </x:c>
      <x:c r="E155" s="1" t="str">
        <x:v>Erişilemedi</x:v>
      </x:c>
      <x:c r="F155" s="2" t="n">
        <x:v>400</x:v>
      </x:c>
      <x:c r="G155" t="str">
        <x:v>Gramaj</x:v>
      </x:c>
      <x:c r="H155" t="str">
        <x:v>Site haritası ürün sayfası</x:v>
      </x:c>
      <x:c r="I155" s="28" t="str">
        <x:v>https://chocoffeeroastery.com/tr/cho-signature-espresso</x:v>
      </x:c>
      <x:c r="J155" s="28" t="str">
        <x:v>Ürün kimliği korundu; eksik alanlar erişilemedi olarak işaretlenecek.</x:v>
      </x:c>
    </x:row>
    <x:row r="156">
      <x:c r="A156" t="str">
        <x:v>Cho Coffee Roastery</x:v>
      </x:c>
      <x:c r="B156" t="str">
        <x:v>Ürün kaydı</x:v>
      </x:c>
      <x:c r="C156" t="str">
        <x:v>CHO SINGNATURE GELENEKSEL T&amp;#xDC;RK KAHVES&amp;#x130;</x:v>
      </x:c>
      <x:c r="D156" t="str">
        <x:v>Menşe belirtilmemiş</x:v>
      </x:c>
      <x:c r="E156" s="1" t="str">
        <x:v>Erişilemedi</x:v>
      </x:c>
      <x:c r="F156" s="2" t="n">
        <x:v>300</x:v>
      </x:c>
      <x:c r="G156" t="str">
        <x:v>Gramaj</x:v>
      </x:c>
      <x:c r="H156" t="str">
        <x:v>Site haritası ürün sayfası</x:v>
      </x:c>
      <x:c r="I156" s="28" t="str">
        <x:v>https://chocoffeeroastery.com/tr/cho-signature-geleneksel-turk-kahvesi</x:v>
      </x:c>
      <x:c r="J156" s="28" t="str">
        <x:v>Ürün kimliği korundu; eksik alanlar erişilemedi olarak işaretlenecek.</x:v>
      </x:c>
    </x:row>
    <x:row r="157">
      <x:c r="A157" t="str">
        <x:v>Cho Coffee Roastery</x:v>
      </x:c>
      <x:c r="B157" t="str">
        <x:v>Ürün kaydı</x:v>
      </x:c>
      <x:c r="C157" t="str">
        <x:v>COLOMBIA EDUARDO ARMERO MARTINEZ / LA ARGENTINA</x:v>
      </x:c>
      <x:c r="D157" t="str">
        <x:v>Kolombiya</x:v>
      </x:c>
      <x:c r="E157" s="1" t="str">
        <x:v>Erişilemedi</x:v>
      </x:c>
      <x:c r="F157" s="2" t="n">
        <x:v>350</x:v>
      </x:c>
      <x:c r="G157" t="str">
        <x:v>Gramaj</x:v>
      </x:c>
      <x:c r="H157" t="str">
        <x:v>Site haritası ürün sayfası</x:v>
      </x:c>
      <x:c r="I157" s="28" t="str">
        <x:v>https://chocoffeeroastery.com/tr/colombia-eduardo-armero-martinez-la-argentina</x:v>
      </x:c>
      <x:c r="J157" s="28" t="str">
        <x:v>Ürün kimliği korundu; eksik alanlar erişilemedi olarak işaretlenecek.</x:v>
      </x:c>
    </x:row>
    <x:row r="158">
      <x:c r="A158" t="str">
        <x:v>Cho Coffee Roastery</x:v>
      </x:c>
      <x:c r="B158" t="str">
        <x:v>Ürün kaydı</x:v>
      </x:c>
      <x:c r="C158" t="str">
        <x:v>COLOMBIA NASA WEX</x:v>
      </x:c>
      <x:c r="D158" t="str">
        <x:v>Kolombiya</x:v>
      </x:c>
      <x:c r="E158" s="1" t="str">
        <x:v>Erişilemedi</x:v>
      </x:c>
      <x:c r="F158" s="2" t="n">
        <x:v>350</x:v>
      </x:c>
      <x:c r="G158" t="str">
        <x:v>Gramaj</x:v>
      </x:c>
      <x:c r="H158" t="str">
        <x:v>Site haritası ürün sayfası</x:v>
      </x:c>
      <x:c r="I158" s="28" t="str">
        <x:v>https://chocoffeeroastery.com/tr/colombia-nasa-wex</x:v>
      </x:c>
      <x:c r="J158" s="28" t="str">
        <x:v>Ürün kimliği korundu; eksik alanlar erişilemedi olarak işaretlenecek.</x:v>
      </x:c>
    </x:row>
    <x:row r="159">
      <x:c r="A159" t="str">
        <x:v>Cho Coffee Roastery</x:v>
      </x:c>
      <x:c r="B159" t="str">
        <x:v>Ürün kaydı</x:v>
      </x:c>
      <x:c r="C159" t="str">
        <x:v>COLOMBIA RISARALDA CATIOPE NITRO WASHED</x:v>
      </x:c>
      <x:c r="D159" t="str">
        <x:v>Kolombiya</x:v>
      </x:c>
      <x:c r="E159" s="1" t="str">
        <x:v>Erişilemedi</x:v>
      </x:c>
      <x:c r="F159" s="2" t="n">
        <x:v>450</x:v>
      </x:c>
      <x:c r="G159" t="str">
        <x:v>Gramaj</x:v>
      </x:c>
      <x:c r="H159" t="str">
        <x:v>Site haritası ürün sayfası</x:v>
      </x:c>
      <x:c r="I159" s="28" t="str">
        <x:v>https://chocoffeeroastery.com/tr/colombia-riasaralda-catiope-nitro-washed-by-julio-cesar-madrid</x:v>
      </x:c>
      <x:c r="J159" s="28" t="str">
        <x:v>Ürün kimliği korundu; eksik alanlar erişilemedi olarak işaretlenecek.</x:v>
      </x:c>
    </x:row>
    <x:row r="160">
      <x:c r="A160" t="str">
        <x:v>Cho Coffee Roastery</x:v>
      </x:c>
      <x:c r="B160" t="str">
        <x:v>Ürün kaydı</x:v>
      </x:c>
      <x:c r="C160" t="str">
        <x:v>COSTA RICA EL MANGO</x:v>
      </x:c>
      <x:c r="D160" t="str">
        <x:v>Kosta Rika</x:v>
      </x:c>
      <x:c r="E160" s="1" t="str">
        <x:v>Erişilemedi</x:v>
      </x:c>
      <x:c r="F160" s="2" t="n">
        <x:v>350</x:v>
      </x:c>
      <x:c r="G160" t="str">
        <x:v>Gramaj</x:v>
      </x:c>
      <x:c r="H160" t="str">
        <x:v>Site haritası ürün sayfası</x:v>
      </x:c>
      <x:c r="I160" s="28" t="str">
        <x:v>https://chocoffeeroastery.com/tr/costa-rica-el-mango</x:v>
      </x:c>
      <x:c r="J160" s="28" t="str">
        <x:v>Ürün kimliği korundu; eksik alanlar erişilemedi olarak işaretlenecek.</x:v>
      </x:c>
    </x:row>
    <x:row r="161">
      <x:c r="A161" t="str">
        <x:v>Cho Coffee Roastery</x:v>
      </x:c>
      <x:c r="B161" t="str">
        <x:v>Ürün kaydı</x:v>
      </x:c>
      <x:c r="C161" t="str">
        <x:v>COSTA RICA LAS TORRES / REGULO URENA ISABEL ROJAS</x:v>
      </x:c>
      <x:c r="D161" t="str">
        <x:v>Kosta Rika</x:v>
      </x:c>
      <x:c r="E161" s="1" t="str">
        <x:v>Erişilemedi</x:v>
      </x:c>
      <x:c r="F161" s="2" t="n">
        <x:v>480</x:v>
      </x:c>
      <x:c r="G161" t="str">
        <x:v>Gramaj</x:v>
      </x:c>
      <x:c r="H161" t="str">
        <x:v>Site haritası ürün sayfası</x:v>
      </x:c>
      <x:c r="I161" s="28" t="str">
        <x:v>https://chocoffeeroastery.com/tr/costa-rica-las-torres</x:v>
      </x:c>
      <x:c r="J161" s="28" t="str">
        <x:v>Ürün kimliği korundu; eksik alanlar erişilemedi olarak işaretlenecek.</x:v>
      </x:c>
    </x:row>
    <x:row r="162">
      <x:c r="A162" t="str">
        <x:v>Cho Coffee Roastery</x:v>
      </x:c>
      <x:c r="B162" t="str">
        <x:v>Ürün kaydı</x:v>
      </x:c>
      <x:c r="C162" t="str">
        <x:v>EL SALVADOR CHIQUIHUAT</x:v>
      </x:c>
      <x:c r="D162" t="str">
        <x:v>El Salvador</x:v>
      </x:c>
      <x:c r="E162" s="1" t="str">
        <x:v>Erişilemedi</x:v>
      </x:c>
      <x:c r="F162" s="2" t="n">
        <x:v>200</x:v>
      </x:c>
      <x:c r="G162" t="str">
        <x:v>Gramaj</x:v>
      </x:c>
      <x:c r="H162" t="str">
        <x:v>Site haritası ürün sayfası</x:v>
      </x:c>
      <x:c r="I162" s="28" t="str">
        <x:v>https://chocoffeeroastery.com/tr/el-salvador-chiquihuat-2</x:v>
      </x:c>
      <x:c r="J162" s="28" t="str">
        <x:v>Ürün kimliği korundu; eksik alanlar erişilemedi olarak işaretlenecek.</x:v>
      </x:c>
    </x:row>
    <x:row r="163">
      <x:c r="A163" t="str">
        <x:v>Cho Coffee Roastery</x:v>
      </x:c>
      <x:c r="B163" t="str">
        <x:v>Ürün kaydı</x:v>
      </x:c>
      <x:c r="C163" t="str">
        <x:v>EL SALVADOR FINCA GABRIELLA FAMILIA ALVAREZ</x:v>
      </x:c>
      <x:c r="D163" t="str">
        <x:v>El Salvador</x:v>
      </x:c>
      <x:c r="E163" s="1" t="str">
        <x:v>Erişilemedi</x:v>
      </x:c>
      <x:c r="F163" s="2" t="n">
        <x:v>4</x:v>
      </x:c>
      <x:c r="G163" t="str">
        <x:v>Gramaj</x:v>
      </x:c>
      <x:c r="H163" t="str">
        <x:v>Site haritası ürün sayfası</x:v>
      </x:c>
      <x:c r="I163" s="28" t="str">
        <x:v>https://chocoffeeroastery.com/tr/el-salvador-finca-gabriella-familia-alvarez</x:v>
      </x:c>
      <x:c r="J163" s="28" t="str">
        <x:v>Ürün kimliği korundu; eksik alanlar erişilemedi olarak işaretlenecek.</x:v>
      </x:c>
    </x:row>
    <x:row r="164">
      <x:c r="A164" t="str">
        <x:v>Cho Coffee Roastery</x:v>
      </x:c>
      <x:c r="B164" t="str">
        <x:v>Ürün kaydı</x:v>
      </x:c>
      <x:c r="C164" t="str">
        <x:v>EL SALVADOR LA CARRERA</x:v>
      </x:c>
      <x:c r="D164" t="str">
        <x:v>El Salvador</x:v>
      </x:c>
      <x:c r="E164" s="1" t="str">
        <x:v>Erişilemedi</x:v>
      </x:c>
      <x:c r="F164" s="2" t="n">
        <x:v>120</x:v>
      </x:c>
      <x:c r="G164" t="str">
        <x:v>Gramaj</x:v>
      </x:c>
      <x:c r="H164" t="str">
        <x:v>Site haritası ürün sayfası</x:v>
      </x:c>
      <x:c r="I164" s="28" t="str">
        <x:v>https://chocoffeeroastery.com/tr/el-salvador-chiquihuat</x:v>
      </x:c>
      <x:c r="J164" s="28" t="str">
        <x:v>Ürün kimliği korundu; eksik alanlar erişilemedi olarak işaretlenecek.</x:v>
      </x:c>
    </x:row>
    <x:row r="165">
      <x:c r="A165" t="str">
        <x:v>Cho Coffee Roastery</x:v>
      </x:c>
      <x:c r="B165" t="str">
        <x:v>Ürün kaydı</x:v>
      </x:c>
      <x:c r="C165" t="str">
        <x:v>ETHIOPIA LALESA RED HONEY</x:v>
      </x:c>
      <x:c r="D165" t="str">
        <x:v>Etiyopya</x:v>
      </x:c>
      <x:c r="E165" s="1" t="str">
        <x:v>Erişilemedi</x:v>
      </x:c>
      <x:c r="F165" s="2" t="n">
        <x:v>500</x:v>
      </x:c>
      <x:c r="G165" t="str">
        <x:v>Gramaj</x:v>
      </x:c>
      <x:c r="H165" t="str">
        <x:v>Site haritası ürün sayfası</x:v>
      </x:c>
      <x:c r="I165" s="28" t="str">
        <x:v>https://chocoffeeroastery.com/tr/lalesa-red-honey</x:v>
      </x:c>
      <x:c r="J165" s="28" t="str">
        <x:v>Ürün kimliği korundu; eksik alanlar erişilemedi olarak işaretlenecek.</x:v>
      </x:c>
    </x:row>
    <x:row r="166">
      <x:c r="A166" t="str">
        <x:v>Cho Coffee Roastery</x:v>
      </x:c>
      <x:c r="B166" t="str">
        <x:v>Ürün kaydı</x:v>
      </x:c>
      <x:c r="C166" t="str">
        <x:v>ETHIOPIA SIDAMA BENSA LOGITA AVOCADO</x:v>
      </x:c>
      <x:c r="D166" t="str">
        <x:v>Etiyopya</x:v>
      </x:c>
      <x:c r="E166" s="1" t="str">
        <x:v>Erişilemedi</x:v>
      </x:c>
      <x:c r="F166" s="2" t="n">
        <x:v>600</x:v>
      </x:c>
      <x:c r="G166" t="str">
        <x:v>Gramaj</x:v>
      </x:c>
      <x:c r="H166" t="str">
        <x:v>Site haritası ürün sayfası</x:v>
      </x:c>
      <x:c r="I166" s="28" t="str">
        <x:v>https://chocoffeeroastery.com/tr/ethiopia-sidama-bensa-logita-avocado</x:v>
      </x:c>
      <x:c r="J166" s="28" t="str">
        <x:v>Ürün kimliği korundu; eksik alanlar erişilemedi olarak işaretlenecek.</x:v>
      </x:c>
    </x:row>
    <x:row r="167">
      <x:c r="A167" t="str">
        <x:v>Cho Coffee Roastery</x:v>
      </x:c>
      <x:c r="B167" t="str">
        <x:v>Ürün kaydı</x:v>
      </x:c>
      <x:c r="C167" t="str">
        <x:v>JAIRO ARCILA SANTA MONICA / WINE YEAST PASSION FRUIT COLOMBIA</x:v>
      </x:c>
      <x:c r="D167" t="str">
        <x:v>Kolombiya</x:v>
      </x:c>
      <x:c r="E167" s="1" t="str">
        <x:v>Erişilemedi</x:v>
      </x:c>
      <x:c r="F167" s="2" t="n">
        <x:v>500</x:v>
      </x:c>
      <x:c r="G167" t="str">
        <x:v>Gramaj</x:v>
      </x:c>
      <x:c r="H167" t="str">
        <x:v>Site haritası ürün sayfası</x:v>
      </x:c>
      <x:c r="I167" s="28" t="str">
        <x:v>https://chocoffeeroastery.com/tr/jairo-arcila-santa-monica-wine-yeast-red-fruits-colombia</x:v>
      </x:c>
      <x:c r="J167" s="28" t="str">
        <x:v>Ürün kimliği korundu; eksik alanlar erişilemedi olarak işaretlenecek.</x:v>
      </x:c>
    </x:row>
    <x:row r="168">
      <x:c r="A168" t="str">
        <x:v>Cho Coffee Roastery</x:v>
      </x:c>
      <x:c r="B168" t="str">
        <x:v>Ürün kaydı</x:v>
      </x:c>
      <x:c r="C168" t="str">
        <x:v>SELVA CENTRAL PERU ALPACA</x:v>
      </x:c>
      <x:c r="D168" t="str">
        <x:v>Peru</x:v>
      </x:c>
      <x:c r="E168" s="1" t="str">
        <x:v>Erişilemedi</x:v>
      </x:c>
      <x:c r="F168" s="2" t="n">
        <x:v>300</x:v>
      </x:c>
      <x:c r="G168" t="str">
        <x:v>Gramaj</x:v>
      </x:c>
      <x:c r="H168" t="str">
        <x:v>Site haritası ürün sayfası</x:v>
      </x:c>
      <x:c r="I168" s="28" t="str">
        <x:v>https://chocoffeeroastery.com/tr/selva-central-peru-alpaca</x:v>
      </x:c>
      <x:c r="J168" s="28" t="str">
        <x:v>Ürün kimliği korundu; eksik alanlar erişilemedi olarak işaretlenecek.</x:v>
      </x:c>
    </x:row>
    <x:row r="169">
      <x:c r="A169" t="str">
        <x:v>Clean Cup Coffee</x:v>
      </x:c>
      <x:c r="B169" t="str">
        <x:v>Katalog takip kaydı</x:v>
      </x:c>
      <x:c r="C169" t="str">
        <x:v>Ürün kataloğu — ayrıntılı ürün verisine erişilemedi</x:v>
      </x:c>
      <x:c r="D169" t="str">
        <x:v>Erişilemedi</x:v>
      </x:c>
      <x:c r="E169" s="1" t="str">
        <x:v>Erişilemedi</x:v>
      </x:c>
      <x:c r="F169" s="2" t="str">
        <x:v>Erişilemedi</x:v>
      </x:c>
      <x:c r="G169" t="str">
        <x:v>Gramaj + fiyat</x:v>
      </x:c>
      <x:c r="H169" t="str">
        <x:v>Instagram veya mevcut kaynak</x:v>
      </x:c>
      <x:c r="I169" s="28" t="str">
        <x:v>Erişilemedi</x:v>
      </x:c>
      <x:c r="J169" s="28" t="str">
        <x:v>Ürün adı, gramaj ve fiyat birlikte çıkarılamadı. Bağlantı manuel inceleme için korundu.</x:v>
      </x:c>
    </x:row>
    <x:row r="170">
      <x:c r="A170" t="str">
        <x:v>Coach Coffee Company</x:v>
      </x:c>
      <x:c r="B170" t="str">
        <x:v>Ürün kaydı</x:v>
      </x:c>
      <x:c r="C170" t="str">
        <x:v>3'lü Forte | Coach Nespresso® Uyumlu Kahve Kapsülü Paketi</x:v>
      </x:c>
      <x:c r="D170" t="str">
        <x:v>Menşe belirtilmemiş</x:v>
      </x:c>
      <x:c r="E170" s="1" t="str">
        <x:v>Erişilemedi</x:v>
      </x:c>
      <x:c r="F170" s="2" t="n">
        <x:v>949.99</x:v>
      </x:c>
      <x:c r="G170" t="str">
        <x:v>Gramaj</x:v>
      </x:c>
      <x:c r="H170" t="str">
        <x:v>Shopify ürün akışı</x:v>
      </x:c>
      <x:c r="I170" s="28" t="str">
        <x:v>https://coachcoffeeco.com/products/3lu-forte-coach-nespresso®-uyumlu-kahve-kapsulu-paketi</x:v>
      </x:c>
      <x:c r="J170" s="28" t="str">
        <x:v>Öğütüm seçenekleri tekilleştirildi.</x:v>
      </x:c>
    </x:row>
    <x:row r="171">
      <x:c r="A171" t="str">
        <x:v>Coach Coffee Company</x:v>
      </x:c>
      <x:c r="B171" t="str">
        <x:v>Ürün kaydı</x:v>
      </x:c>
      <x:c r="C171" t="str">
        <x:v>3'lü Kapsül Paketi | Coach Nespresso® Uyumlu Deneme Paketi</x:v>
      </x:c>
      <x:c r="D171" t="str">
        <x:v>Menşe belirtilmemiş</x:v>
      </x:c>
      <x:c r="E171" s="1" t="str">
        <x:v>Erişilemedi</x:v>
      </x:c>
      <x:c r="F171" s="2" t="n">
        <x:v>949.99</x:v>
      </x:c>
      <x:c r="G171" t="str">
        <x:v>Gramaj</x:v>
      </x:c>
      <x:c r="H171" t="str">
        <x:v>Shopify ürün akışı</x:v>
      </x:c>
      <x:c r="I171" s="28" t="str">
        <x:v>https://coachcoffeeco.com/products/3lu-kapsul-paketi-coach-nespresso®-uyumlu-deneme-paketi</x:v>
      </x:c>
      <x:c r="J171" s="28" t="str">
        <x:v>Öğütüm seçenekleri tekilleştirildi.</x:v>
      </x:c>
    </x:row>
    <x:row r="172">
      <x:c r="A172" t="str">
        <x:v>Coach Coffee Company</x:v>
      </x:c>
      <x:c r="B172" t="str">
        <x:v>Ürün kaydı</x:v>
      </x:c>
      <x:c r="C172" t="str">
        <x:v>3'lü Lumo | Coach Nespresso® Uyumlu Kahve Kapsülü Paketi</x:v>
      </x:c>
      <x:c r="D172" t="str">
        <x:v>Harman – menşe belirtilmemiş</x:v>
      </x:c>
      <x:c r="E172" s="1" t="str">
        <x:v>Erişilemedi</x:v>
      </x:c>
      <x:c r="F172" s="2" t="n">
        <x:v>949.99</x:v>
      </x:c>
      <x:c r="G172" t="str">
        <x:v>Gramaj</x:v>
      </x:c>
      <x:c r="H172" t="str">
        <x:v>Shopify ürün akışı</x:v>
      </x:c>
      <x:c r="I172" s="28" t="str">
        <x:v>https://coachcoffeeco.com/products/3lu-lumo-coach-nespresso®-uyumlu-kahve-kapsulu-paketi</x:v>
      </x:c>
      <x:c r="J172" s="28" t="str">
        <x:v>Öğütüm seçenekleri tekilleştirildi.</x:v>
      </x:c>
    </x:row>
    <x:row r="173">
      <x:c r="A173" t="str">
        <x:v>Coach Coffee Company</x:v>
      </x:c>
      <x:c r="B173" t="str">
        <x:v>Ürün kaydı</x:v>
      </x:c>
      <x:c r="C173" t="str">
        <x:v>3'lü Vero | Coach Nespresso® Uyumlu Kahve Kapsülü Paketi</x:v>
      </x:c>
      <x:c r="D173" t="str">
        <x:v>Menşe belirtilmemiş</x:v>
      </x:c>
      <x:c r="E173" s="1" t="str">
        <x:v>Erişilemedi</x:v>
      </x:c>
      <x:c r="F173" s="2" t="n">
        <x:v>949.99</x:v>
      </x:c>
      <x:c r="G173" t="str">
        <x:v>Gramaj</x:v>
      </x:c>
      <x:c r="H173" t="str">
        <x:v>Shopify ürün akışı</x:v>
      </x:c>
      <x:c r="I173" s="28" t="str">
        <x:v>https://coachcoffeeco.com/products/3lu-vero-coach-nespresso®-uyumlu-kahve-kapsulu-paketi</x:v>
      </x:c>
      <x:c r="J173" s="28" t="str">
        <x:v>Öğütüm seçenekleri tekilleştirildi.</x:v>
      </x:c>
    </x:row>
    <x:row r="174">
      <x:c r="A174" t="str">
        <x:v>Coach Coffee Company</x:v>
      </x:c>
      <x:c r="B174" t="str">
        <x:v>Ürün kaydı</x:v>
      </x:c>
      <x:c r="C174" t="str">
        <x:v>Coach Coffee Company Afrika Temalı Mutfak Havlusu</x:v>
      </x:c>
      <x:c r="D174" t="str">
        <x:v>Menşe belirtilmemiş</x:v>
      </x:c>
      <x:c r="E174" s="1" t="str">
        <x:v>Erişilemedi</x:v>
      </x:c>
      <x:c r="F174" s="2" t="n">
        <x:v>300</x:v>
      </x:c>
      <x:c r="G174" t="str">
        <x:v>Gramaj</x:v>
      </x:c>
      <x:c r="H174" t="str">
        <x:v>Shopify ürün akışı</x:v>
      </x:c>
      <x:c r="I174" s="28" t="str">
        <x:v>https://coachcoffeeco.com/products/afrika-temali-mutfak-el-havlusu</x:v>
      </x:c>
      <x:c r="J174" s="28" t="str">
        <x:v>Öğütüm seçenekleri tekilleştirildi.</x:v>
      </x:c>
    </x:row>
    <x:row r="175">
      <x:c r="A175" t="str">
        <x:v>Coach Coffee Company</x:v>
      </x:c>
      <x:c r="B175" t="str">
        <x:v>Ürün kaydı</x:v>
      </x:c>
      <x:c r="C175" t="str">
        <x:v>Coach Coffee Company Afrika Temalı Spor Havlusu</x:v>
      </x:c>
      <x:c r="D175" t="str">
        <x:v>Menşe belirtilmemiş</x:v>
      </x:c>
      <x:c r="E175" s="1" t="str">
        <x:v>Erişilemedi</x:v>
      </x:c>
      <x:c r="F175" s="2" t="n">
        <x:v>899</x:v>
      </x:c>
      <x:c r="G175" t="str">
        <x:v>Gramaj</x:v>
      </x:c>
      <x:c r="H175" t="str">
        <x:v>Shopify ürün akışı</x:v>
      </x:c>
      <x:c r="I175" s="28" t="str">
        <x:v>https://coachcoffeeco.com/products/afrika-temali-plaj-havlusu</x:v>
      </x:c>
      <x:c r="J175" s="28" t="str">
        <x:v>Öğütüm seçenekleri tekilleştirildi.</x:v>
      </x:c>
    </x:row>
    <x:row r="176">
      <x:c r="A176" t="str">
        <x:v>Coach Coffee Company</x:v>
      </x:c>
      <x:c r="B176" t="str">
        <x:v>Ürün kaydı</x:v>
      </x:c>
      <x:c r="C176" t="str">
        <x:v>Coach Coffee Company Güney Amerika Temalı Mutfak Havlusu</x:v>
      </x:c>
      <x:c r="D176" t="str">
        <x:v>Menşe belirtilmemiş</x:v>
      </x:c>
      <x:c r="E176" s="1" t="str">
        <x:v>Erişilemedi</x:v>
      </x:c>
      <x:c r="F176" s="2" t="n">
        <x:v>300</x:v>
      </x:c>
      <x:c r="G176" t="str">
        <x:v>Gramaj</x:v>
      </x:c>
      <x:c r="H176" t="str">
        <x:v>Shopify ürün akışı</x:v>
      </x:c>
      <x:c r="I176" s="28" t="str">
        <x:v>https://coachcoffeeco.com/products/guney-amerika-temali-mutfak-el-havlusu</x:v>
      </x:c>
      <x:c r="J176" s="28" t="str">
        <x:v>Öğütüm seçenekleri tekilleştirildi.</x:v>
      </x:c>
    </x:row>
    <x:row r="177">
      <x:c r="A177" t="str">
        <x:v>Coach Coffee Company</x:v>
      </x:c>
      <x:c r="B177" t="str">
        <x:v>Ürün kaydı</x:v>
      </x:c>
      <x:c r="C177" t="str">
        <x:v>Coach Coffee Company Türkiye Temalı Mutfak Havlusu</x:v>
      </x:c>
      <x:c r="D177" t="str">
        <x:v>Menşe belirtilmemiş</x:v>
      </x:c>
      <x:c r="E177" s="1" t="str">
        <x:v>Erişilemedi</x:v>
      </x:c>
      <x:c r="F177" s="2" t="n">
        <x:v>300</x:v>
      </x:c>
      <x:c r="G177" t="str">
        <x:v>Gramaj</x:v>
      </x:c>
      <x:c r="H177" t="str">
        <x:v>Shopify ürün akışı</x:v>
      </x:c>
      <x:c r="I177" s="28" t="str">
        <x:v>https://coachcoffeeco.com/products/turkiye-temali-mutfak-el-havlusu</x:v>
      </x:c>
      <x:c r="J177" s="28" t="str">
        <x:v>Öğütüm seçenekleri tekilleştirildi.</x:v>
      </x:c>
    </x:row>
    <x:row r="178">
      <x:c r="A178" t="str">
        <x:v>Coach Coffee Company</x:v>
      </x:c>
      <x:c r="B178" t="str">
        <x:v>Ürün kaydı</x:v>
      </x:c>
      <x:c r="C178" t="str">
        <x:v>Coach Coffee Company Türkiye Temalı Spor Havlusu</x:v>
      </x:c>
      <x:c r="D178" t="str">
        <x:v>Menşe belirtilmemiş</x:v>
      </x:c>
      <x:c r="E178" s="1" t="str">
        <x:v>Erişilemedi</x:v>
      </x:c>
      <x:c r="F178" s="2" t="n">
        <x:v>899</x:v>
      </x:c>
      <x:c r="G178" t="str">
        <x:v>Gramaj</x:v>
      </x:c>
      <x:c r="H178" t="str">
        <x:v>Shopify ürün akışı</x:v>
      </x:c>
      <x:c r="I178" s="28" t="str">
        <x:v>https://coachcoffeeco.com/products/turkiye-temali-plaj-havlusu</x:v>
      </x:c>
      <x:c r="J178" s="28" t="str">
        <x:v>Öğütüm seçenekleri tekilleştirildi.</x:v>
      </x:c>
    </x:row>
    <x:row r="179">
      <x:c r="A179" t="str">
        <x:v>Coach Coffee Company</x:v>
      </x:c>
      <x:c r="B179" t="str">
        <x:v>Ürün kaydı</x:v>
      </x:c>
      <x:c r="C179" t="str">
        <x:v>Coach Coffee Deneyim Seti – 3 Kahve Keşif Seti</x:v>
      </x:c>
      <x:c r="D179" t="str">
        <x:v>Etiyopya | Guatemala</x:v>
      </x:c>
      <x:c r="E179" s="1" t="str">
        <x:v>Erişilemedi</x:v>
      </x:c>
      <x:c r="F179" s="2" t="n">
        <x:v>510</x:v>
      </x:c>
      <x:c r="G179" t="str">
        <x:v>Gramaj</x:v>
      </x:c>
      <x:c r="H179" t="str">
        <x:v>Shopify ürün akışı</x:v>
      </x:c>
      <x:c r="I179" s="28" t="str">
        <x:v>https://coachcoffeeco.com/products/kahve-deneyim-seti</x:v>
      </x:c>
      <x:c r="J179" s="28" t="str">
        <x:v>Öğütüm seçenekleri tekilleştirildi.</x:v>
      </x:c>
    </x:row>
    <x:row r="180">
      <x:c r="A180" t="str">
        <x:v>Coach Coffee Company</x:v>
      </x:c>
      <x:c r="B180" t="str">
        <x:v>Ürün kaydı</x:v>
      </x:c>
      <x:c r="C180" t="str">
        <x:v>Coach Çocuk Boyama Çorabı</x:v>
      </x:c>
      <x:c r="D180" t="str">
        <x:v>Menşe belirtilmemiş</x:v>
      </x:c>
      <x:c r="E180" s="1" t="str">
        <x:v>Erişilemedi</x:v>
      </x:c>
      <x:c r="F180" s="2" t="n">
        <x:v>250</x:v>
      </x:c>
      <x:c r="G180" t="str">
        <x:v>Gramaj</x:v>
      </x:c>
      <x:c r="H180" t="str">
        <x:v>Shopify ürün akışı</x:v>
      </x:c>
      <x:c r="I180" s="28" t="str">
        <x:v>https://coachcoffeeco.com/products/cocuk-boyama-corabi</x:v>
      </x:c>
      <x:c r="J180" s="28" t="str">
        <x:v>Öğütüm seçenekleri tekilleştirildi.</x:v>
      </x:c>
    </x:row>
    <x:row r="181">
      <x:c r="A181" t="str">
        <x:v>Coach Coffee Company</x:v>
      </x:c>
      <x:c r="B181" t="str">
        <x:v>Ürün kaydı</x:v>
      </x:c>
      <x:c r="C181" t="str">
        <x:v>Coach Klasik Seramik Kupa</x:v>
      </x:c>
      <x:c r="D181" t="str">
        <x:v>Menşe belirtilmemiş</x:v>
      </x:c>
      <x:c r="E181" s="1" t="str">
        <x:v>Erişilemedi</x:v>
      </x:c>
      <x:c r="F181" s="2" t="str">
        <x:v>Erişilemedi</x:v>
      </x:c>
      <x:c r="G181" t="str">
        <x:v>Gramaj + fiyat</x:v>
      </x:c>
      <x:c r="H181" t="str">
        <x:v>Shopify ürün akışı</x:v>
      </x:c>
      <x:c r="I181" s="28" t="str">
        <x:v>https://coachcoffeeco.com/products/coach-klasik-seramik-kupa</x:v>
      </x:c>
      <x:c r="J181" s="28" t="str">
        <x:v>Satış varyantı erişilemedi.</x:v>
      </x:c>
    </x:row>
    <x:row r="182">
      <x:c r="A182" t="str">
        <x:v>Coach Coffee Company</x:v>
      </x:c>
      <x:c r="B182" t="str">
        <x:v>Ürün kaydı</x:v>
      </x:c>
      <x:c r="C182" t="str">
        <x:v>Coach Yeşil Seramik Kupa</x:v>
      </x:c>
      <x:c r="D182" t="str">
        <x:v>Menşe belirtilmemiş</x:v>
      </x:c>
      <x:c r="E182" s="1" t="str">
        <x:v>Erişilemedi</x:v>
      </x:c>
      <x:c r="F182" s="2" t="str">
        <x:v>Erişilemedi</x:v>
      </x:c>
      <x:c r="G182" t="str">
        <x:v>Gramaj + fiyat</x:v>
      </x:c>
      <x:c r="H182" t="str">
        <x:v>Shopify ürün akışı</x:v>
      </x:c>
      <x:c r="I182" s="28" t="str">
        <x:v>https://coachcoffeeco.com/products/coach-yesil-seramik-kupa</x:v>
      </x:c>
      <x:c r="J182" s="28" t="str">
        <x:v>Satış varyantı erişilemedi.</x:v>
      </x:c>
    </x:row>
    <x:row r="183">
      <x:c r="A183" t="str">
        <x:v>Coach Coffee Company</x:v>
      </x:c>
      <x:c r="B183" t="str">
        <x:v>Ürün kaydı</x:v>
      </x:c>
      <x:c r="C183" t="str">
        <x:v>Coach Yetişkin Boyama Çorap</x:v>
      </x:c>
      <x:c r="D183" t="str">
        <x:v>Menşe belirtilmemiş</x:v>
      </x:c>
      <x:c r="E183" s="1" t="str">
        <x:v>Erişilemedi</x:v>
      </x:c>
      <x:c r="F183" s="2" t="n">
        <x:v>300</x:v>
      </x:c>
      <x:c r="G183" t="str">
        <x:v>Gramaj</x:v>
      </x:c>
      <x:c r="H183" t="str">
        <x:v>Shopify ürün akışı</x:v>
      </x:c>
      <x:c r="I183" s="28" t="str">
        <x:v>https://coachcoffeeco.com/products/yetiskin-boyama-corabi</x:v>
      </x:c>
      <x:c r="J183" s="28" t="str">
        <x:v>Öğütüm seçenekleri tekilleştirildi.</x:v>
      </x:c>
    </x:row>
    <x:row r="184">
      <x:c r="A184" t="str">
        <x:v>Coach Coffee Company</x:v>
      </x:c>
      <x:c r="B184" t="str">
        <x:v>Ürün kaydı</x:v>
      </x:c>
      <x:c r="C184" t="str">
        <x:v>Forte | Coach Nespresso® Uyumlu Kahve Kapsülü</x:v>
      </x:c>
      <x:c r="D184" t="str">
        <x:v>Menşe belirtilmemiş</x:v>
      </x:c>
      <x:c r="E184" s="1" t="str">
        <x:v>Erişilemedi</x:v>
      </x:c>
      <x:c r="F184" s="2" t="n">
        <x:v>359.99</x:v>
      </x:c>
      <x:c r="G184" t="str">
        <x:v>Gramaj</x:v>
      </x:c>
      <x:c r="H184" t="str">
        <x:v>Shopify ürün akışı</x:v>
      </x:c>
      <x:c r="I184" s="28" t="str">
        <x:v>https://coachcoffeeco.com/products/forte-coach-nespresso®-uyumlu-kahve-kapsulu</x:v>
      </x:c>
      <x:c r="J184" s="28" t="str">
        <x:v>Öğütüm seçenekleri tekilleştirildi.</x:v>
      </x:c>
    </x:row>
    <x:row r="185">
      <x:c r="A185" t="str">
        <x:v>Coach Coffee Company</x:v>
      </x:c>
      <x:c r="B185" t="str">
        <x:v>Ürün kaydı</x:v>
      </x:c>
      <x:c r="C185" t="str">
        <x:v>Güney Amerika Temalı A5 Defter (3'lü Set)</x:v>
      </x:c>
      <x:c r="D185" t="str">
        <x:v>Menşe belirtilmemiş</x:v>
      </x:c>
      <x:c r="E185" s="1" t="str">
        <x:v>Erişilemedi</x:v>
      </x:c>
      <x:c r="F185" s="2" t="n">
        <x:v>120</x:v>
      </x:c>
      <x:c r="G185" t="str">
        <x:v>Gramaj</x:v>
      </x:c>
      <x:c r="H185" t="str">
        <x:v>Shopify ürün akışı</x:v>
      </x:c>
      <x:c r="I185" s="28" t="str">
        <x:v>https://coachcoffeeco.com/products/guney-amerika-temali-a5-defter-3lu-set</x:v>
      </x:c>
      <x:c r="J185" s="28" t="str">
        <x:v>Öğütüm seçenekleri tekilleştirildi.</x:v>
      </x:c>
    </x:row>
    <x:row r="186">
      <x:c r="A186" t="str">
        <x:v>Coach Coffee Company</x:v>
      </x:c>
      <x:c r="B186" t="str">
        <x:v>Ürün kaydı</x:v>
      </x:c>
      <x:c r="C186" t="str">
        <x:v>İskambil Oyun Kartları | Yeşil Seri 💚</x:v>
      </x:c>
      <x:c r="D186" t="str">
        <x:v>Menşe belirtilmemiş</x:v>
      </x:c>
      <x:c r="E186" s="1" t="str">
        <x:v>Erişilemedi</x:v>
      </x:c>
      <x:c r="F186" s="2" t="n">
        <x:v>199</x:v>
      </x:c>
      <x:c r="G186" t="str">
        <x:v>Gramaj</x:v>
      </x:c>
      <x:c r="H186" t="str">
        <x:v>Shopify ürün akışı</x:v>
      </x:c>
      <x:c r="I186" s="28" t="str">
        <x:v>https://coachcoffeeco.com/products/coach-i̇skambil-kartlari-yesil-seri-💚</x:v>
      </x:c>
      <x:c r="J186" s="28" t="str">
        <x:v>Öğütüm seçenekleri tekilleştirildi.</x:v>
      </x:c>
    </x:row>
    <x:row r="187">
      <x:c r="A187" t="str">
        <x:v>Coach Coffee Company</x:v>
      </x:c>
      <x:c r="B187" t="str">
        <x:v>Ürün kaydı</x:v>
      </x:c>
      <x:c r="C187" t="str">
        <x:v>Kahve Enerjisi Temalı A5 Defter (3'lü Set)</x:v>
      </x:c>
      <x:c r="D187" t="str">
        <x:v>Menşe belirtilmemiş</x:v>
      </x:c>
      <x:c r="E187" s="1" t="str">
        <x:v>Erişilemedi</x:v>
      </x:c>
      <x:c r="F187" s="2" t="n">
        <x:v>120</x:v>
      </x:c>
      <x:c r="G187" t="str">
        <x:v>Gramaj</x:v>
      </x:c>
      <x:c r="H187" t="str">
        <x:v>Shopify ürün akışı</x:v>
      </x:c>
      <x:c r="I187" s="28" t="str">
        <x:v>https://coachcoffeeco.com/products/kahve-enerjisi-temali-a5-defter-3lu-set</x:v>
      </x:c>
      <x:c r="J187" s="28" t="str">
        <x:v>Öğütüm seçenekleri tekilleştirildi.</x:v>
      </x:c>
    </x:row>
    <x:row r="188">
      <x:c r="A188" t="str">
        <x:v>Coach Coffee Company</x:v>
      </x:c>
      <x:c r="B188" t="str">
        <x:v>Ürün kaydı</x:v>
      </x:c>
      <x:c r="C188" t="str">
        <x:v>Lumo | Coach Nespresso® Uyumlu Kahve Kapsülü</x:v>
      </x:c>
      <x:c r="D188" t="str">
        <x:v>Harman – menşe belirtilmemiş</x:v>
      </x:c>
      <x:c r="E188" s="1" t="str">
        <x:v>Erişilemedi</x:v>
      </x:c>
      <x:c r="F188" s="2" t="n">
        <x:v>359.99</x:v>
      </x:c>
      <x:c r="G188" t="str">
        <x:v>Gramaj</x:v>
      </x:c>
      <x:c r="H188" t="str">
        <x:v>Shopify ürün akışı</x:v>
      </x:c>
      <x:c r="I188" s="28" t="str">
        <x:v>https://coachcoffeeco.com/products/lumo-coach-nespresso®-uyumlu-kahve-kapsulu</x:v>
      </x:c>
      <x:c r="J188" s="28" t="str">
        <x:v>Öğütüm seçenekleri tekilleştirildi.</x:v>
      </x:c>
    </x:row>
    <x:row r="189">
      <x:c r="A189" t="str">
        <x:v>Coach Coffee Company</x:v>
      </x:c>
      <x:c r="B189" t="str">
        <x:v>Ürün kaydı</x:v>
      </x:c>
      <x:c r="C189" t="str">
        <x:v>Nordic Approach La Claudina - Colombia | Limited Edition</x:v>
      </x:c>
      <x:c r="D189" t="str">
        <x:v>Kolombiya</x:v>
      </x:c>
      <x:c r="E189" s="1" t="str">
        <x:v>Erişilemedi</x:v>
      </x:c>
      <x:c r="F189" s="2" t="str">
        <x:v>Erişilemedi</x:v>
      </x:c>
      <x:c r="G189" t="str">
        <x:v>Gramaj + fiyat</x:v>
      </x:c>
      <x:c r="H189" t="str">
        <x:v>Shopify ürün akışı</x:v>
      </x:c>
      <x:c r="I189" s="28" t="str">
        <x:v>https://coachcoffeeco.com/products/nordic-approach-la-claudina-colombia</x:v>
      </x:c>
      <x:c r="J189" s="28" t="str">
        <x:v>Satış varyantı erişilemedi.</x:v>
      </x:c>
    </x:row>
    <x:row r="190">
      <x:c r="A190" t="str">
        <x:v>Coach Coffee Company</x:v>
      </x:c>
      <x:c r="B190" t="str">
        <x:v>Ürün kaydı</x:v>
      </x:c>
      <x:c r="C190" t="str">
        <x:v>Nordic Approach La Ilusion - El Salvador - Limited Edition</x:v>
      </x:c>
      <x:c r="D190" t="str">
        <x:v>El Salvador</x:v>
      </x:c>
      <x:c r="E190" s="1" t="str">
        <x:v>Erişilemedi</x:v>
      </x:c>
      <x:c r="F190" s="2" t="str">
        <x:v>Erişilemedi</x:v>
      </x:c>
      <x:c r="G190" t="str">
        <x:v>Gramaj + fiyat</x:v>
      </x:c>
      <x:c r="H190" t="str">
        <x:v>Shopify ürün akışı</x:v>
      </x:c>
      <x:c r="I190" s="28" t="str">
        <x:v>https://coachcoffeeco.com/products/nordic-approach-la-ilusion-el-salvador</x:v>
      </x:c>
      <x:c r="J190" s="28" t="str">
        <x:v>Satış varyantı erişilemedi.</x:v>
      </x:c>
    </x:row>
    <x:row r="191">
      <x:c r="A191" t="str">
        <x:v>Coach Coffee Company</x:v>
      </x:c>
      <x:c r="B191" t="str">
        <x:v>Ürün kaydı</x:v>
      </x:c>
      <x:c r="C191" t="str">
        <x:v>Özel Hediye Kutusu</x:v>
      </x:c>
      <x:c r="D191" t="str">
        <x:v>Menşe belirtilmemiş</x:v>
      </x:c>
      <x:c r="E191" s="1" t="str">
        <x:v>Erişilemedi</x:v>
      </x:c>
      <x:c r="F191" s="2" t="n">
        <x:v>79.9</x:v>
      </x:c>
      <x:c r="G191" t="str">
        <x:v>Gramaj</x:v>
      </x:c>
      <x:c r="H191" t="str">
        <x:v>Shopify ürün akışı</x:v>
      </x:c>
      <x:c r="I191" s="28" t="str">
        <x:v>https://coachcoffeeco.com/products/ozel-hediye-kutusu</x:v>
      </x:c>
      <x:c r="J191" s="28" t="str">
        <x:v>Öğütüm seçenekleri tekilleştirildi.</x:v>
      </x:c>
    </x:row>
    <x:row r="192">
      <x:c r="A192" t="str">
        <x:v>Coach Coffee Company</x:v>
      </x:c>
      <x:c r="B192" t="str">
        <x:v>Ürün kaydı</x:v>
      </x:c>
      <x:c r="C192" t="str">
        <x:v>Türkiye Temalı A5 Defter (3'lü Set)</x:v>
      </x:c>
      <x:c r="D192" t="str">
        <x:v>Menşe belirtilmemiş</x:v>
      </x:c>
      <x:c r="E192" s="1" t="str">
        <x:v>Erişilemedi</x:v>
      </x:c>
      <x:c r="F192" s="2" t="n">
        <x:v>120</x:v>
      </x:c>
      <x:c r="G192" t="str">
        <x:v>Gramaj</x:v>
      </x:c>
      <x:c r="H192" t="str">
        <x:v>Shopify ürün akışı</x:v>
      </x:c>
      <x:c r="I192" s="28" t="str">
        <x:v>https://coachcoffeeco.com/products/turkiye-temali-a5-defter-3lu-set</x:v>
      </x:c>
      <x:c r="J192" s="28" t="str">
        <x:v>Öğütüm seçenekleri tekilleştirildi.</x:v>
      </x:c>
    </x:row>
    <x:row r="193">
      <x:c r="A193" t="str">
        <x:v>Coach Coffee Company</x:v>
      </x:c>
      <x:c r="B193" t="str">
        <x:v>Ürün kaydı</x:v>
      </x:c>
      <x:c r="C193" t="str">
        <x:v>Vero | Coach Nespresso® Uyumlu Kahve Kapsülü</x:v>
      </x:c>
      <x:c r="D193" t="str">
        <x:v>Menşe belirtilmemiş</x:v>
      </x:c>
      <x:c r="E193" s="1" t="str">
        <x:v>Erişilemedi</x:v>
      </x:c>
      <x:c r="F193" s="2" t="n">
        <x:v>359.99</x:v>
      </x:c>
      <x:c r="G193" t="str">
        <x:v>Gramaj</x:v>
      </x:c>
      <x:c r="H193" t="str">
        <x:v>Shopify ürün akışı</x:v>
      </x:c>
      <x:c r="I193" s="28" t="str">
        <x:v>https://coachcoffeeco.com/products/vero-coach-nespresso®-uyumlu-kahve-kapsulu</x:v>
      </x:c>
      <x:c r="J193" s="28" t="str">
        <x:v>Öğütüm seçenekleri tekilleştirildi.</x:v>
      </x:c>
    </x:row>
    <x:row r="194">
      <x:c r="A194" t="str">
        <x:v>Coach Coffee Company</x:v>
      </x:c>
      <x:c r="B194" t="str">
        <x:v>Ürün kaydı</x:v>
      </x:c>
      <x:c r="C194" t="str">
        <x:v>Yılbaşı Nespresso Kapsül Hediye Kutusu</x:v>
      </x:c>
      <x:c r="D194" t="str">
        <x:v>Menşe belirtilmemiş</x:v>
      </x:c>
      <x:c r="E194" s="1" t="str">
        <x:v>Erişilemedi</x:v>
      </x:c>
      <x:c r="F194" s="2" t="n">
        <x:v>849</x:v>
      </x:c>
      <x:c r="G194" t="str">
        <x:v>Gramaj</x:v>
      </x:c>
      <x:c r="H194" t="str">
        <x:v>Shopify ürün akışı</x:v>
      </x:c>
      <x:c r="I194" s="28" t="str">
        <x:v>https://coachcoffeeco.com/products/yilbasi-nespresso-kapsul-hediye-kutusu</x:v>
      </x:c>
      <x:c r="J194" s="28" t="str">
        <x:v>Öğütüm seçenekleri tekilleştirildi.</x:v>
      </x:c>
    </x:row>
    <x:row r="195">
      <x:c r="A195" t="str">
        <x:v>Coach Coffee Company</x:v>
      </x:c>
      <x:c r="B195" t="str">
        <x:v>Ürün kaydı</x:v>
      </x:c>
      <x:c r="C195" t="str">
        <x:v>Yılbaşı Otomatik Makine Hediye Kutusu</x:v>
      </x:c>
      <x:c r="D195" t="str">
        <x:v>Harman – menşe belirtilmemiş</x:v>
      </x:c>
      <x:c r="E195" s="1" t="str">
        <x:v>Erişilemedi</x:v>
      </x:c>
      <x:c r="F195" s="2" t="n">
        <x:v>849</x:v>
      </x:c>
      <x:c r="G195" t="str">
        <x:v>Gramaj</x:v>
      </x:c>
      <x:c r="H195" t="str">
        <x:v>Shopify ürün akışı</x:v>
      </x:c>
      <x:c r="I195" s="28" t="str">
        <x:v>https://coachcoffeeco.com/products/yilbasi-espresso-hediye-kutusu-otomatik-makine-uyumlu</x:v>
      </x:c>
      <x:c r="J195" s="28" t="str">
        <x:v>Öğütüm seçenekleri tekilleştirildi.</x:v>
      </x:c>
    </x:row>
    <x:row r="196">
      <x:c r="A196" t="str">
        <x:v>Coach Coffee Company</x:v>
      </x:c>
      <x:c r="B196" t="str">
        <x:v>Ürün kaydı</x:v>
      </x:c>
      <x:c r="C196" t="str">
        <x:v>Yılbaşı Türk Kahvesi Hediye Kutusu</x:v>
      </x:c>
      <x:c r="D196" t="str">
        <x:v>Menşe belirtilmemiş</x:v>
      </x:c>
      <x:c r="E196" s="1" t="str">
        <x:v>Erişilemedi</x:v>
      </x:c>
      <x:c r="F196" s="2" t="n">
        <x:v>849</x:v>
      </x:c>
      <x:c r="G196" t="str">
        <x:v>Gramaj</x:v>
      </x:c>
      <x:c r="H196" t="str">
        <x:v>Shopify ürün akışı</x:v>
      </x:c>
      <x:c r="I196" s="28" t="str">
        <x:v>https://coachcoffeeco.com/products/yilbasi-turk-kahvesi-hediye-kutusu</x:v>
      </x:c>
      <x:c r="J196" s="28" t="str">
        <x:v>Öğütüm seçenekleri tekilleştirildi.</x:v>
      </x:c>
    </x:row>
    <x:row r="197">
      <x:c r="A197" t="str">
        <x:v>Coffee Code Roasters</x:v>
      </x:c>
      <x:c r="B197" t="str">
        <x:v>Ürün kaydı</x:v>
      </x:c>
      <x:c r="C197" t="str">
        <x:v>Brazil Jaguar</x:v>
      </x:c>
      <x:c r="D197" t="str">
        <x:v>Brezilya</x:v>
      </x:c>
      <x:c r="E197" s="1" t="str">
        <x:v>Erişilemedi</x:v>
      </x:c>
      <x:c r="F197" s="2" t="n">
        <x:v>440</x:v>
      </x:c>
      <x:c r="G197" t="str">
        <x:v>Gramaj</x:v>
      </x:c>
      <x:c r="H197" t="str">
        <x:v>WooCommerce Store API</x:v>
      </x:c>
      <x:c r="I197" s="28" t="str">
        <x:v>https://coffeecode.com.tr/product/brazil-jaguar/</x:v>
      </x:c>
      <x:c r="J197" s="28" t="str">
        <x:v>Fiyat veya gramaj eksik olsa da ürün korundu.</x:v>
      </x:c>
    </x:row>
    <x:row r="198">
      <x:c r="A198" t="str">
        <x:v>Coffee Code Roasters</x:v>
      </x:c>
      <x:c r="B198" t="str">
        <x:v>Ürün kaydı</x:v>
      </x:c>
      <x:c r="C198" t="str">
        <x:v>Brazil Red Diamond</x:v>
      </x:c>
      <x:c r="D198" t="str">
        <x:v>Brezilya</x:v>
      </x:c>
      <x:c r="E198" s="1" t="str">
        <x:v>Erişilemedi</x:v>
      </x:c>
      <x:c r="F198" s="2" t="n">
        <x:v>480</x:v>
      </x:c>
      <x:c r="G198" t="str">
        <x:v>Gramaj</x:v>
      </x:c>
      <x:c r="H198" t="str">
        <x:v>WooCommerce Store API</x:v>
      </x:c>
      <x:c r="I198" s="28" t="str">
        <x:v>https://coffeecode.com.tr/product/brazil-red-diamond/</x:v>
      </x:c>
      <x:c r="J198" s="28" t="str">
        <x:v>Fiyat veya gramaj eksik olsa da ürün korundu.</x:v>
      </x:c>
    </x:row>
    <x:row r="199">
      <x:c r="A199" t="str">
        <x:v>Coffee Code Roasters</x:v>
      </x:c>
      <x:c r="B199" t="str">
        <x:v>Ürün kaydı</x:v>
      </x:c>
      <x:c r="C199" t="str">
        <x:v>Colombia İnga Aponte</x:v>
      </x:c>
      <x:c r="D199" t="str">
        <x:v>Kolombiya</x:v>
      </x:c>
      <x:c r="E199" s="1" t="str">
        <x:v>Erişilemedi</x:v>
      </x:c>
      <x:c r="F199" s="2" t="n">
        <x:v>460</x:v>
      </x:c>
      <x:c r="G199" t="str">
        <x:v>Gramaj</x:v>
      </x:c>
      <x:c r="H199" t="str">
        <x:v>WooCommerce Store API</x:v>
      </x:c>
      <x:c r="I199" s="28" t="str">
        <x:v>https://coffeecode.com.tr/product/colombia-inga-aponte/</x:v>
      </x:c>
      <x:c r="J199" s="28" t="str">
        <x:v>Fiyat veya gramaj eksik olsa da ürün korundu.</x:v>
      </x:c>
    </x:row>
    <x:row r="200">
      <x:c r="A200" t="str">
        <x:v>Coffee Code Roasters</x:v>
      </x:c>
      <x:c r="B200" t="str">
        <x:v>Ürün kaydı</x:v>
      </x:c>
      <x:c r="C200" t="str">
        <x:v>Endonezya Frınsa</x:v>
      </x:c>
      <x:c r="D200" t="str">
        <x:v>Endonezya</x:v>
      </x:c>
      <x:c r="E200" s="1" t="str">
        <x:v>Erişilemedi</x:v>
      </x:c>
      <x:c r="F200" s="2" t="n">
        <x:v>300</x:v>
      </x:c>
      <x:c r="G200" t="str">
        <x:v>Gramaj</x:v>
      </x:c>
      <x:c r="H200" t="str">
        <x:v>WooCommerce Store API</x:v>
      </x:c>
      <x:c r="I200" s="28" t="str">
        <x:v>https://coffeecode.com.tr/product/endonezya-frinsa/</x:v>
      </x:c>
      <x:c r="J200" s="28" t="str">
        <x:v>Fiyat veya gramaj eksik olsa da ürün korundu.</x:v>
      </x:c>
    </x:row>
    <x:row r="201">
      <x:c r="A201" t="str">
        <x:v>Coffee Code Roasters</x:v>
      </x:c>
      <x:c r="B201" t="str">
        <x:v>Ürün kaydı</x:v>
      </x:c>
      <x:c r="C201" t="str">
        <x:v>Honduras El Jardin</x:v>
      </x:c>
      <x:c r="D201" t="str">
        <x:v>Honduras</x:v>
      </x:c>
      <x:c r="E201" s="1" t="str">
        <x:v>Erişilemedi</x:v>
      </x:c>
      <x:c r="F201" s="2" t="n">
        <x:v>520</x:v>
      </x:c>
      <x:c r="G201" t="str">
        <x:v>Gramaj</x:v>
      </x:c>
      <x:c r="H201" t="str">
        <x:v>WooCommerce Store API</x:v>
      </x:c>
      <x:c r="I201" s="28" t="str">
        <x:v>https://coffeecode.com.tr/product/honduras-el-jardin/</x:v>
      </x:c>
      <x:c r="J201" s="28" t="str">
        <x:v>Fiyat veya gramaj eksik olsa da ürün korundu.</x:v>
      </x:c>
    </x:row>
    <x:row r="202">
      <x:c r="A202" t="str">
        <x:v>Coffee Code Roasters</x:v>
      </x:c>
      <x:c r="B202" t="str">
        <x:v>Ürün kaydı</x:v>
      </x:c>
      <x:c r="C202" t="str">
        <x:v>Kahve Çuvalı</x:v>
      </x:c>
      <x:c r="D202" t="str">
        <x:v>Menşe belirtilmemiş</x:v>
      </x:c>
      <x:c r="E202" s="1" t="str">
        <x:v>Erişilemedi</x:v>
      </x:c>
      <x:c r="F202" s="2" t="n">
        <x:v>40</x:v>
      </x:c>
      <x:c r="G202" t="str">
        <x:v>Gramaj</x:v>
      </x:c>
      <x:c r="H202" t="str">
        <x:v>WooCommerce Store API</x:v>
      </x:c>
      <x:c r="I202" s="28" t="str">
        <x:v>https://coffeecode.com.tr/product/kahve-cuvali/</x:v>
      </x:c>
      <x:c r="J202" s="28" t="str">
        <x:v>Fiyat veya gramaj eksik olsa da ürün korundu.</x:v>
      </x:c>
    </x:row>
    <x:row r="203">
      <x:c r="A203" t="str">
        <x:v>Coffee Code Roasters</x:v>
      </x:c>
      <x:c r="B203" t="str">
        <x:v>Ürün kaydı</x:v>
      </x:c>
      <x:c r="C203" t="str">
        <x:v>Kenya Wanrich</x:v>
      </x:c>
      <x:c r="D203" t="str">
        <x:v>Kenya</x:v>
      </x:c>
      <x:c r="E203" s="1" t="str">
        <x:v>Erişilemedi</x:v>
      </x:c>
      <x:c r="F203" s="2" t="n">
        <x:v>490</x:v>
      </x:c>
      <x:c r="G203" t="str">
        <x:v>Gramaj</x:v>
      </x:c>
      <x:c r="H203" t="str">
        <x:v>WooCommerce Store API</x:v>
      </x:c>
      <x:c r="I203" s="28" t="str">
        <x:v>https://coffeecode.com.tr/product/kenya-wanrich/</x:v>
      </x:c>
      <x:c r="J203" s="28" t="str">
        <x:v>Fiyat veya gramaj eksik olsa da ürün korundu.</x:v>
      </x:c>
    </x:row>
    <x:row r="204">
      <x:c r="A204" t="str">
        <x:v>Coffee Code Roasters</x:v>
      </x:c>
      <x:c r="B204" t="str">
        <x:v>Ürün kaydı</x:v>
      </x:c>
      <x:c r="C204" t="str">
        <x:v>Rwanda</x:v>
      </x:c>
      <x:c r="D204" t="str">
        <x:v>Ruanda</x:v>
      </x:c>
      <x:c r="E204" s="1" t="str">
        <x:v>Erişilemedi</x:v>
      </x:c>
      <x:c r="F204" s="2" t="n">
        <x:v>480</x:v>
      </x:c>
      <x:c r="G204" t="str">
        <x:v>Gramaj</x:v>
      </x:c>
      <x:c r="H204" t="str">
        <x:v>WooCommerce Store API</x:v>
      </x:c>
      <x:c r="I204" s="28" t="str">
        <x:v>https://coffeecode.com.tr/product/rwanda/</x:v>
      </x:c>
      <x:c r="J204" s="28" t="str">
        <x:v>Fiyat veya gramaj eksik olsa da ürün korundu.</x:v>
      </x:c>
    </x:row>
    <x:row r="205">
      <x:c r="A205" t="str">
        <x:v>Coffee Department</x:v>
      </x:c>
      <x:c r="B205" t="str">
        <x:v>Ürün kaydı</x:v>
      </x:c>
      <x:c r="C205" t="str">
        <x:v>Brazil / Cerrado / Natural</x:v>
      </x:c>
      <x:c r="D205" t="str">
        <x:v>Brezilya</x:v>
      </x:c>
      <x:c r="E205" s="1" t="str">
        <x:v>Erişilemedi</x:v>
      </x:c>
      <x:c r="F205" s="2" t="n">
        <x:v>0</x:v>
      </x:c>
      <x:c r="G205" t="str">
        <x:v>Gramaj + fiyat</x:v>
      </x:c>
      <x:c r="H205" t="str">
        <x:v>Site haritası ürün sayfası</x:v>
      </x:c>
      <x:c r="I205" s="28" t="str">
        <x:v>https://coffeedepartment.co/brazil-cerrado-natural</x:v>
      </x:c>
      <x:c r="J205" s="28" t="str">
        <x:v>Ürün kimliği korundu; eksik alanlar erişilemedi olarak işaretlenecek.</x:v>
      </x:c>
    </x:row>
    <x:row r="206">
      <x:c r="A206" t="str">
        <x:v>Coffee Department</x:v>
      </x:c>
      <x:c r="B206" t="str">
        <x:v>Ürün kaydı</x:v>
      </x:c>
      <x:c r="C206" t="str">
        <x:v>Brazil / Diamantina / Natural</x:v>
      </x:c>
      <x:c r="D206" t="str">
        <x:v>Brezilya</x:v>
      </x:c>
      <x:c r="E206" s="1" t="str">
        <x:v>Erişilemedi</x:v>
      </x:c>
      <x:c r="F206" s="2" t="n">
        <x:v>0</x:v>
      </x:c>
      <x:c r="G206" t="str">
        <x:v>Gramaj + fiyat</x:v>
      </x:c>
      <x:c r="H206" t="str">
        <x:v>Site haritası ürün sayfası</x:v>
      </x:c>
      <x:c r="I206" s="28" t="str">
        <x:v>https://coffeedepartment.co/brazil-diamantina-natural</x:v>
      </x:c>
      <x:c r="J206" s="28" t="str">
        <x:v>Ürün kimliği korundu; eksik alanlar erişilemedi olarak işaretlenecek.</x:v>
      </x:c>
    </x:row>
    <x:row r="207">
      <x:c r="A207" t="str">
        <x:v>Coffee Department</x:v>
      </x:c>
      <x:c r="B207" t="str">
        <x:v>Ürün kaydı</x:v>
      </x:c>
      <x:c r="C207" t="str">
        <x:v>Colombia / Hulcafe / Sugar Cane Decaf</x:v>
      </x:c>
      <x:c r="D207" t="str">
        <x:v>Kolombiya</x:v>
      </x:c>
      <x:c r="E207" s="1" t="str">
        <x:v>Erişilemedi</x:v>
      </x:c>
      <x:c r="F207" s="2" t="n">
        <x:v>0</x:v>
      </x:c>
      <x:c r="G207" t="str">
        <x:v>Gramaj + fiyat</x:v>
      </x:c>
      <x:c r="H207" t="str">
        <x:v>Site haritası ürün sayfası</x:v>
      </x:c>
      <x:c r="I207" s="28" t="str">
        <x:v>https://coffeedepartment.co/colombia-hulcafe-sugar-cane-decaf</x:v>
      </x:c>
      <x:c r="J207" s="28" t="str">
        <x:v>Ürün kimliği korundu; eksik alanlar erişilemedi olarak işaretlenecek.</x:v>
      </x:c>
    </x:row>
    <x:row r="208">
      <x:c r="A208" t="str">
        <x:v>Coffee Department</x:v>
      </x:c>
      <x:c r="B208" t="str">
        <x:v>Ürün kaydı</x:v>
      </x:c>
      <x:c r="C208" t="str">
        <x:v>Costa Rica / La Isla / Honey Process</x:v>
      </x:c>
      <x:c r="D208" t="str">
        <x:v>Kosta Rika</x:v>
      </x:c>
      <x:c r="E208" s="1" t="str">
        <x:v>Erişilemedi</x:v>
      </x:c>
      <x:c r="F208" s="2" t="n">
        <x:v>0</x:v>
      </x:c>
      <x:c r="G208" t="str">
        <x:v>Gramaj + fiyat</x:v>
      </x:c>
      <x:c r="H208" t="str">
        <x:v>Site haritası ürün sayfası</x:v>
      </x:c>
      <x:c r="I208" s="28" t="str">
        <x:v>https://coffeedepartment.co/costa-rica-la-isla-honey-process</x:v>
      </x:c>
      <x:c r="J208" s="28" t="str">
        <x:v>Ürün kimliği korundu; eksik alanlar erişilemedi olarak işaretlenecek.</x:v>
      </x:c>
    </x:row>
    <x:row r="209">
      <x:c r="A209" t="str">
        <x:v>Coffee Department</x:v>
      </x:c>
      <x:c r="B209" t="str">
        <x:v>Ürün kaydı</x:v>
      </x:c>
      <x:c r="C209" t="str">
        <x:v>El Salvador / El Borbollon / Washed</x:v>
      </x:c>
      <x:c r="D209" t="str">
        <x:v>El Salvador</x:v>
      </x:c>
      <x:c r="E209" s="1" t="str">
        <x:v>Erişilemedi</x:v>
      </x:c>
      <x:c r="F209" s="2" t="n">
        <x:v>0</x:v>
      </x:c>
      <x:c r="G209" t="str">
        <x:v>Gramaj + fiyat</x:v>
      </x:c>
      <x:c r="H209" t="str">
        <x:v>Site haritası ürün sayfası</x:v>
      </x:c>
      <x:c r="I209" s="28" t="str">
        <x:v>https://coffeedepartment.co/el-salvador-el-borbollon-washed</x:v>
      </x:c>
      <x:c r="J209" s="28" t="str">
        <x:v>Ürün kimliği korundu; eksik alanlar erişilemedi olarak işaretlenecek.</x:v>
      </x:c>
    </x:row>
    <x:row r="210">
      <x:c r="A210" t="str">
        <x:v>Coffee Department</x:v>
      </x:c>
      <x:c r="B210" t="str">
        <x:v>Ürün kaydı</x:v>
      </x:c>
      <x:c r="C210" t="str">
        <x:v>El Salvador / Shasta / Washed</x:v>
      </x:c>
      <x:c r="D210" t="str">
        <x:v>El Salvador</x:v>
      </x:c>
      <x:c r="E210" s="1" t="str">
        <x:v>Erişilemedi</x:v>
      </x:c>
      <x:c r="F210" s="2" t="n">
        <x:v>0</x:v>
      </x:c>
      <x:c r="G210" t="str">
        <x:v>Gramaj + fiyat</x:v>
      </x:c>
      <x:c r="H210" t="str">
        <x:v>Site haritası ürün sayfası</x:v>
      </x:c>
      <x:c r="I210" s="28" t="str">
        <x:v>https://coffeedepartment.co/el-salvador-shasta-washed</x:v>
      </x:c>
      <x:c r="J210" s="28" t="str">
        <x:v>Ürün kimliği korundu; eksik alanlar erişilemedi olarak işaretlenecek.</x:v>
      </x:c>
    </x:row>
    <x:row r="211">
      <x:c r="A211" t="str">
        <x:v>Coffee Department</x:v>
      </x:c>
      <x:c r="B211" t="str">
        <x:v>Ürün kaydı</x:v>
      </x:c>
      <x:c r="C211" t="str">
        <x:v>Fruta Fresca / Specialty Blend</x:v>
      </x:c>
      <x:c r="D211" t="str">
        <x:v>Harman – menşe belirtilmemiş</x:v>
      </x:c>
      <x:c r="E211" s="1" t="str">
        <x:v>Erişilemedi</x:v>
      </x:c>
      <x:c r="F211" s="2" t="n">
        <x:v>0</x:v>
      </x:c>
      <x:c r="G211" t="str">
        <x:v>Gramaj + fiyat</x:v>
      </x:c>
      <x:c r="H211" t="str">
        <x:v>Site haritası ürün sayfası</x:v>
      </x:c>
      <x:c r="I211" s="28" t="str">
        <x:v>https://coffeedepartment.co/fruta-fresca-blend</x:v>
      </x:c>
      <x:c r="J211" s="28" t="str">
        <x:v>Ürün kimliği korundu; eksik alanlar erişilemedi olarak işaretlenecek.</x:v>
      </x:c>
    </x:row>
    <x:row r="212">
      <x:c r="A212" t="str">
        <x:v>Coffee Department</x:v>
      </x:c>
      <x:c r="B212" t="str">
        <x:v>Ürün kaydı</x:v>
      </x:c>
      <x:c r="C212" t="str">
        <x:v>Hario V60 02 Seramik Kahve Demleme Seti</x:v>
      </x:c>
      <x:c r="D212" t="str">
        <x:v>Menşe belirtilmemiş</x:v>
      </x:c>
      <x:c r="E212" s="1" t="str">
        <x:v>Erişilemedi</x:v>
      </x:c>
      <x:c r="F212" s="2" t="n">
        <x:v>0</x:v>
      </x:c>
      <x:c r="G212" t="str">
        <x:v>Gramaj + fiyat</x:v>
      </x:c>
      <x:c r="H212" t="str">
        <x:v>Site haritası ürün sayfası</x:v>
      </x:c>
      <x:c r="I212" s="28" t="str">
        <x:v>https://coffeedepartment.co/hario-v60-02-seramik-kahve-demleme-seti</x:v>
      </x:c>
      <x:c r="J212" s="28" t="str">
        <x:v>Ürün kimliği korundu; eksik alanlar erişilemedi olarak işaretlenecek.</x:v>
      </x:c>
    </x:row>
    <x:row r="213">
      <x:c r="A213" t="str">
        <x:v>Coffee Department</x:v>
      </x:c>
      <x:c r="B213" t="str">
        <x:v>Ürün kaydı</x:v>
      </x:c>
      <x:c r="C213" t="str">
        <x:v>Indonesia / Argopuro / Natural Anaerobic</x:v>
      </x:c>
      <x:c r="D213" t="str">
        <x:v>Endonezya</x:v>
      </x:c>
      <x:c r="E213" s="1" t="str">
        <x:v>Erişilemedi</x:v>
      </x:c>
      <x:c r="F213" s="2" t="n">
        <x:v>0</x:v>
      </x:c>
      <x:c r="G213" t="str">
        <x:v>Gramaj + fiyat</x:v>
      </x:c>
      <x:c r="H213" t="str">
        <x:v>Site haritası ürün sayfası</x:v>
      </x:c>
      <x:c r="I213" s="28" t="str">
        <x:v>https://coffeedepartment.co/indonesia-argopuro-natural-anaerobic</x:v>
      </x:c>
      <x:c r="J213" s="28" t="str">
        <x:v>Ürün kimliği korundu; eksik alanlar erişilemedi olarak işaretlenecek.</x:v>
      </x:c>
    </x:row>
    <x:row r="214">
      <x:c r="A214" t="str">
        <x:v>Coffee Department</x:v>
      </x:c>
      <x:c r="B214" t="str">
        <x:v>Ürün kaydı</x:v>
      </x:c>
      <x:c r="C214" t="str">
        <x:v>Rwanda / Akagera / Natural</x:v>
      </x:c>
      <x:c r="D214" t="str">
        <x:v>Ruanda</x:v>
      </x:c>
      <x:c r="E214" s="1" t="str">
        <x:v>Erişilemedi</x:v>
      </x:c>
      <x:c r="F214" s="2" t="n">
        <x:v>0</x:v>
      </x:c>
      <x:c r="G214" t="str">
        <x:v>Gramaj + fiyat</x:v>
      </x:c>
      <x:c r="H214" t="str">
        <x:v>Site haritası ürün sayfası</x:v>
      </x:c>
      <x:c r="I214" s="28" t="str">
        <x:v>https://coffeedepartment.co/rwanda-akagera-natural</x:v>
      </x:c>
      <x:c r="J214" s="28" t="str">
        <x:v>Ürün kimliği korundu; eksik alanlar erişilemedi olarak işaretlenecek.</x:v>
      </x:c>
    </x:row>
    <x:row r="215">
      <x:c r="A215" t="str">
        <x:v>Coffee Department</x:v>
      </x:c>
      <x:c r="B215" t="str">
        <x:v>Ürün kaydı</x:v>
      </x:c>
      <x:c r="C215" t="str">
        <x:v>Rwanda / Akagera / Washed</x:v>
      </x:c>
      <x:c r="D215" t="str">
        <x:v>Ruanda</x:v>
      </x:c>
      <x:c r="E215" s="1" t="str">
        <x:v>Erişilemedi</x:v>
      </x:c>
      <x:c r="F215" s="2" t="n">
        <x:v>0</x:v>
      </x:c>
      <x:c r="G215" t="str">
        <x:v>Gramaj + fiyat</x:v>
      </x:c>
      <x:c r="H215" t="str">
        <x:v>Site haritası ürün sayfası</x:v>
      </x:c>
      <x:c r="I215" s="28" t="str">
        <x:v>https://coffeedepartment.co/rwanda-akagera-washed</x:v>
      </x:c>
      <x:c r="J215" s="28" t="str">
        <x:v>Ürün kimliği korundu; eksik alanlar erişilemedi olarak işaretlenecek.</x:v>
      </x:c>
    </x:row>
    <x:row r="216">
      <x:c r="A216" t="str">
        <x:v>Coffee Department</x:v>
      </x:c>
      <x:c r="B216" t="str">
        <x:v>Ürün kaydı</x:v>
      </x:c>
      <x:c r="C216" t="str">
        <x:v>Uber Markt / Specialty Blend</x:v>
      </x:c>
      <x:c r="D216" t="str">
        <x:v>Harman – menşe belirtilmemiş</x:v>
      </x:c>
      <x:c r="E216" s="1" t="str">
        <x:v>Erişilemedi</x:v>
      </x:c>
      <x:c r="F216" s="2" t="n">
        <x:v>0</x:v>
      </x:c>
      <x:c r="G216" t="str">
        <x:v>Gramaj + fiyat</x:v>
      </x:c>
      <x:c r="H216" t="str">
        <x:v>Site haritası ürün sayfası</x:v>
      </x:c>
      <x:c r="I216" s="28" t="str">
        <x:v>https://coffeedepartment.co/uber-markt-blend</x:v>
      </x:c>
      <x:c r="J216" s="28" t="str">
        <x:v>Ürün kimliği korundu; eksik alanlar erişilemedi olarak işaretlenecek.</x:v>
      </x:c>
    </x:row>
    <x:row r="217">
      <x:c r="A217" t="str">
        <x:v>Coffee Friendzone</x:v>
      </x:c>
      <x:c r="B217" t="str">
        <x:v>Ürün kaydı</x:v>
      </x:c>
      <x:c r="C217" t="str">
        <x:v>Cold Brew Black Strong Cam Şişe 200 Ml.</x:v>
      </x:c>
      <x:c r="D217" t="str">
        <x:v>Harman – menşe belirtilmemiş</x:v>
      </x:c>
      <x:c r="E217" s="1" t="str">
        <x:v>Erişilemedi</x:v>
      </x:c>
      <x:c r="F217" s="2" t="n">
        <x:v>95</x:v>
      </x:c>
      <x:c r="G217" t="str">
        <x:v>Gramaj</x:v>
      </x:c>
      <x:c r="H217" t="str">
        <x:v>WooCommerce Store API</x:v>
      </x:c>
      <x:c r="I217" s="28" t="str">
        <x:v>https://coffeefriendzone.com/cold-brew-black-strong-cam-sise-200-ml/</x:v>
      </x:c>
      <x:c r="J217" s="28" t="str">
        <x:v>Fiyat veya gramaj eksik olsa da ürün korundu.</x:v>
      </x:c>
    </x:row>
    <x:row r="218">
      <x:c r="A218" t="str">
        <x:v>Coffee Friendzone</x:v>
      </x:c>
      <x:c r="B218" t="str">
        <x:v>Ürün kaydı</x:v>
      </x:c>
      <x:c r="C218" t="str">
        <x:v>Costa Rica La Pastora Tarrazu SHB EP</x:v>
      </x:c>
      <x:c r="D218" t="str">
        <x:v>Brezilya | Kosta Rika | Panama</x:v>
      </x:c>
      <x:c r="E218" s="1" t="str">
        <x:v>Erişilemedi</x:v>
      </x:c>
      <x:c r="F218" s="2" t="n">
        <x:v>495</x:v>
      </x:c>
      <x:c r="G218" t="str">
        <x:v>Gramaj</x:v>
      </x:c>
      <x:c r="H218" t="str">
        <x:v>WooCommerce Store API</x:v>
      </x:c>
      <x:c r="I218" s="28" t="str">
        <x:v>https://coffeefriendzone.com/costa-rica-la-pastora-tarrazu/</x:v>
      </x:c>
      <x:c r="J218" s="28" t="str">
        <x:v>Fiyat veya gramaj eksik olsa da ürün korundu.</x:v>
      </x:c>
    </x:row>
    <x:row r="219">
      <x:c r="A219" t="str">
        <x:v>Coffee Friendzone</x:v>
      </x:c>
      <x:c r="B219" t="str">
        <x:v>Ürün kaydı</x:v>
      </x:c>
      <x:c r="C219" t="str">
        <x:v>Ethiopia Sidama Bochesa</x:v>
      </x:c>
      <x:c r="D219" t="str">
        <x:v>Etiyopya</x:v>
      </x:c>
      <x:c r="E219" s="1" t="str">
        <x:v>Erişilemedi</x:v>
      </x:c>
      <x:c r="F219" s="2" t="n">
        <x:v>750</x:v>
      </x:c>
      <x:c r="G219" t="str">
        <x:v>Gramaj</x:v>
      </x:c>
      <x:c r="H219" t="str">
        <x:v>WooCommerce Store API</x:v>
      </x:c>
      <x:c r="I219" s="28" t="str">
        <x:v>https://coffeefriendzone.com/ethiopia-sidama-bochesa/</x:v>
      </x:c>
      <x:c r="J219" s="28" t="str">
        <x:v>Fiyat veya gramaj eksik olsa da ürün korundu.</x:v>
      </x:c>
    </x:row>
    <x:row r="220">
      <x:c r="A220" t="str">
        <x:v>Coffee Friendzone</x:v>
      </x:c>
      <x:c r="B220" t="str">
        <x:v>Ürün kaydı</x:v>
      </x:c>
      <x:c r="C220" t="str">
        <x:v>Friendzone Signature Series</x:v>
      </x:c>
      <x:c r="D220" t="str">
        <x:v>Kolombiya</x:v>
      </x:c>
      <x:c r="E220" s="1" t="str">
        <x:v>Erişilemedi</x:v>
      </x:c>
      <x:c r="F220" s="2" t="n">
        <x:v>1700</x:v>
      </x:c>
      <x:c r="G220" t="str">
        <x:v>Gramaj</x:v>
      </x:c>
      <x:c r="H220" t="str">
        <x:v>WooCommerce Store API</x:v>
      </x:c>
      <x:c r="I220" s="28" t="str">
        <x:v>https://coffeefriendzone.com/friendzone-signature-series/</x:v>
      </x:c>
      <x:c r="J220" s="28" t="str">
        <x:v>Fiyat veya gramaj eksik olsa da ürün korundu.</x:v>
      </x:c>
    </x:row>
    <x:row r="221">
      <x:c r="A221" t="str">
        <x:v>Coffee Friendzone</x:v>
      </x:c>
      <x:c r="B221" t="str">
        <x:v>Ürün kaydı</x:v>
      </x:c>
      <x:c r="C221" t="str">
        <x:v>Nitelikli Türk Kahvesi Blend</x:v>
      </x:c>
      <x:c r="D221" t="str">
        <x:v>Brezilya | Yemen</x:v>
      </x:c>
      <x:c r="E221" s="1" t="str">
        <x:v>Erişilemedi</x:v>
      </x:c>
      <x:c r="F221" s="2" t="n">
        <x:v>300</x:v>
      </x:c>
      <x:c r="G221" t="str">
        <x:v>Gramaj</x:v>
      </x:c>
      <x:c r="H221" t="str">
        <x:v>WooCommerce Store API</x:v>
      </x:c>
      <x:c r="I221" s="28" t="str">
        <x:v>https://coffeefriendzone.com/turk-kahvesi-blend/</x:v>
      </x:c>
      <x:c r="J221" s="28" t="str">
        <x:v>Fiyat veya gramaj eksik olsa da ürün korundu.</x:v>
      </x:c>
    </x:row>
    <x:row r="222">
      <x:c r="A222" t="str">
        <x:v>Coffee Friendzone</x:v>
      </x:c>
      <x:c r="B222" t="str">
        <x:v>Ürün kaydı</x:v>
      </x:c>
      <x:c r="C222" t="str">
        <x:v>Papua New Guinea Elimbari A Grainpro</x:v>
      </x:c>
      <x:c r="D222" t="str">
        <x:v>Menşe belirtilmemiş</x:v>
      </x:c>
      <x:c r="E222" s="1" t="str">
        <x:v>Erişilemedi</x:v>
      </x:c>
      <x:c r="F222" s="2" t="n">
        <x:v>495</x:v>
      </x:c>
      <x:c r="G222" t="str">
        <x:v>Gramaj</x:v>
      </x:c>
      <x:c r="H222" t="str">
        <x:v>WooCommerce Store API</x:v>
      </x:c>
      <x:c r="I222" s="28" t="str">
        <x:v>https://coffeefriendzone.com/papua-new-guinea-elimbari-a/</x:v>
      </x:c>
      <x:c r="J222" s="28" t="str">
        <x:v>Fiyat veya gramaj eksik olsa da ürün korundu.</x:v>
      </x:c>
    </x:row>
    <x:row r="223">
      <x:c r="A223" t="str">
        <x:v>Coffee Friendzone</x:v>
      </x:c>
      <x:c r="B223" t="str">
        <x:v>Ürün kaydı</x:v>
      </x:c>
      <x:c r="C223" t="str">
        <x:v>Premium Espresso Blend</x:v>
      </x:c>
      <x:c r="D223" t="str">
        <x:v>Harman – menşe belirtilmemiş</x:v>
      </x:c>
      <x:c r="E223" s="1" t="str">
        <x:v>Erişilemedi</x:v>
      </x:c>
      <x:c r="F223" s="2" t="n">
        <x:v>450</x:v>
      </x:c>
      <x:c r="G223" t="str">
        <x:v>Gramaj</x:v>
      </x:c>
      <x:c r="H223" t="str">
        <x:v>WooCommerce Store API</x:v>
      </x:c>
      <x:c r="I223" s="28" t="str">
        <x:v>https://coffeefriendzone.com/premium-espresso-blend/</x:v>
      </x:c>
      <x:c r="J223" s="28" t="str">
        <x:v>Fiyat veya gramaj eksik olsa da ürün korundu.</x:v>
      </x:c>
    </x:row>
    <x:row r="224">
      <x:c r="A224" t="str">
        <x:v>Coffee Friendzone</x:v>
      </x:c>
      <x:c r="B224" t="str">
        <x:v>Ürün kaydı</x:v>
      </x:c>
      <x:c r="C224" t="str">
        <x:v>Premium Filter Coffee Blend</x:v>
      </x:c>
      <x:c r="D224" t="str">
        <x:v>Harman – menşe belirtilmemiş</x:v>
      </x:c>
      <x:c r="E224" s="1" t="str">
        <x:v>Erişilemedi</x:v>
      </x:c>
      <x:c r="F224" s="2" t="n">
        <x:v>450</x:v>
      </x:c>
      <x:c r="G224" t="str">
        <x:v>Gramaj</x:v>
      </x:c>
      <x:c r="H224" t="str">
        <x:v>WooCommerce Store API</x:v>
      </x:c>
      <x:c r="I224" s="28" t="str">
        <x:v>https://coffeefriendzone.com/premium-filter-coffee-blend/</x:v>
      </x:c>
      <x:c r="J224" s="28" t="str">
        <x:v>Fiyat veya gramaj eksik olsa da ürün korundu.</x:v>
      </x:c>
    </x:row>
    <x:row r="225">
      <x:c r="A225" t="str">
        <x:v>Coffee Friendzone</x:v>
      </x:c>
      <x:c r="B225" t="str">
        <x:v>Ürün kaydı</x:v>
      </x:c>
      <x:c r="C225" t="str">
        <x:v>Uganda Bugishu AA</x:v>
      </x:c>
      <x:c r="D225" t="str">
        <x:v>Menşe belirtilmemiş</x:v>
      </x:c>
      <x:c r="E225" s="1" t="str">
        <x:v>Erişilemedi</x:v>
      </x:c>
      <x:c r="F225" s="2" t="n">
        <x:v>495</x:v>
      </x:c>
      <x:c r="G225" t="str">
        <x:v>Gramaj</x:v>
      </x:c>
      <x:c r="H225" t="str">
        <x:v>WooCommerce Store API</x:v>
      </x:c>
      <x:c r="I225" s="28" t="str">
        <x:v>https://coffeefriendzone.com/uganda-bugishu/</x:v>
      </x:c>
      <x:c r="J225" s="28" t="str">
        <x:v>Fiyat veya gramaj eksik olsa da ürün korundu.</x:v>
      </x:c>
    </x:row>
    <x:row r="226">
      <x:c r="A226" t="str">
        <x:v>Coffee Lab</x:v>
      </x:c>
      <x:c r="B226" t="str">
        <x:v>Ürün kaydı</x:v>
      </x:c>
      <x:c r="C226" t="str">
        <x:v>3. Nesil Kahve Demleme Çeşitleri</x:v>
      </x:c>
      <x:c r="D226" t="str">
        <x:v>Menşe belirtilmemiş</x:v>
      </x:c>
      <x:c r="E226" s="1" t="str">
        <x:v>Erişilemedi</x:v>
      </x:c>
      <x:c r="F226" s="2" t="str">
        <x:v>Erişilemedi</x:v>
      </x:c>
      <x:c r="G226" t="str">
        <x:v>Gramaj + fiyat</x:v>
      </x:c>
      <x:c r="H226" t="str">
        <x:v>Site haritası ürün sayfası</x:v>
      </x:c>
      <x:c r="I226" s="28" t="str">
        <x:v>https://coffeelab.com.tr/3-nesil-kahve-demleme-cesitleri/</x:v>
      </x:c>
      <x:c r="J226" s="28" t="str">
        <x:v>Ürün kimliği korundu; eksik alanlar erişilemedi olarak işaretlenecek.</x:v>
      </x:c>
    </x:row>
    <x:row r="227">
      <x:c r="A227" t="str">
        <x:v>Coffee Lab</x:v>
      </x:c>
      <x:c r="B227" t="str">
        <x:v>Ürün kaydı</x:v>
      </x:c>
      <x:c r="C227" t="str">
        <x:v>Aeropress</x:v>
      </x:c>
      <x:c r="D227" t="str">
        <x:v>Menşe belirtilmemiş</x:v>
      </x:c>
      <x:c r="E227" s="1" t="str">
        <x:v>Erişilemedi</x:v>
      </x:c>
      <x:c r="F227" s="2" t="str">
        <x:v>Erişilemedi</x:v>
      </x:c>
      <x:c r="G227" t="str">
        <x:v>Gramaj + fiyat</x:v>
      </x:c>
      <x:c r="H227" t="str">
        <x:v>Site haritası ürün sayfası</x:v>
      </x:c>
      <x:c r="I227" s="28" t="str">
        <x:v>https://coffeelab.com.tr/product/aeropress/</x:v>
      </x:c>
      <x:c r="J227" s="28" t="str">
        <x:v>Ürün kimliği korundu; eksik alanlar erişilemedi olarak işaretlenecek.</x:v>
      </x:c>
    </x:row>
    <x:row r="228">
      <x:c r="A228" t="str">
        <x:v>Coffee Lab</x:v>
      </x:c>
      <x:c r="B228" t="str">
        <x:v>Ürün kaydı</x:v>
      </x:c>
      <x:c r="C228" t="str">
        <x:v>Coffee frappe</x:v>
      </x:c>
      <x:c r="D228" t="str">
        <x:v>Menşe belirtilmemiş</x:v>
      </x:c>
      <x:c r="E228" s="1" t="str">
        <x:v>Erişilemedi</x:v>
      </x:c>
      <x:c r="F228" s="2" t="str">
        <x:v>Erişilemedi</x:v>
      </x:c>
      <x:c r="G228" t="str">
        <x:v>Gramaj + fiyat</x:v>
      </x:c>
      <x:c r="H228" t="str">
        <x:v>Site haritası ürün sayfası</x:v>
      </x:c>
      <x:c r="I228" s="28" t="str">
        <x:v>https://coffeelab.com.tr/product/coffee-frappe/</x:v>
      </x:c>
      <x:c r="J228" s="28" t="str">
        <x:v>Ürün kimliği korundu; eksik alanlar erişilemedi olarak işaretlenecek.</x:v>
      </x:c>
    </x:row>
    <x:row r="229">
      <x:c r="A229" t="str">
        <x:v>Coffee Lab</x:v>
      </x:c>
      <x:c r="B229" t="str">
        <x:v>Ürün kaydı</x:v>
      </x:c>
      <x:c r="C229" t="str">
        <x:v>Cold Brew</x:v>
      </x:c>
      <x:c r="D229" t="str">
        <x:v>Menşe belirtilmemiş</x:v>
      </x:c>
      <x:c r="E229" s="1" t="str">
        <x:v>Erişilemedi</x:v>
      </x:c>
      <x:c r="F229" s="2" t="str">
        <x:v>Erişilemedi</x:v>
      </x:c>
      <x:c r="G229" t="str">
        <x:v>Gramaj + fiyat</x:v>
      </x:c>
      <x:c r="H229" t="str">
        <x:v>Site haritası ürün sayfası</x:v>
      </x:c>
      <x:c r="I229" s="28" t="str">
        <x:v>https://coffeelab.com.tr/product/cold-brew/</x:v>
      </x:c>
      <x:c r="J229" s="28" t="str">
        <x:v>Ürün kimliği korundu; eksik alanlar erişilemedi olarak işaretlenecek.</x:v>
      </x:c>
    </x:row>
    <x:row r="230">
      <x:c r="A230" t="str">
        <x:v>Coffee Lab</x:v>
      </x:c>
      <x:c r="B230" t="str">
        <x:v>Ürün kaydı</x:v>
      </x:c>
      <x:c r="C230" t="str">
        <x:v>Cortado</x:v>
      </x:c>
      <x:c r="D230" t="str">
        <x:v>Menşe belirtilmemiş</x:v>
      </x:c>
      <x:c r="E230" s="1" t="str">
        <x:v>Erişilemedi</x:v>
      </x:c>
      <x:c r="F230" s="2" t="str">
        <x:v>Erişilemedi</x:v>
      </x:c>
      <x:c r="G230" t="str">
        <x:v>Gramaj + fiyat</x:v>
      </x:c>
      <x:c r="H230" t="str">
        <x:v>Site haritası ürün sayfası</x:v>
      </x:c>
      <x:c r="I230" s="28" t="str">
        <x:v>https://coffeelab.com.tr/product/cortado/</x:v>
      </x:c>
      <x:c r="J230" s="28" t="str">
        <x:v>Ürün kimliği korundu; eksik alanlar erişilemedi olarak işaretlenecek.</x:v>
      </x:c>
    </x:row>
    <x:row r="231">
      <x:c r="A231" t="str">
        <x:v>Coffee Lab</x:v>
      </x:c>
      <x:c r="B231" t="str">
        <x:v>Ürün kaydı</x:v>
      </x:c>
      <x:c r="C231" t="str">
        <x:v>Espresso</x:v>
      </x:c>
      <x:c r="D231" t="str">
        <x:v>Menşe belirtilmemiş</x:v>
      </x:c>
      <x:c r="E231" s="1" t="str">
        <x:v>Erişilemedi</x:v>
      </x:c>
      <x:c r="F231" s="2" t="str">
        <x:v>Erişilemedi</x:v>
      </x:c>
      <x:c r="G231" t="str">
        <x:v>Gramaj + fiyat</x:v>
      </x:c>
      <x:c r="H231" t="str">
        <x:v>Site haritası ürün sayfası</x:v>
      </x:c>
      <x:c r="I231" s="28" t="str">
        <x:v>https://coffeelab.com.tr/product/espresso/</x:v>
      </x:c>
      <x:c r="J231" s="28" t="str">
        <x:v>Ürün kimliği korundu; eksik alanlar erişilemedi olarak işaretlenecek.</x:v>
      </x:c>
    </x:row>
    <x:row r="232">
      <x:c r="A232" t="str">
        <x:v>Coffee Lab</x:v>
      </x:c>
      <x:c r="B232" t="str">
        <x:v>Ürün kaydı</x:v>
      </x:c>
      <x:c r="C232" t="str">
        <x:v>Espresso Con Panna</x:v>
      </x:c>
      <x:c r="D232" t="str">
        <x:v>Menşe belirtilmemiş</x:v>
      </x:c>
      <x:c r="E232" s="1" t="str">
        <x:v>Erişilemedi</x:v>
      </x:c>
      <x:c r="F232" s="2" t="str">
        <x:v>Erişilemedi</x:v>
      </x:c>
      <x:c r="G232" t="str">
        <x:v>Gramaj + fiyat</x:v>
      </x:c>
      <x:c r="H232" t="str">
        <x:v>Site haritası ürün sayfası</x:v>
      </x:c>
      <x:c r="I232" s="28" t="str">
        <x:v>https://coffeelab.com.tr/product/espressoconpanna/</x:v>
      </x:c>
      <x:c r="J232" s="28" t="str">
        <x:v>Ürün kimliği korundu; eksik alanlar erişilemedi olarak işaretlenecek.</x:v>
      </x:c>
    </x:row>
    <x:row r="233">
      <x:c r="A233" t="str">
        <x:v>Coffee Lab</x:v>
      </x:c>
      <x:c r="B233" t="str">
        <x:v>Ürün kaydı</x:v>
      </x:c>
      <x:c r="C233" t="str">
        <x:v>Espresso Macchiato</x:v>
      </x:c>
      <x:c r="D233" t="str">
        <x:v>Menşe belirtilmemiş</x:v>
      </x:c>
      <x:c r="E233" s="1" t="str">
        <x:v>Erişilemedi</x:v>
      </x:c>
      <x:c r="F233" s="2" t="str">
        <x:v>Erişilemedi</x:v>
      </x:c>
      <x:c r="G233" t="str">
        <x:v>Gramaj + fiyat</x:v>
      </x:c>
      <x:c r="H233" t="str">
        <x:v>Site haritası ürün sayfası</x:v>
      </x:c>
      <x:c r="I233" s="28" t="str">
        <x:v>https://coffeelab.com.tr/product/espresso-macchiato/</x:v>
      </x:c>
      <x:c r="J233" s="28" t="str">
        <x:v>Ürün kimliği korundu; eksik alanlar erişilemedi olarak işaretlenecek.</x:v>
      </x:c>
    </x:row>
    <x:row r="234">
      <x:c r="A234" t="str">
        <x:v>Coffee Lab</x:v>
      </x:c>
      <x:c r="B234" t="str">
        <x:v>Ürün kaydı</x:v>
      </x:c>
      <x:c r="C234" t="str">
        <x:v>Evinizde Uygulayabileceğiniz Süt Köpürtme Yöntemleri</x:v>
      </x:c>
      <x:c r="D234" t="str">
        <x:v>Menşe belirtilmemiş</x:v>
      </x:c>
      <x:c r="E234" s="1" t="str">
        <x:v>Erişilemedi</x:v>
      </x:c>
      <x:c r="F234" s="2" t="str">
        <x:v>Erişilemedi</x:v>
      </x:c>
      <x:c r="G234" t="str">
        <x:v>Gramaj + fiyat</x:v>
      </x:c>
      <x:c r="H234" t="str">
        <x:v>Site haritası ürün sayfası</x:v>
      </x:c>
      <x:c r="I234" s="28" t="str">
        <x:v>https://coffeelab.com.tr/evinizde-uygulayabileceginiz-sut-kopurtme-yontemleri/</x:v>
      </x:c>
      <x:c r="J234" s="28" t="str">
        <x:v>Ürün kimliği korundu; eksik alanlar erişilemedi olarak işaretlenecek.</x:v>
      </x:c>
    </x:row>
    <x:row r="235">
      <x:c r="A235" t="str">
        <x:v>Coffee Lab</x:v>
      </x:c>
      <x:c r="B235" t="str">
        <x:v>Ürün kaydı</x:v>
      </x:c>
      <x:c r="C235" t="str">
        <x:v>Filtre Kahve</x:v>
      </x:c>
      <x:c r="D235" t="str">
        <x:v>Menşe belirtilmemiş</x:v>
      </x:c>
      <x:c r="E235" s="1" t="str">
        <x:v>Erişilemedi</x:v>
      </x:c>
      <x:c r="F235" s="2" t="str">
        <x:v>Erişilemedi</x:v>
      </x:c>
      <x:c r="G235" t="str">
        <x:v>Gramaj + fiyat</x:v>
      </x:c>
      <x:c r="H235" t="str">
        <x:v>Site haritası ürün sayfası</x:v>
      </x:c>
      <x:c r="I235" s="28" t="str">
        <x:v>https://coffeelab.com.tr/product/filtrekahve/</x:v>
      </x:c>
      <x:c r="J235" s="28" t="str">
        <x:v>Ürün kimliği korundu; eksik alanlar erişilemedi olarak işaretlenecek.</x:v>
      </x:c>
    </x:row>
    <x:row r="236">
      <x:c r="A236" t="str">
        <x:v>Coffee Lab</x:v>
      </x:c>
      <x:c r="B236" t="str">
        <x:v>Ürün kaydı</x:v>
      </x:c>
      <x:c r="C236" t="str">
        <x:v>Iced Coffe</x:v>
      </x:c>
      <x:c r="D236" t="str">
        <x:v>Menşe belirtilmemiş</x:v>
      </x:c>
      <x:c r="E236" s="1" t="str">
        <x:v>Erişilemedi</x:v>
      </x:c>
      <x:c r="F236" s="2" t="str">
        <x:v>Erişilemedi</x:v>
      </x:c>
      <x:c r="G236" t="str">
        <x:v>Gramaj + fiyat</x:v>
      </x:c>
      <x:c r="H236" t="str">
        <x:v>Site haritası ürün sayfası</x:v>
      </x:c>
      <x:c r="I236" s="28" t="str">
        <x:v>https://coffeelab.com.tr/product/icedcoffe/</x:v>
      </x:c>
      <x:c r="J236" s="28" t="str">
        <x:v>Ürün kimliği korundu; eksik alanlar erişilemedi olarak işaretlenecek.</x:v>
      </x:c>
    </x:row>
    <x:row r="237">
      <x:c r="A237" t="str">
        <x:v>Coffee Lab</x:v>
      </x:c>
      <x:c r="B237" t="str">
        <x:v>Ürün kaydı</x:v>
      </x:c>
      <x:c r="C237" t="str">
        <x:v>Iced Mocha</x:v>
      </x:c>
      <x:c r="D237" t="str">
        <x:v>Menşe belirtilmemiş</x:v>
      </x:c>
      <x:c r="E237" s="1" t="str">
        <x:v>Erişilemedi</x:v>
      </x:c>
      <x:c r="F237" s="2" t="str">
        <x:v>Erişilemedi</x:v>
      </x:c>
      <x:c r="G237" t="str">
        <x:v>Gramaj + fiyat</x:v>
      </x:c>
      <x:c r="H237" t="str">
        <x:v>Site haritası ürün sayfası</x:v>
      </x:c>
      <x:c r="I237" s="28" t="str">
        <x:v>https://coffeelab.com.tr/product/icedmocha/</x:v>
      </x:c>
      <x:c r="J237" s="28" t="str">
        <x:v>Ürün kimliği korundu; eksik alanlar erişilemedi olarak işaretlenecek.</x:v>
      </x:c>
    </x:row>
    <x:row r="238">
      <x:c r="A238" t="str">
        <x:v>Coffee Lab</x:v>
      </x:c>
      <x:c r="B238" t="str">
        <x:v>Ürün kaydı</x:v>
      </x:c>
      <x:c r="C238" t="str">
        <x:v>Limonata</x:v>
      </x:c>
      <x:c r="D238" t="str">
        <x:v>Menşe belirtilmemiş</x:v>
      </x:c>
      <x:c r="E238" s="1" t="str">
        <x:v>Erişilemedi</x:v>
      </x:c>
      <x:c r="F238" s="2" t="str">
        <x:v>Erişilemedi</x:v>
      </x:c>
      <x:c r="G238" t="str">
        <x:v>Gramaj + fiyat</x:v>
      </x:c>
      <x:c r="H238" t="str">
        <x:v>Site haritası ürün sayfası</x:v>
      </x:c>
      <x:c r="I238" s="28" t="str">
        <x:v>https://coffeelab.com.tr/product/limonata/</x:v>
      </x:c>
      <x:c r="J238" s="28" t="str">
        <x:v>Ürün kimliği korundu; eksik alanlar erişilemedi olarak işaretlenecek.</x:v>
      </x:c>
    </x:row>
    <x:row r="239">
      <x:c r="A239" t="str">
        <x:v>Coffee Lab</x:v>
      </x:c>
      <x:c r="B239" t="str">
        <x:v>Ürün kaydı</x:v>
      </x:c>
      <x:c r="C239" t="str">
        <x:v>Toffe Coffee Latte</x:v>
      </x:c>
      <x:c r="D239" t="str">
        <x:v>Menşe belirtilmemiş</x:v>
      </x:c>
      <x:c r="E239" s="1" t="str">
        <x:v>Erişilemedi</x:v>
      </x:c>
      <x:c r="F239" s="2" t="str">
        <x:v>Erişilemedi</x:v>
      </x:c>
      <x:c r="G239" t="str">
        <x:v>Gramaj + fiyat</x:v>
      </x:c>
      <x:c r="H239" t="str">
        <x:v>Site haritası ürün sayfası</x:v>
      </x:c>
      <x:c r="I239" s="28" t="str">
        <x:v>https://coffeelab.com.tr/product/toffe-coffee-latte/</x:v>
      </x:c>
      <x:c r="J239" s="28" t="str">
        <x:v>Ürün kimliği korundu; eksik alanlar erişilemedi olarak işaretlenecek.</x:v>
      </x:c>
    </x:row>
    <x:row r="240">
      <x:c r="A240" t="str">
        <x:v>Coffee Lab</x:v>
      </x:c>
      <x:c r="B240" t="str">
        <x:v>Ürün kaydı</x:v>
      </x:c>
      <x:c r="C240" t="str">
        <x:v>Türk kahvesi</x:v>
      </x:c>
      <x:c r="D240" t="str">
        <x:v>Menşe belirtilmemiş</x:v>
      </x:c>
      <x:c r="E240" s="1" t="str">
        <x:v>Erişilemedi</x:v>
      </x:c>
      <x:c r="F240" s="2" t="str">
        <x:v>Erişilemedi</x:v>
      </x:c>
      <x:c r="G240" t="str">
        <x:v>Gramaj + fiyat</x:v>
      </x:c>
      <x:c r="H240" t="str">
        <x:v>Site haritası ürün sayfası</x:v>
      </x:c>
      <x:c r="I240" s="28" t="str">
        <x:v>https://coffeelab.com.tr/product/turkkahvesi/</x:v>
      </x:c>
      <x:c r="J240" s="28" t="str">
        <x:v>Ürün kimliği korundu; eksik alanlar erişilemedi olarak işaretlenecek.</x:v>
      </x:c>
    </x:row>
    <x:row r="241">
      <x:c r="A241" t="str">
        <x:v>Coffee Manifesto</x:v>
      </x:c>
      <x:c r="B241" t="str">
        <x:v>Ürün kaydı</x:v>
      </x:c>
      <x:c r="C241" t="str">
        <x:v>Türk Kahvesi</x:v>
      </x:c>
      <x:c r="D241" t="str">
        <x:v>Menşe belirtilmemiş</x:v>
      </x:c>
      <x:c r="E241" s="1" t="str">
        <x:v>Erişilemedi</x:v>
      </x:c>
      <x:c r="F241" s="2" t="n">
        <x:v>132</x:v>
      </x:c>
      <x:c r="G241" t="str">
        <x:v>Gramaj</x:v>
      </x:c>
      <x:c r="H241" t="str">
        <x:v>WooCommerce Store API</x:v>
      </x:c>
      <x:c r="I241" s="28" t="str">
        <x:v>https://coffeemanifesto.com/product/turk-kahvesi/</x:v>
      </x:c>
      <x:c r="J241" s="28" t="str">
        <x:v>Fiyat veya gramaj eksik olsa da ürün korundu.</x:v>
      </x:c>
    </x:row>
    <x:row r="242">
      <x:c r="A242" t="str">
        <x:v>Coffee Manifesto</x:v>
      </x:c>
      <x:c r="B242" t="str">
        <x:v>Ürün kaydı</x:v>
      </x:c>
      <x:c r="C242" t="str">
        <x:v>Wake Up Call</x:v>
      </x:c>
      <x:c r="D242" t="str">
        <x:v>Menşe belirtilmemiş</x:v>
      </x:c>
      <x:c r="E242" s="1" t="str">
        <x:v>Erişilemedi</x:v>
      </x:c>
      <x:c r="F242" s="2" t="n">
        <x:v>528</x:v>
      </x:c>
      <x:c r="G242" t="str">
        <x:v>Gramaj</x:v>
      </x:c>
      <x:c r="H242" t="str">
        <x:v>WooCommerce Store API</x:v>
      </x:c>
      <x:c r="I242" s="28" t="str">
        <x:v>https://coffeemanifesto.com/product/wake-up-call/</x:v>
      </x:c>
      <x:c r="J242" s="28" t="str">
        <x:v>Fiyat veya gramaj eksik olsa da ürün korundu.</x:v>
      </x:c>
    </x:row>
    <x:row r="243">
      <x:c r="A243" t="str">
        <x:v>Coffee Project</x:v>
      </x:c>
      <x:c r="B243" t="str">
        <x:v>Ürün kaydı</x:v>
      </x:c>
      <x:c r="C243" t="str">
        <x:v>%100 Soya Mum | Ekho Premium Kokulu</x:v>
      </x:c>
      <x:c r="D243" t="str">
        <x:v>Menşe belirtilmemiş</x:v>
      </x:c>
      <x:c r="E243" s="1" t="str">
        <x:v>Erişilemedi</x:v>
      </x:c>
      <x:c r="F243" s="2" t="n">
        <x:v>0</x:v>
      </x:c>
      <x:c r="G243" t="str">
        <x:v>Gramaj + fiyat</x:v>
      </x:c>
      <x:c r="H243" t="str">
        <x:v>Site haritası ürün sayfası</x:v>
      </x:c>
      <x:c r="I243" s="28" t="str">
        <x:v>https://www.coffeeproject.com.tr/100-soya-mum</x:v>
      </x:c>
      <x:c r="J243" s="28" t="str">
        <x:v>Ürün kimliği korundu; eksik alanlar erişilemedi olarak işaretlenecek.</x:v>
      </x:c>
    </x:row>
    <x:row r="244">
      <x:c r="A244" t="str">
        <x:v>Coffee Project</x:v>
      </x:c>
      <x:c r="B244" t="str">
        <x:v>Ürün kaydı</x:v>
      </x:c>
      <x:c r="C244" t="str">
        <x:v>2'li Kumaş Kahve Filtresi | Doğa Dostu Doğal Bez 1x4</x:v>
      </x:c>
      <x:c r="D244" t="str">
        <x:v>Menşe belirtilmemiş</x:v>
      </x:c>
      <x:c r="E244" s="1" t="str">
        <x:v>Erişilemedi</x:v>
      </x:c>
      <x:c r="F244" s="2" t="n">
        <x:v>0</x:v>
      </x:c>
      <x:c r="G244" t="str">
        <x:v>Gramaj + fiyat</x:v>
      </x:c>
      <x:c r="H244" t="str">
        <x:v>Site haritası ürün sayfası</x:v>
      </x:c>
      <x:c r="I244" s="28" t="str">
        <x:v>https://www.coffeeproject.com.tr/2-adet-kumas-kahve-filtresi-dogal</x:v>
      </x:c>
      <x:c r="J244" s="28" t="str">
        <x:v>Ürün kimliği korundu; eksik alanlar erişilemedi olarak işaretlenecek.</x:v>
      </x:c>
    </x:row>
    <x:row r="245">
      <x:c r="A245" t="str">
        <x:v>Coffee Project</x:v>
      </x:c>
      <x:c r="B245" t="str">
        <x:v>Ürün kaydı</x:v>
      </x:c>
      <x:c r="C245" t="str">
        <x:v>4'lü Kahve Tadım Seti</x:v>
      </x:c>
      <x:c r="D245" t="str">
        <x:v>Menşe belirtilmemiş</x:v>
      </x:c>
      <x:c r="E245" s="1" t="str">
        <x:v>Erişilemedi</x:v>
      </x:c>
      <x:c r="F245" s="2" t="n">
        <x:v>0</x:v>
      </x:c>
      <x:c r="G245" t="str">
        <x:v>Gramaj + fiyat</x:v>
      </x:c>
      <x:c r="H245" t="str">
        <x:v>Site haritası ürün sayfası</x:v>
      </x:c>
      <x:c r="I245" s="28" t="str">
        <x:v>https://www.coffeeproject.com.tr/kahveler/tadim-seti</x:v>
      </x:c>
      <x:c r="J245" s="28" t="str">
        <x:v>Ürün kimliği korundu; eksik alanlar erişilemedi olarak işaretlenecek.</x:v>
      </x:c>
    </x:row>
    <x:row r="246">
      <x:c r="A246" t="str">
        <x:v>Coffee Project</x:v>
      </x:c>
      <x:c r="B246" t="str">
        <x:v>Ürün kaydı</x:v>
      </x:c>
      <x:c r="C246" t="str">
        <x:v>Ahşap Telefon / Tablet Standı [Gojo]</x:v>
      </x:c>
      <x:c r="D246" t="str">
        <x:v>Menşe belirtilmemiş</x:v>
      </x:c>
      <x:c r="E246" s="1" t="str">
        <x:v>Erişilemedi</x:v>
      </x:c>
      <x:c r="F246" s="2" t="n">
        <x:v>0</x:v>
      </x:c>
      <x:c r="G246" t="str">
        <x:v>Gramaj + fiyat</x:v>
      </x:c>
      <x:c r="H246" t="str">
        <x:v>Site haritası ürün sayfası</x:v>
      </x:c>
      <x:c r="I246" s="28" t="str">
        <x:v>https://www.coffeeproject.com.tr/ahsap-telefon-tablet-tutacagi-gojo</x:v>
      </x:c>
      <x:c r="J246" s="28" t="str">
        <x:v>Ürün kimliği korundu; eksik alanlar erişilemedi olarak işaretlenecek.</x:v>
      </x:c>
    </x:row>
    <x:row r="247">
      <x:c r="A247" t="str">
        <x:v>Coffee Project</x:v>
      </x:c>
      <x:c r="B247" t="str">
        <x:v>Ürün kaydı</x:v>
      </x:c>
      <x:c r="C247" t="str">
        <x:v>Analog Hassas Süt Termometresi</x:v>
      </x:c>
      <x:c r="D247" t="str">
        <x:v>Menşe belirtilmemiş</x:v>
      </x:c>
      <x:c r="E247" s="1" t="str">
        <x:v>Erişilemedi</x:v>
      </x:c>
      <x:c r="F247" s="2" t="n">
        <x:v>0</x:v>
      </x:c>
      <x:c r="G247" t="str">
        <x:v>Gramaj + fiyat</x:v>
      </x:c>
      <x:c r="H247" t="str">
        <x:v>Site haritası ürün sayfası</x:v>
      </x:c>
      <x:c r="I247" s="28" t="str">
        <x:v>https://www.coffeeproject.com.tr/urunlerimiz/hassas-sut-termometresi</x:v>
      </x:c>
      <x:c r="J247" s="28" t="str">
        <x:v>Ürün kimliği korundu; eksik alanlar erişilemedi olarak işaretlenecek.</x:v>
      </x:c>
    </x:row>
    <x:row r="248">
      <x:c r="A248" t="str">
        <x:v>Coffee Project</x:v>
      </x:c>
      <x:c r="B248" t="str">
        <x:v>Ürün kaydı</x:v>
      </x:c>
      <x:c r="C248" t="str">
        <x:v>Baratza Encore - Otomatik Kahve Öğütücüsü | Siyah</x:v>
      </x:c>
      <x:c r="D248" t="str">
        <x:v>Menşe belirtilmemiş</x:v>
      </x:c>
      <x:c r="E248" s="1" t="str">
        <x:v>Erişilemedi</x:v>
      </x:c>
      <x:c r="F248" s="2" t="n">
        <x:v>0</x:v>
      </x:c>
      <x:c r="G248" t="str">
        <x:v>Gramaj + fiyat</x:v>
      </x:c>
      <x:c r="H248" t="str">
        <x:v>Site haritası ürün sayfası</x:v>
      </x:c>
      <x:c r="I248" s="28" t="str">
        <x:v>https://www.coffeeproject.com.tr/urunlerimiz/baratza-encore-kahve-ogutucu</x:v>
      </x:c>
      <x:c r="J248" s="28" t="str">
        <x:v>Ürün kimliği korundu; eksik alanlar erişilemedi olarak işaretlenecek.</x:v>
      </x:c>
    </x:row>
    <x:row r="249">
      <x:c r="A249" t="str">
        <x:v>Coffee Project</x:v>
      </x:c>
      <x:c r="B249" t="str">
        <x:v>Ürün kaydı</x:v>
      </x:c>
      <x:c r="C249" t="str">
        <x:v>Brezilya, Bella Giana</x:v>
      </x:c>
      <x:c r="D249" t="str">
        <x:v>Brezilya</x:v>
      </x:c>
      <x:c r="E249" s="1" t="str">
        <x:v>Erişilemedi</x:v>
      </x:c>
      <x:c r="F249" s="2" t="n">
        <x:v>0</x:v>
      </x:c>
      <x:c r="G249" t="str">
        <x:v>Gramaj + fiyat</x:v>
      </x:c>
      <x:c r="H249" t="str">
        <x:v>Site haritası ürün sayfası</x:v>
      </x:c>
      <x:c r="I249" s="28" t="str">
        <x:v>https://www.coffeeproject.com.tr/kahveler/brezilya-bella-giana</x:v>
      </x:c>
      <x:c r="J249" s="28" t="str">
        <x:v>Ürün kimliği korundu; eksik alanlar erişilemedi olarak işaretlenecek.</x:v>
      </x:c>
    </x:row>
    <x:row r="250">
      <x:c r="A250" t="str">
        <x:v>Coffee Project</x:v>
      </x:c>
      <x:c r="B250" t="str">
        <x:v>Ürün kaydı</x:v>
      </x:c>
      <x:c r="C250" t="str">
        <x:v>Coffee Project, Türk Kahvesi</x:v>
      </x:c>
      <x:c r="D250" t="str">
        <x:v>Menşe belirtilmemiş</x:v>
      </x:c>
      <x:c r="E250" s="1" t="n">
        <x:v>100</x:v>
      </x:c>
      <x:c r="F250" s="2" t="n">
        <x:v>0</x:v>
      </x:c>
      <x:c r="G250" t="str">
        <x:v>Fiyat</x:v>
      </x:c>
      <x:c r="H250" t="str">
        <x:v>Site haritası ürün sayfası</x:v>
      </x:c>
      <x:c r="I250" s="28" t="str">
        <x:v>https://www.coffeeproject.com.tr/100-gr-turk-kahvesi</x:v>
      </x:c>
      <x:c r="J250" s="28" t="str">
        <x:v>Ürün kimliği korundu; eksik alanlar erişilemedi olarak işaretlenecek.</x:v>
      </x:c>
    </x:row>
    <x:row r="251">
      <x:c r="A251" t="str">
        <x:v>Coffee Project</x:v>
      </x:c>
      <x:c r="B251" t="str">
        <x:v>Ürün kaydı</x:v>
      </x:c>
      <x:c r="C251" t="str">
        <x:v>Coffee Project, Türk Kahvesi</x:v>
      </x:c>
      <x:c r="D251" t="str">
        <x:v>Menşe belirtilmemiş</x:v>
      </x:c>
      <x:c r="E251" s="1" t="n">
        <x:v>1000</x:v>
      </x:c>
      <x:c r="F251" s="2" t="n">
        <x:v>0</x:v>
      </x:c>
      <x:c r="G251" t="str">
        <x:v>Fiyat</x:v>
      </x:c>
      <x:c r="H251" t="str">
        <x:v>Site haritası ürün sayfası</x:v>
      </x:c>
      <x:c r="I251" s="28" t="str">
        <x:v>https://www.coffeeproject.com.tr/turk-kahvesi-turkish-coffee-1kg</x:v>
      </x:c>
      <x:c r="J251" s="28" t="str">
        <x:v>Ürün kimliği korundu; eksik alanlar erişilemedi olarak işaretlenecek.</x:v>
      </x:c>
    </x:row>
    <x:row r="252">
      <x:c r="A252" t="str">
        <x:v>Coffee Project</x:v>
      </x:c>
      <x:c r="B252" t="str">
        <x:v>Ürün kaydı</x:v>
      </x:c>
      <x:c r="C252" t="str">
        <x:v>Cold Brew Coffee, Soğuk Demleme Kahvesi</x:v>
      </x:c>
      <x:c r="D252" t="str">
        <x:v>Menşe belirtilmemiş</x:v>
      </x:c>
      <x:c r="E252" s="1" t="str">
        <x:v>Erişilemedi</x:v>
      </x:c>
      <x:c r="F252" s="2" t="n">
        <x:v>0</x:v>
      </x:c>
      <x:c r="G252" t="str">
        <x:v>Gramaj + fiyat</x:v>
      </x:c>
      <x:c r="H252" t="str">
        <x:v>Site haritası ürün sayfası</x:v>
      </x:c>
      <x:c r="I252" s="28" t="str">
        <x:v>https://www.coffeeproject.com.tr/kahveler/cold-brew</x:v>
      </x:c>
      <x:c r="J252" s="28" t="str">
        <x:v>Ürün kimliği korundu; eksik alanlar erişilemedi olarak işaretlenecek.</x:v>
      </x:c>
    </x:row>
    <x:row r="253">
      <x:c r="A253" t="str">
        <x:v>Coffee Project</x:v>
      </x:c>
      <x:c r="B253" t="str">
        <x:v>Ürün kaydı</x:v>
      </x:c>
      <x:c r="C253" t="str">
        <x:v>Colombia, Excelso</x:v>
      </x:c>
      <x:c r="D253" t="str">
        <x:v>Kolombiya</x:v>
      </x:c>
      <x:c r="E253" s="1" t="str">
        <x:v>Erişilemedi</x:v>
      </x:c>
      <x:c r="F253" s="2" t="n">
        <x:v>0</x:v>
      </x:c>
      <x:c r="G253" t="str">
        <x:v>Gramaj + fiyat</x:v>
      </x:c>
      <x:c r="H253" t="str">
        <x:v>Site haritası ürün sayfası</x:v>
      </x:c>
      <x:c r="I253" s="28" t="str">
        <x:v>https://www.coffeeproject.com.tr/kahveler/colombia-excelso</x:v>
      </x:c>
      <x:c r="J253" s="28" t="str">
        <x:v>Ürün kimliği korundu; eksik alanlar erişilemedi olarak işaretlenecek.</x:v>
      </x:c>
    </x:row>
    <x:row r="254">
      <x:c r="A254" t="str">
        <x:v>Coffee Project</x:v>
      </x:c>
      <x:c r="B254" t="str">
        <x:v>Ürün kaydı</x:v>
      </x:c>
      <x:c r="C254" t="str">
        <x:v>Çift Katmanlı Cam Kahve Bardağı | 250 ml</x:v>
      </x:c>
      <x:c r="D254" t="str">
        <x:v>Menşe belirtilmemiş</x:v>
      </x:c>
      <x:c r="E254" s="1" t="str">
        <x:v>Erişilemedi</x:v>
      </x:c>
      <x:c r="F254" s="2" t="n">
        <x:v>0</x:v>
      </x:c>
      <x:c r="G254" t="str">
        <x:v>Gramaj + fiyat</x:v>
      </x:c>
      <x:c r="H254" t="str">
        <x:v>Site haritası ürün sayfası</x:v>
      </x:c>
      <x:c r="I254" s="28" t="str">
        <x:v>https://www.coffeeproject.com.tr/cift-katmanli-kahve-bardagi-250-ml</x:v>
      </x:c>
      <x:c r="J254" s="28" t="str">
        <x:v>Ürün kimliği korundu; eksik alanlar erişilemedi olarak işaretlenecek.</x:v>
      </x:c>
    </x:row>
    <x:row r="255">
      <x:c r="A255" t="str">
        <x:v>Coffee Project</x:v>
      </x:c>
      <x:c r="B255" t="str">
        <x:v>Ürün kaydı</x:v>
      </x:c>
      <x:c r="C255" t="str">
        <x:v>Dijital Süt Termometresi DT-03</x:v>
      </x:c>
      <x:c r="D255" t="str">
        <x:v>Menşe belirtilmemiş</x:v>
      </x:c>
      <x:c r="E255" s="1" t="str">
        <x:v>Erişilemedi</x:v>
      </x:c>
      <x:c r="F255" s="2" t="n">
        <x:v>0</x:v>
      </x:c>
      <x:c r="G255" t="str">
        <x:v>Gramaj + fiyat</x:v>
      </x:c>
      <x:c r="H255" t="str">
        <x:v>Site haritası ürün sayfası</x:v>
      </x:c>
      <x:c r="I255" s="28" t="str">
        <x:v>https://www.coffeeproject.com.tr/dijital-sut-termometresi-dt-03</x:v>
      </x:c>
      <x:c r="J255" s="28" t="str">
        <x:v>Ürün kimliği korundu; eksik alanlar erişilemedi olarak işaretlenecek.</x:v>
      </x:c>
    </x:row>
    <x:row r="256">
      <x:c r="A256" t="str">
        <x:v>Coffee Project</x:v>
      </x:c>
      <x:c r="B256" t="str">
        <x:v>Ürün kaydı</x:v>
      </x:c>
      <x:c r="C256" t="str">
        <x:v>El Salvador, La Majada</x:v>
      </x:c>
      <x:c r="D256" t="str">
        <x:v>El Salvador</x:v>
      </x:c>
      <x:c r="E256" s="1" t="str">
        <x:v>Erişilemedi</x:v>
      </x:c>
      <x:c r="F256" s="2" t="n">
        <x:v>0</x:v>
      </x:c>
      <x:c r="G256" t="str">
        <x:v>Gramaj + fiyat</x:v>
      </x:c>
      <x:c r="H256" t="str">
        <x:v>Site haritası ürün sayfası</x:v>
      </x:c>
      <x:c r="I256" s="28" t="str">
        <x:v>https://www.coffeeproject.com.tr/urunlerimiz/el-salvador-la-majada</x:v>
      </x:c>
      <x:c r="J256" s="28" t="str">
        <x:v>Ürün kimliği korundu; eksik alanlar erişilemedi olarak işaretlenecek.</x:v>
      </x:c>
    </x:row>
    <x:row r="257">
      <x:c r="A257" t="str">
        <x:v>Coffee Project</x:v>
      </x:c>
      <x:c r="B257" t="str">
        <x:v>Ürün kaydı</x:v>
      </x:c>
      <x:c r="C257" t="str">
        <x:v>Epinox - Hassas Kahve Tartısı</x:v>
      </x:c>
      <x:c r="D257" t="str">
        <x:v>Menşe belirtilmemiş</x:v>
      </x:c>
      <x:c r="E257" s="1" t="str">
        <x:v>Erişilemedi</x:v>
      </x:c>
      <x:c r="F257" s="2" t="n">
        <x:v>0</x:v>
      </x:c>
      <x:c r="G257" t="str">
        <x:v>Gramaj + fiyat</x:v>
      </x:c>
      <x:c r="H257" t="str">
        <x:v>Site haritası ürün sayfası</x:v>
      </x:c>
      <x:c r="I257" s="28" t="str">
        <x:v>https://www.coffeeproject.com.tr/urunlerimiz/hassas-kahve-tartisi</x:v>
      </x:c>
      <x:c r="J257" s="28" t="str">
        <x:v>Ürün kimliği korundu; eksik alanlar erişilemedi olarak işaretlenecek.</x:v>
      </x:c>
    </x:row>
    <x:row r="258">
      <x:c r="A258" t="str">
        <x:v>Coffee Project</x:v>
      </x:c>
      <x:c r="B258" t="str">
        <x:v>Ürün kaydı</x:v>
      </x:c>
      <x:c r="C258" t="str">
        <x:v>Etiyopya, Guji Gigesa</x:v>
      </x:c>
      <x:c r="D258" t="str">
        <x:v>Etiyopya</x:v>
      </x:c>
      <x:c r="E258" s="1" t="str">
        <x:v>Erişilemedi</x:v>
      </x:c>
      <x:c r="F258" s="2" t="n">
        <x:v>0</x:v>
      </x:c>
      <x:c r="G258" t="str">
        <x:v>Gramaj + fiyat</x:v>
      </x:c>
      <x:c r="H258" t="str">
        <x:v>Site haritası ürün sayfası</x:v>
      </x:c>
      <x:c r="I258" s="28" t="str">
        <x:v>https://www.coffeeproject.com.tr/kahveler/etiyopya-guji-gigesa</x:v>
      </x:c>
      <x:c r="J258" s="28" t="str">
        <x:v>Ürün kimliği korundu; eksik alanlar erişilemedi olarak işaretlenecek.</x:v>
      </x:c>
    </x:row>
    <x:row r="259">
      <x:c r="A259" t="str">
        <x:v>Coffee Project</x:v>
      </x:c>
      <x:c r="B259" t="str">
        <x:v>Ürün kaydı</x:v>
      </x:c>
      <x:c r="C259" t="str">
        <x:v>Feel It, Filter Coffee</x:v>
      </x:c>
      <x:c r="D259" t="str">
        <x:v>Menşe belirtilmemiş</x:v>
      </x:c>
      <x:c r="E259" s="1" t="str">
        <x:v>Erişilemedi</x:v>
      </x:c>
      <x:c r="F259" s="2" t="n">
        <x:v>0</x:v>
      </x:c>
      <x:c r="G259" t="str">
        <x:v>Gramaj + fiyat</x:v>
      </x:c>
      <x:c r="H259" t="str">
        <x:v>Site haritası ürün sayfası</x:v>
      </x:c>
      <x:c r="I259" s="28" t="str">
        <x:v>https://www.coffeeproject.com.tr/kahveler/feel-it-filter-coffee</x:v>
      </x:c>
      <x:c r="J259" s="28" t="str">
        <x:v>Ürün kimliği korundu; eksik alanlar erişilemedi olarak işaretlenecek.</x:v>
      </x:c>
    </x:row>
    <x:row r="260">
      <x:c r="A260" t="str">
        <x:v>Coffee Project</x:v>
      </x:c>
      <x:c r="B260" t="str">
        <x:v>Ürün kaydı</x:v>
      </x:c>
      <x:c r="C260" t="str">
        <x:v>Feel It, Filter Coffee</x:v>
      </x:c>
      <x:c r="D260" t="str">
        <x:v>Menşe belirtilmemiş</x:v>
      </x:c>
      <x:c r="E260" s="1" t="n">
        <x:v>1000</x:v>
      </x:c>
      <x:c r="F260" s="2" t="n">
        <x:v>0</x:v>
      </x:c>
      <x:c r="G260" t="str">
        <x:v>Fiyat</x:v>
      </x:c>
      <x:c r="H260" t="str">
        <x:v>Site haritası ürün sayfası</x:v>
      </x:c>
      <x:c r="I260" s="28" t="str">
        <x:v>https://www.coffeeproject.com.tr/filter-coffee-filtre-kahve-feel-it-1-kg</x:v>
      </x:c>
      <x:c r="J260" s="28" t="str">
        <x:v>Ürün kimliği korundu; eksik alanlar erişilemedi olarak işaretlenecek.</x:v>
      </x:c>
    </x:row>
    <x:row r="261">
      <x:c r="A261" t="str">
        <x:v>Coffee Project</x:v>
      </x:c>
      <x:c r="B261" t="str">
        <x:v>Ürün kaydı</x:v>
      </x:c>
      <x:c r="C261" t="str">
        <x:v>Guatemala, Antigua</x:v>
      </x:c>
      <x:c r="D261" t="str">
        <x:v>Guatemala</x:v>
      </x:c>
      <x:c r="E261" s="1" t="str">
        <x:v>Erişilemedi</x:v>
      </x:c>
      <x:c r="F261" s="2" t="n">
        <x:v>0</x:v>
      </x:c>
      <x:c r="G261" t="str">
        <x:v>Gramaj + fiyat</x:v>
      </x:c>
      <x:c r="H261" t="str">
        <x:v>Site haritası ürün sayfası</x:v>
      </x:c>
      <x:c r="I261" s="28" t="str">
        <x:v>https://www.coffeeproject.com.tr/kahveler/guatemala-antigua</x:v>
      </x:c>
      <x:c r="J261" s="28" t="str">
        <x:v>Ürün kimliği korundu; eksik alanlar erişilemedi olarak işaretlenecek.</x:v>
      </x:c>
    </x:row>
    <x:row r="262">
      <x:c r="A262" t="str">
        <x:v>Coffee Project</x:v>
      </x:c>
      <x:c r="B262" t="str">
        <x:v>Ürün kaydı</x:v>
      </x:c>
      <x:c r="C262" t="str">
        <x:v>Hario - Hassas Kahve Tartısı</x:v>
      </x:c>
      <x:c r="D262" t="str">
        <x:v>Menşe belirtilmemiş</x:v>
      </x:c>
      <x:c r="E262" s="1" t="str">
        <x:v>Erişilemedi</x:v>
      </x:c>
      <x:c r="F262" s="2" t="n">
        <x:v>0</x:v>
      </x:c>
      <x:c r="G262" t="str">
        <x:v>Gramaj + fiyat</x:v>
      </x:c>
      <x:c r="H262" t="str">
        <x:v>Site haritası ürün sayfası</x:v>
      </x:c>
      <x:c r="I262" s="28" t="str">
        <x:v>https://www.coffeeproject.com.tr/urunlerimiz/hario-hassas-tarti</x:v>
      </x:c>
      <x:c r="J262" s="28" t="str">
        <x:v>Ürün kimliği korundu; eksik alanlar erişilemedi olarak işaretlenecek.</x:v>
      </x:c>
    </x:row>
    <x:row r="263">
      <x:c r="A263" t="str">
        <x:v>Coffee Project</x:v>
      </x:c>
      <x:c r="B263" t="str">
        <x:v>Ürün kaydı</x:v>
      </x:c>
      <x:c r="C263" t="str">
        <x:v>Hario - Kahve Demleme Tartısı “Wide”</x:v>
      </x:c>
      <x:c r="D263" t="str">
        <x:v>Menşe belirtilmemiş</x:v>
      </x:c>
      <x:c r="E263" s="1" t="str">
        <x:v>Erişilemedi</x:v>
      </x:c>
      <x:c r="F263" s="2" t="n">
        <x:v>0</x:v>
      </x:c>
      <x:c r="G263" t="str">
        <x:v>Gramaj + fiyat</x:v>
      </x:c>
      <x:c r="H263" t="str">
        <x:v>Site haritası ürün sayfası</x:v>
      </x:c>
      <x:c r="I263" s="28" t="str">
        <x:v>https://www.coffeeproject.com.tr/hario-drip-tartisi-wide</x:v>
      </x:c>
      <x:c r="J263" s="28" t="str">
        <x:v>Ürün kimliği korundu; eksik alanlar erişilemedi olarak işaretlenecek.</x:v>
      </x:c>
    </x:row>
    <x:row r="264">
      <x:c r="A264" t="str">
        <x:v>Coffee Project</x:v>
      </x:c>
      <x:c r="B264" t="str">
        <x:v>Ürün kaydı</x:v>
      </x:c>
      <x:c r="C264" t="str">
        <x:v>Kahve Çuvalı | 1 adet</x:v>
      </x:c>
      <x:c r="D264" t="str">
        <x:v>Menşe belirtilmemiş</x:v>
      </x:c>
      <x:c r="E264" s="1" t="str">
        <x:v>Erişilemedi</x:v>
      </x:c>
      <x:c r="F264" s="2" t="n">
        <x:v>0</x:v>
      </x:c>
      <x:c r="G264" t="str">
        <x:v>Gramaj + fiyat</x:v>
      </x:c>
      <x:c r="H264" t="str">
        <x:v>Site haritası ürün sayfası</x:v>
      </x:c>
      <x:c r="I264" s="28" t="str">
        <x:v>https://www.coffeeproject.com.tr/urunlerimiz/kahve-cuvali</x:v>
      </x:c>
      <x:c r="J264" s="28" t="str">
        <x:v>Ürün kimliği korundu; eksik alanlar erişilemedi olarak işaretlenecek.</x:v>
      </x:c>
    </x:row>
    <x:row r="265">
      <x:c r="A265" t="str">
        <x:v>Coffee Project</x:v>
      </x:c>
      <x:c r="B265" t="str">
        <x:v>Ürün kaydı</x:v>
      </x:c>
      <x:c r="C265" t="str">
        <x:v>Kahve Düzleştirici - Distribütör | 58 mm</x:v>
      </x:c>
      <x:c r="D265" t="str">
        <x:v>Menşe belirtilmemiş</x:v>
      </x:c>
      <x:c r="E265" s="1" t="str">
        <x:v>Erişilemedi</x:v>
      </x:c>
      <x:c r="F265" s="2" t="n">
        <x:v>0</x:v>
      </x:c>
      <x:c r="G265" t="str">
        <x:v>Gramaj + fiyat</x:v>
      </x:c>
      <x:c r="H265" t="str">
        <x:v>Site haritası ürün sayfası</x:v>
      </x:c>
      <x:c r="I265" s="28" t="str">
        <x:v>https://www.coffeeproject.com.tr/kahve-duzlestirici-distributor-58-mm-564</x:v>
      </x:c>
      <x:c r="J265" s="28" t="str">
        <x:v>Ürün kimliği korundu; eksik alanlar erişilemedi olarak işaretlenecek.</x:v>
      </x:c>
    </x:row>
    <x:row r="266">
      <x:c r="A266" t="str">
        <x:v>Coffee Project</x:v>
      </x:c>
      <x:c r="B266" t="str">
        <x:v>Ürün kaydı</x:v>
      </x:c>
      <x:c r="C266" t="str">
        <x:v>Kahve Ölçü Kaşığı ve Paket Klipsi | Gri</x:v>
      </x:c>
      <x:c r="D266" t="str">
        <x:v>Menşe belirtilmemiş</x:v>
      </x:c>
      <x:c r="E266" s="1" t="str">
        <x:v>Erişilemedi</x:v>
      </x:c>
      <x:c r="F266" s="2" t="n">
        <x:v>0</x:v>
      </x:c>
      <x:c r="G266" t="str">
        <x:v>Gramaj + fiyat</x:v>
      </x:c>
      <x:c r="H266" t="str">
        <x:v>Site haritası ürün sayfası</x:v>
      </x:c>
      <x:c r="I266" s="28" t="str">
        <x:v>https://www.coffeeproject.com.tr/kahve-olcu-kasigi-ve-paket-klipsi-gri</x:v>
      </x:c>
      <x:c r="J266" s="28" t="str">
        <x:v>Ürün kimliği korundu; eksik alanlar erişilemedi olarak işaretlenecek.</x:v>
      </x:c>
    </x:row>
    <x:row r="267">
      <x:c r="A267" t="str">
        <x:v>Coffee Project</x:v>
      </x:c>
      <x:c r="B267" t="str">
        <x:v>Ürün kaydı</x:v>
      </x:c>
      <x:c r="C267" t="str">
        <x:v>Kahve Tamper - Ahşap Saplı | 58 mm</x:v>
      </x:c>
      <x:c r="D267" t="str">
        <x:v>Menşe belirtilmemiş</x:v>
      </x:c>
      <x:c r="E267" s="1" t="str">
        <x:v>Erişilemedi</x:v>
      </x:c>
      <x:c r="F267" s="2" t="n">
        <x:v>0</x:v>
      </x:c>
      <x:c r="G267" t="str">
        <x:v>Gramaj + fiyat</x:v>
      </x:c>
      <x:c r="H267" t="str">
        <x:v>Site haritası ürün sayfası</x:v>
      </x:c>
      <x:c r="I267" s="28" t="str">
        <x:v>https://www.coffeeproject.com.tr/kahve-tamper-ahsap-sapli-58-mm-562</x:v>
      </x:c>
      <x:c r="J267" s="28" t="str">
        <x:v>Ürün kimliği korundu; eksik alanlar erişilemedi olarak işaretlenecek.</x:v>
      </x:c>
    </x:row>
    <x:row r="268">
      <x:c r="A268" t="str">
        <x:v>Coffee Project</x:v>
      </x:c>
      <x:c r="B268" t="str">
        <x:v>Ürün kaydı</x:v>
      </x:c>
      <x:c r="C268" t="str">
        <x:v>Kahve Tamper - Alüminyum Saplı | 58 mm</x:v>
      </x:c>
      <x:c r="D268" t="str">
        <x:v>Menşe belirtilmemiş</x:v>
      </x:c>
      <x:c r="E268" s="1" t="str">
        <x:v>Erişilemedi</x:v>
      </x:c>
      <x:c r="F268" s="2" t="n">
        <x:v>0</x:v>
      </x:c>
      <x:c r="G268" t="str">
        <x:v>Gramaj + fiyat</x:v>
      </x:c>
      <x:c r="H268" t="str">
        <x:v>Site haritası ürün sayfası</x:v>
      </x:c>
      <x:c r="I268" s="28" t="str">
        <x:v>https://www.coffeeproject.com.tr/kahve-tamper-aluminyum-sapli-58-mm-561</x:v>
      </x:c>
      <x:c r="J268" s="28" t="str">
        <x:v>Ürün kimliği korundu; eksik alanlar erişilemedi olarak işaretlenecek.</x:v>
      </x:c>
    </x:row>
    <x:row r="269">
      <x:c r="A269" t="str">
        <x:v>Coffee Project</x:v>
      </x:c>
      <x:c r="B269" t="str">
        <x:v>Ürün kaydı</x:v>
      </x:c>
      <x:c r="C269" t="str">
        <x:v>Kahve Tamper - Click Tamper Basınç Ayarlı | 58 mm</x:v>
      </x:c>
      <x:c r="D269" t="str">
        <x:v>Menşe belirtilmemiş</x:v>
      </x:c>
      <x:c r="E269" s="1" t="str">
        <x:v>Erişilemedi</x:v>
      </x:c>
      <x:c r="F269" s="2" t="n">
        <x:v>0</x:v>
      </x:c>
      <x:c r="G269" t="str">
        <x:v>Gramaj + fiyat</x:v>
      </x:c>
      <x:c r="H269" t="str">
        <x:v>Site haritası ürün sayfası</x:v>
      </x:c>
      <x:c r="I269" s="28" t="str">
        <x:v>https://www.coffeeproject.com.tr/kahve-tamper-click-tamper-basinc-ayarli-58-mm-563</x:v>
      </x:c>
      <x:c r="J269" s="28" t="str">
        <x:v>Ürün kimliği korundu; eksik alanlar erişilemedi olarak işaretlenecek.</x:v>
      </x:c>
    </x:row>
    <x:row r="270">
      <x:c r="A270" t="str">
        <x:v>Coffee Project</x:v>
      </x:c>
      <x:c r="B270" t="str">
        <x:v>Ürün kaydı</x:v>
      </x:c>
      <x:c r="C270" t="str">
        <x:v>Kapsül Kahve 8'li | Nespresso Uyumlu</x:v>
      </x:c>
      <x:c r="D270" t="str">
        <x:v>Menşe belirtilmemiş</x:v>
      </x:c>
      <x:c r="E270" s="1" t="str">
        <x:v>Erişilemedi</x:v>
      </x:c>
      <x:c r="F270" s="2" t="n">
        <x:v>0</x:v>
      </x:c>
      <x:c r="G270" t="str">
        <x:v>Gramaj + fiyat</x:v>
      </x:c>
      <x:c r="H270" t="str">
        <x:v>Site haritası ürün sayfası</x:v>
      </x:c>
      <x:c r="I270" s="28" t="str">
        <x:v>https://www.coffeeproject.com.tr/urunlerimiz/kapsul-kahve</x:v>
      </x:c>
      <x:c r="J270" s="28" t="str">
        <x:v>Ürün kimliği korundu; eksik alanlar erişilemedi olarak işaretlenecek.</x:v>
      </x:c>
    </x:row>
    <x:row r="271">
      <x:c r="A271" t="str">
        <x:v>Coffee Project</x:v>
      </x:c>
      <x:c r="B271" t="str">
        <x:v>Ürün kaydı</x:v>
      </x:c>
      <x:c r="C271" t="str">
        <x:v>Knockbox | Kahve Posası Temizleme Kutusu - Çelik</x:v>
      </x:c>
      <x:c r="D271" t="str">
        <x:v>Menşe belirtilmemiş</x:v>
      </x:c>
      <x:c r="E271" s="1" t="str">
        <x:v>Erişilemedi</x:v>
      </x:c>
      <x:c r="F271" s="2" t="n">
        <x:v>0</x:v>
      </x:c>
      <x:c r="G271" t="str">
        <x:v>Gramaj + fiyat</x:v>
      </x:c>
      <x:c r="H271" t="str">
        <x:v>Site haritası ürün sayfası</x:v>
      </x:c>
      <x:c r="I271" s="28" t="str">
        <x:v>https://www.coffeeproject.com.tr/knockbox-kahve-posasi-temizleme-kutusu-celik-555</x:v>
      </x:c>
      <x:c r="J271" s="28" t="str">
        <x:v>Ürün kimliği korundu; eksik alanlar erişilemedi olarak işaretlenecek.</x:v>
      </x:c>
    </x:row>
    <x:row r="272">
      <x:c r="A272" t="str">
        <x:v>Coffee Project</x:v>
      </x:c>
      <x:c r="B272" t="str">
        <x:v>Ürün kaydı</x:v>
      </x:c>
      <x:c r="C272" t="str">
        <x:v>Knockbox | Kahve Posası Temizleme Kutusu - Siyah Çelik</x:v>
      </x:c>
      <x:c r="D272" t="str">
        <x:v>Menşe belirtilmemiş</x:v>
      </x:c>
      <x:c r="E272" s="1" t="str">
        <x:v>Erişilemedi</x:v>
      </x:c>
      <x:c r="F272" s="2" t="n">
        <x:v>0</x:v>
      </x:c>
      <x:c r="G272" t="str">
        <x:v>Gramaj + fiyat</x:v>
      </x:c>
      <x:c r="H272" t="str">
        <x:v>Site haritası ürün sayfası</x:v>
      </x:c>
      <x:c r="I272" s="28" t="str">
        <x:v>https://www.coffeeproject.com.tr/knockbox-kahve-posasi-temizleme-kutusu-siyah-celik-559</x:v>
      </x:c>
      <x:c r="J272" s="28" t="str">
        <x:v>Ürün kimliği korundu; eksik alanlar erişilemedi olarak işaretlenecek.</x:v>
      </x:c>
    </x:row>
    <x:row r="273">
      <x:c r="A273" t="str">
        <x:v>Coffee Project</x:v>
      </x:c>
      <x:c r="B273" t="str">
        <x:v>Ürün kaydı</x:v>
      </x:c>
      <x:c r="C273" t="str">
        <x:v>Kumaş Kahve Filtresi | Doğa Dostu Doğal Bez 1x4</x:v>
      </x:c>
      <x:c r="D273" t="str">
        <x:v>Menşe belirtilmemiş</x:v>
      </x:c>
      <x:c r="E273" s="1" t="str">
        <x:v>Erişilemedi</x:v>
      </x:c>
      <x:c r="F273" s="2" t="n">
        <x:v>0</x:v>
      </x:c>
      <x:c r="G273" t="str">
        <x:v>Gramaj + fiyat</x:v>
      </x:c>
      <x:c r="H273" t="str">
        <x:v>Site haritası ürün sayfası</x:v>
      </x:c>
      <x:c r="I273" s="28" t="str">
        <x:v>https://www.coffeeproject.com.tr/urunlerimiz/kumas-kahve-filtresi-dogal</x:v>
      </x:c>
      <x:c r="J273" s="28" t="str">
        <x:v>Ürün kimliği korundu; eksik alanlar erişilemedi olarak işaretlenecek.</x:v>
      </x:c>
    </x:row>
    <x:row r="274">
      <x:c r="A274" t="str">
        <x:v>Coffee Project</x:v>
      </x:c>
      <x:c r="B274" t="str">
        <x:v>Ürün kaydı</x:v>
      </x:c>
      <x:c r="C274" t="str">
        <x:v>MoccaMaster Cam Pot 1,2 lt [Yedek]</x:v>
      </x:c>
      <x:c r="D274" t="str">
        <x:v>Menşe belirtilmemiş</x:v>
      </x:c>
      <x:c r="E274" s="1" t="str">
        <x:v>Erişilemedi</x:v>
      </x:c>
      <x:c r="F274" s="2" t="n">
        <x:v>0</x:v>
      </x:c>
      <x:c r="G274" t="str">
        <x:v>Gramaj + fiyat</x:v>
      </x:c>
      <x:c r="H274" t="str">
        <x:v>Site haritası ürün sayfası</x:v>
      </x:c>
      <x:c r="I274" s="28" t="str">
        <x:v>https://www.coffeeproject.com.tr/moccamaster-cam-pot-12-lt-203</x:v>
      </x:c>
      <x:c r="J274" s="28" t="str">
        <x:v>Ürün kimliği korundu; eksik alanlar erişilemedi olarak işaretlenecek.</x:v>
      </x:c>
    </x:row>
    <x:row r="275">
      <x:c r="A275" t="str">
        <x:v>Coffee Project</x:v>
      </x:c>
      <x:c r="B275" t="str">
        <x:v>Ürün kaydı</x:v>
      </x:c>
      <x:c r="C275" t="str">
        <x:v>Motta - Espresso Ölçü Bardağı</x:v>
      </x:c>
      <x:c r="D275" t="str">
        <x:v>Menşe belirtilmemiş</x:v>
      </x:c>
      <x:c r="E275" s="1" t="str">
        <x:v>Erişilemedi</x:v>
      </x:c>
      <x:c r="F275" s="2" t="n">
        <x:v>0</x:v>
      </x:c>
      <x:c r="G275" t="str">
        <x:v>Gramaj + fiyat</x:v>
      </x:c>
      <x:c r="H275" t="str">
        <x:v>Site haritası ürün sayfası</x:v>
      </x:c>
      <x:c r="I275" s="28" t="str">
        <x:v>https://www.coffeeproject.com.tr/motta-olculu-espresso-bardagi</x:v>
      </x:c>
      <x:c r="J275" s="28" t="str">
        <x:v>Ürün kimliği korundu; eksik alanlar erişilemedi olarak işaretlenecek.</x:v>
      </x:c>
    </x:row>
    <x:row r="276">
      <x:c r="A276" t="str">
        <x:v>Coffee Project</x:v>
      </x:c>
      <x:c r="B276" t="str">
        <x:v>Ürün kaydı</x:v>
      </x:c>
      <x:c r="C276" t="str">
        <x:v>Motta Kahve Düzleştirici - Distribütör OCD | 58 mm Siyah</x:v>
      </x:c>
      <x:c r="D276" t="str">
        <x:v>Menşe belirtilmemiş</x:v>
      </x:c>
      <x:c r="E276" s="1" t="str">
        <x:v>Erişilemedi</x:v>
      </x:c>
      <x:c r="F276" s="2" t="n">
        <x:v>0</x:v>
      </x:c>
      <x:c r="G276" t="str">
        <x:v>Gramaj + fiyat</x:v>
      </x:c>
      <x:c r="H276" t="str">
        <x:v>Site haritası ürün sayfası</x:v>
      </x:c>
      <x:c r="I276" s="28" t="str">
        <x:v>https://www.coffeeproject.com.tr/motta-kahve-duzlestirici-distributor-ocd-58-mm-siyah</x:v>
      </x:c>
      <x:c r="J276" s="28" t="str">
        <x:v>Ürün kimliği korundu; eksik alanlar erişilemedi olarak işaretlenecek.</x:v>
      </x:c>
    </x:row>
    <x:row r="277">
      <x:c r="A277" t="str">
        <x:v>Coffee Project</x:v>
      </x:c>
      <x:c r="B277" t="str">
        <x:v>Ürün kaydı</x:v>
      </x:c>
      <x:c r="C277" t="str">
        <x:v>Peru, Kafeinsiz Kahve (Decaf)</x:v>
      </x:c>
      <x:c r="D277" t="str">
        <x:v>Peru</x:v>
      </x:c>
      <x:c r="E277" s="1" t="str">
        <x:v>Erişilemedi</x:v>
      </x:c>
      <x:c r="F277" s="2" t="n">
        <x:v>0</x:v>
      </x:c>
      <x:c r="G277" t="str">
        <x:v>Gramaj + fiyat</x:v>
      </x:c>
      <x:c r="H277" t="str">
        <x:v>Site haritası ürün sayfası</x:v>
      </x:c>
      <x:c r="I277" s="28" t="str">
        <x:v>https://www.coffeeproject.com.tr/kahveler/peru-kafeinsiz-kahve-decaf</x:v>
      </x:c>
      <x:c r="J277" s="28" t="str">
        <x:v>Ürün kimliği korundu; eksik alanlar erişilemedi olarak işaretlenecek.</x:v>
      </x:c>
    </x:row>
    <x:row r="278">
      <x:c r="A278" t="str">
        <x:v>Coffee Project</x:v>
      </x:c>
      <x:c r="B278" t="str">
        <x:v>Ürün kaydı</x:v>
      </x:c>
      <x:c r="C278" t="str">
        <x:v>Profesyonel Dijital Süt Termometresi</x:v>
      </x:c>
      <x:c r="D278" t="str">
        <x:v>Menşe belirtilmemiş</x:v>
      </x:c>
      <x:c r="E278" s="1" t="str">
        <x:v>Erişilemedi</x:v>
      </x:c>
      <x:c r="F278" s="2" t="n">
        <x:v>0</x:v>
      </x:c>
      <x:c r="G278" t="str">
        <x:v>Gramaj + fiyat</x:v>
      </x:c>
      <x:c r="H278" t="str">
        <x:v>Site haritası ürün sayfası</x:v>
      </x:c>
      <x:c r="I278" s="28" t="str">
        <x:v>https://www.coffeeproject.com.tr/dijital-sut-termometresi</x:v>
      </x:c>
      <x:c r="J278" s="28" t="str">
        <x:v>Ürün kimliği korundu; eksik alanlar erişilemedi olarak işaretlenecek.</x:v>
      </x:c>
    </x:row>
    <x:row r="279">
      <x:c r="A279" t="str">
        <x:v>Coffee Project</x:v>
      </x:c>
      <x:c r="B279" t="str">
        <x:v>Ürün kaydı</x:v>
      </x:c>
      <x:c r="C279" t="str">
        <x:v>Tamper Matı Bir Gözlü Bir Yuvalı | Kokusuz Silikon</x:v>
      </x:c>
      <x:c r="D279" t="str">
        <x:v>Menşe belirtilmemiş</x:v>
      </x:c>
      <x:c r="E279" s="1" t="str">
        <x:v>Erişilemedi</x:v>
      </x:c>
      <x:c r="F279" s="2" t="n">
        <x:v>0</x:v>
      </x:c>
      <x:c r="G279" t="str">
        <x:v>Gramaj + fiyat</x:v>
      </x:c>
      <x:c r="H279" t="str">
        <x:v>Site haritası ürün sayfası</x:v>
      </x:c>
      <x:c r="I279" s="28" t="str">
        <x:v>https://www.coffeeproject.com.tr/tamper-mati-bir-gozlu-bir-yuvali-kokusuz-silikon-557</x:v>
      </x:c>
      <x:c r="J279" s="28" t="str">
        <x:v>Ürün kimliği korundu; eksik alanlar erişilemedi olarak işaretlenecek.</x:v>
      </x:c>
    </x:row>
    <x:row r="280">
      <x:c r="A280" t="str">
        <x:v>Coffee Project</x:v>
      </x:c>
      <x:c r="B280" t="str">
        <x:v>Ürün kaydı</x:v>
      </x:c>
      <x:c r="C280" t="str">
        <x:v>Tamper Matı İki Gözlü İki Yuvalı | Kokusuz Silikon</x:v>
      </x:c>
      <x:c r="D280" t="str">
        <x:v>Menşe belirtilmemiş</x:v>
      </x:c>
      <x:c r="E280" s="1" t="str">
        <x:v>Erişilemedi</x:v>
      </x:c>
      <x:c r="F280" s="2" t="n">
        <x:v>0</x:v>
      </x:c>
      <x:c r="G280" t="str">
        <x:v>Gramaj + fiyat</x:v>
      </x:c>
      <x:c r="H280" t="str">
        <x:v>Site haritası ürün sayfası</x:v>
      </x:c>
      <x:c r="I280" s="28" t="str">
        <x:v>https://www.coffeeproject.com.tr/tamper-mati-iki-gozlu-iki-yuvali-kokusuz-silikon-556</x:v>
      </x:c>
      <x:c r="J280" s="28" t="str">
        <x:v>Ürün kimliği korundu; eksik alanlar erişilemedi olarak işaretlenecek.</x:v>
      </x:c>
    </x:row>
    <x:row r="281">
      <x:c r="A281" t="str">
        <x:v>Coffee Project</x:v>
      </x:c>
      <x:c r="B281" t="str">
        <x:v>Ürün kaydı</x:v>
      </x:c>
      <x:c r="C281" t="str">
        <x:v>Tanzanya, Klimanjaro</x:v>
      </x:c>
      <x:c r="D281" t="str">
        <x:v>Tanzanya</x:v>
      </x:c>
      <x:c r="E281" s="1" t="str">
        <x:v>Erişilemedi</x:v>
      </x:c>
      <x:c r="F281" s="2" t="n">
        <x:v>0</x:v>
      </x:c>
      <x:c r="G281" t="str">
        <x:v>Gramaj + fiyat</x:v>
      </x:c>
      <x:c r="H281" t="str">
        <x:v>Site haritası ürün sayfası</x:v>
      </x:c>
      <x:c r="I281" s="28" t="str">
        <x:v>https://www.coffeeproject.com.tr/kahveler/tanzanya-klimanjaro</x:v>
      </x:c>
      <x:c r="J281" s="28" t="str">
        <x:v>Ürün kimliği korundu; eksik alanlar erişilemedi olarak işaretlenecek.</x:v>
      </x:c>
    </x:row>
    <x:row r="282">
      <x:c r="A282" t="str">
        <x:v>Coffee Project</x:v>
      </x:c>
      <x:c r="B282" t="str">
        <x:v>Ürün kaydı</x:v>
      </x:c>
      <x:c r="C282" t="str">
        <x:v>This Is It, Espresso Coffee</x:v>
      </x:c>
      <x:c r="D282" t="str">
        <x:v>Menşe belirtilmemiş</x:v>
      </x:c>
      <x:c r="E282" s="1" t="str">
        <x:v>Erişilemedi</x:v>
      </x:c>
      <x:c r="F282" s="2" t="n">
        <x:v>0</x:v>
      </x:c>
      <x:c r="G282" t="str">
        <x:v>Gramaj + fiyat</x:v>
      </x:c>
      <x:c r="H282" t="str">
        <x:v>Site haritası ürün sayfası</x:v>
      </x:c>
      <x:c r="I282" s="28" t="str">
        <x:v>https://www.coffeeproject.com.tr/kahveler/this-is-it-espresso-coffee</x:v>
      </x:c>
      <x:c r="J282" s="28" t="str">
        <x:v>Ürün kimliği korundu; eksik alanlar erişilemedi olarak işaretlenecek.</x:v>
      </x:c>
    </x:row>
    <x:row r="283">
      <x:c r="A283" t="str">
        <x:v>Coffee Project</x:v>
      </x:c>
      <x:c r="B283" t="str">
        <x:v>Ürün kaydı</x:v>
      </x:c>
      <x:c r="C283" t="str">
        <x:v>This Is It, Espresso Coffee (Toptan)</x:v>
      </x:c>
      <x:c r="D283" t="str">
        <x:v>Menşe belirtilmemiş</x:v>
      </x:c>
      <x:c r="E283" s="1" t="n">
        <x:v>1000</x:v>
      </x:c>
      <x:c r="F283" s="2" t="n">
        <x:v>0</x:v>
      </x:c>
      <x:c r="G283" t="str">
        <x:v>Fiyat</x:v>
      </x:c>
      <x:c r="H283" t="str">
        <x:v>Site haritası ürün sayfası</x:v>
      </x:c>
      <x:c r="I283" s="28" t="str">
        <x:v>https://www.coffeeproject.com.tr/this-is-it-espresso-coffee-toptan</x:v>
      </x:c>
      <x:c r="J283" s="28" t="str">
        <x:v>Ürün kimliği korundu; eksik alanlar erişilemedi olarak işaretlenecek.</x:v>
      </x:c>
    </x:row>
    <x:row r="284">
      <x:c r="A284" t="str">
        <x:v>Coffee Project</x:v>
      </x:c>
      <x:c r="B284" t="str">
        <x:v>Ürün kaydı</x:v>
      </x:c>
      <x:c r="C284" t="str">
        <x:v>Türk Kahvesi – Turkish Coffee</x:v>
      </x:c>
      <x:c r="D284" t="str">
        <x:v>Menşe belirtilmemiş</x:v>
      </x:c>
      <x:c r="E284" s="1" t="str">
        <x:v>Erişilemedi</x:v>
      </x:c>
      <x:c r="F284" s="2" t="n">
        <x:v>0</x:v>
      </x:c>
      <x:c r="G284" t="str">
        <x:v>Gramaj + fiyat</x:v>
      </x:c>
      <x:c r="H284" t="str">
        <x:v>Site haritası ürün sayfası</x:v>
      </x:c>
      <x:c r="I284" s="28" t="str">
        <x:v>https://www.coffeeproject.com.tr/turk-kahvesi-turkish-coffee</x:v>
      </x:c>
      <x:c r="J284" s="28" t="str">
        <x:v>Ürün kimliği korundu; eksik alanlar erişilemedi olarak işaretlenecek.</x:v>
      </x:c>
    </x:row>
    <x:row r="285">
      <x:c r="A285" t="str">
        <x:v>Coffee Sapiens</x:v>
      </x:c>
      <x:c r="B285" t="str">
        <x:v>Katalog takip kaydı</x:v>
      </x:c>
      <x:c r="C285" t="str">
        <x:v>Ürün kataloğu — ayrıntılı ürün verisine erişilemedi</x:v>
      </x:c>
      <x:c r="D285" t="str">
        <x:v>Erişilemedi</x:v>
      </x:c>
      <x:c r="E285" s="1" t="str">
        <x:v>Erişilemedi</x:v>
      </x:c>
      <x:c r="F285" s="2" t="str">
        <x:v>Erişilemedi</x:v>
      </x:c>
      <x:c r="G285" t="str">
        <x:v>Gramaj + fiyat</x:v>
      </x:c>
      <x:c r="H285" t="str">
        <x:v>Mağaza/katalog bağlantısı</x:v>
      </x:c>
      <x:c r="I285" s="28" t="str">
        <x:v>https://www.coffeesapiens.com/pages/coffee-roasting</x:v>
      </x:c>
      <x:c r="J285" s="28" t="str">
        <x:v>Ürün adı, gramaj ve fiyat birlikte çıkarılamadı. Bağlantı manuel inceleme için korundu.</x:v>
      </x:c>
    </x:row>
    <x:row r="286">
      <x:c r="A286" t="str">
        <x:v>Coffee Tropic</x:v>
      </x:c>
      <x:c r="B286" t="str">
        <x:v>Ürün kaydı</x:v>
      </x:c>
      <x:c r="C286" t="str">
        <x:v>Artisan Espresso Blend No.2 (Toptan)</x:v>
      </x:c>
      <x:c r="D286" t="str">
        <x:v>Brezilya</x:v>
      </x:c>
      <x:c r="E286" s="1" t="str">
        <x:v>Erişilemedi</x:v>
      </x:c>
      <x:c r="F286" s="2" t="n">
        <x:v>5550</x:v>
      </x:c>
      <x:c r="G286" t="str">
        <x:v>Gramaj</x:v>
      </x:c>
      <x:c r="H286" t="str">
        <x:v>WooCommerce Store API</x:v>
      </x:c>
      <x:c r="I286" s="28" t="str">
        <x:v>https://coffeetropic.com/urun/artisan-espresso-blend-no-2-toptan/</x:v>
      </x:c>
      <x:c r="J286" s="28" t="str">
        <x:v>Fiyat veya gramaj eksik olsa da ürün korundu.</x:v>
      </x:c>
    </x:row>
    <x:row r="287">
      <x:c r="A287" t="str">
        <x:v>Coffee Tropic</x:v>
      </x:c>
      <x:c r="B287" t="str">
        <x:v>Ürün kaydı</x:v>
      </x:c>
      <x:c r="C287" t="str">
        <x:v>Artisan Espresso Blend No.3 (Toptan)</x:v>
      </x:c>
      <x:c r="D287" t="str">
        <x:v>Honduras</x:v>
      </x:c>
      <x:c r="E287" s="1" t="str">
        <x:v>Erişilemedi</x:v>
      </x:c>
      <x:c r="F287" s="2" t="n">
        <x:v>5370</x:v>
      </x:c>
      <x:c r="G287" t="str">
        <x:v>Gramaj</x:v>
      </x:c>
      <x:c r="H287" t="str">
        <x:v>WooCommerce Store API</x:v>
      </x:c>
      <x:c r="I287" s="28" t="str">
        <x:v>https://coffeetropic.com/urun/artisan-espresso-blend-no-3-toptan/</x:v>
      </x:c>
      <x:c r="J287" s="28" t="str">
        <x:v>Fiyat veya gramaj eksik olsa da ürün korundu.</x:v>
      </x:c>
    </x:row>
    <x:row r="288">
      <x:c r="A288" t="str">
        <x:v>Coffee.dat</x:v>
      </x:c>
      <x:c r="B288" t="str">
        <x:v>Katalog takip kaydı</x:v>
      </x:c>
      <x:c r="C288" t="str">
        <x:v>Ürün kataloğu — ayrıntılı ürün verisine erişilemedi</x:v>
      </x:c>
      <x:c r="D288" t="str">
        <x:v>Erişilemedi</x:v>
      </x:c>
      <x:c r="E288" s="1" t="str">
        <x:v>Erişilemedi</x:v>
      </x:c>
      <x:c r="F288" s="2" t="str">
        <x:v>Erişilemedi</x:v>
      </x:c>
      <x:c r="G288" t="str">
        <x:v>Gramaj + fiyat</x:v>
      </x:c>
      <x:c r="H288" t="str">
        <x:v>Instagram veya mevcut kaynak</x:v>
      </x:c>
      <x:c r="I288" s="28" t="str">
        <x:v>Erişilemedi</x:v>
      </x:c>
      <x:c r="J288" s="28" t="str">
        <x:v>Ürün adı, gramaj ve fiyat birlikte çıkarılamadı. Bağlantı manuel inceleme için korundu.</x:v>
      </x:c>
    </x:row>
    <x:row r="289">
      <x:c r="A289" t="str">
        <x:v>Coffeeizim Coffee Roastery</x:v>
      </x:c>
      <x:c r="B289" t="str">
        <x:v>Katalog takip kaydı</x:v>
      </x:c>
      <x:c r="C289" t="str">
        <x:v>Ürün kataloğu — ayrıntılı ürün verisine erişilemedi</x:v>
      </x:c>
      <x:c r="D289" t="str">
        <x:v>Erişilemedi</x:v>
      </x:c>
      <x:c r="E289" s="1" t="str">
        <x:v>Erişilemedi</x:v>
      </x:c>
      <x:c r="F289" s="2" t="str">
        <x:v>Erişilemedi</x:v>
      </x:c>
      <x:c r="G289" t="str">
        <x:v>Gramaj + fiyat</x:v>
      </x:c>
      <x:c r="H289" t="str">
        <x:v>Mağaza/katalog bağlantısı</x:v>
      </x:c>
      <x:c r="I289" s="28" t="str">
        <x:v>https://coffeeizim.com.tr/</x:v>
      </x:c>
      <x:c r="J289" s="28" t="str">
        <x:v>Ürün adı, gramaj ve fiyat birlikte çıkarılamadı. Bağlantı manuel inceleme için korundu.</x:v>
      </x:c>
    </x:row>
    <x:row r="290">
      <x:c r="A290" t="str">
        <x:v>Coffeemamma</x:v>
      </x:c>
      <x:c r="B290" t="str">
        <x:v>Ürün kaydı</x:v>
      </x:c>
      <x:c r="C290" t="str">
        <x:v>Coco Blend Filtre Kahve</x:v>
      </x:c>
      <x:c r="D290" t="str">
        <x:v>Harman – menşe belirtilmemiş</x:v>
      </x:c>
      <x:c r="E290" s="1" t="str">
        <x:v>Erişilemedi</x:v>
      </x:c>
      <x:c r="F290" s="2" t="n">
        <x:v>440</x:v>
      </x:c>
      <x:c r="G290" t="str">
        <x:v>Gramaj</x:v>
      </x:c>
      <x:c r="H290" t="str">
        <x:v>WooCommerce Store API</x:v>
      </x:c>
      <x:c r="I290" s="28" t="str">
        <x:v>https://coffeemamma.com.tr/urunler/kahveler/filtre-kahveler/coco-blend-filtre-kahve/</x:v>
      </x:c>
      <x:c r="J290" s="28" t="str">
        <x:v>Fiyat veya gramaj eksik olsa da ürün korundu.</x:v>
      </x:c>
    </x:row>
    <x:row r="291">
      <x:c r="A291" t="str">
        <x:v>Coffeemamma</x:v>
      </x:c>
      <x:c r="B291" t="str">
        <x:v>Ürün kaydı</x:v>
      </x:c>
      <x:c r="C291" t="str">
        <x:v>COMANDANTE C40 Nitro Blade LIQUID AMBER MK4</x:v>
      </x:c>
      <x:c r="D291" t="str">
        <x:v>Menşe belirtilmemiş</x:v>
      </x:c>
      <x:c r="E291" s="1" t="str">
        <x:v>Erişilemedi</x:v>
      </x:c>
      <x:c r="F291" s="2" t="n">
        <x:v>16950</x:v>
      </x:c>
      <x:c r="G291" t="str">
        <x:v>Gramaj</x:v>
      </x:c>
      <x:c r="H291" t="str">
        <x:v>WooCommerce Store API</x:v>
      </x:c>
      <x:c r="I291" s="28" t="str">
        <x:v>https://coffeemamma.com.tr/urunler/kahve-ogutuculeri/comandante-c40-nitro-blade-liquid-amber-mk4/</x:v>
      </x:c>
      <x:c r="J291" s="28" t="str">
        <x:v>Fiyat veya gramaj eksik olsa da ürün korundu.</x:v>
      </x:c>
    </x:row>
    <x:row r="292">
      <x:c r="A292" t="str">
        <x:v>Coffeemamma</x:v>
      </x:c>
      <x:c r="B292" t="str">
        <x:v>Ürün kaydı</x:v>
      </x:c>
      <x:c r="C292" t="str">
        <x:v>Comandante C40 Nitro Blade MK4 Yeni Black</x:v>
      </x:c>
      <x:c r="D292" t="str">
        <x:v>Menşe belirtilmemiş</x:v>
      </x:c>
      <x:c r="E292" s="1" t="str">
        <x:v>Erişilemedi</x:v>
      </x:c>
      <x:c r="F292" s="2" t="n">
        <x:v>14950</x:v>
      </x:c>
      <x:c r="G292" t="str">
        <x:v>Gramaj</x:v>
      </x:c>
      <x:c r="H292" t="str">
        <x:v>WooCommerce Store API</x:v>
      </x:c>
      <x:c r="I292" s="28" t="str">
        <x:v>https://coffeemamma.com.tr/urunler/kahve-ogutuculeri/comandante-c40-nitro-blade-mk4-yeni-black/</x:v>
      </x:c>
      <x:c r="J292" s="28" t="str">
        <x:v>Fiyat veya gramaj eksik olsa da ürün korundu.</x:v>
      </x:c>
    </x:row>
    <x:row r="293">
      <x:c r="A293" t="str">
        <x:v>Coffeemamma</x:v>
      </x:c>
      <x:c r="B293" t="str">
        <x:v>Ürün kaydı</x:v>
      </x:c>
      <x:c r="C293" t="str">
        <x:v>Espresso Carnaval</x:v>
      </x:c>
      <x:c r="D293" t="str">
        <x:v>Brezilya</x:v>
      </x:c>
      <x:c r="E293" s="1" t="str">
        <x:v>Erişilemedi</x:v>
      </x:c>
      <x:c r="F293" s="2" t="n">
        <x:v>425</x:v>
      </x:c>
      <x:c r="G293" t="str">
        <x:v>Gramaj</x:v>
      </x:c>
      <x:c r="H293" t="str">
        <x:v>WooCommerce Store API</x:v>
      </x:c>
      <x:c r="I293" s="28" t="str">
        <x:v>https://coffeemamma.com.tr/urunler/kahveler/espressolar/espresso-carnaval/</x:v>
      </x:c>
      <x:c r="J293" s="28" t="str">
        <x:v>Fiyat veya gramaj eksik olsa da ürün korundu.</x:v>
      </x:c>
    </x:row>
    <x:row r="294">
      <x:c r="A294" t="str">
        <x:v>Coffeemamma</x:v>
      </x:c>
      <x:c r="B294" t="str">
        <x:v>Ürün kaydı</x:v>
      </x:c>
      <x:c r="C294" t="str">
        <x:v>Espresso Comandante Blend</x:v>
      </x:c>
      <x:c r="D294" t="str">
        <x:v>Harman – menşe belirtilmemiş</x:v>
      </x:c>
      <x:c r="E294" s="1" t="str">
        <x:v>Erişilemedi</x:v>
      </x:c>
      <x:c r="F294" s="2" t="n">
        <x:v>455</x:v>
      </x:c>
      <x:c r="G294" t="str">
        <x:v>Gramaj</x:v>
      </x:c>
      <x:c r="H294" t="str">
        <x:v>WooCommerce Store API</x:v>
      </x:c>
      <x:c r="I294" s="28" t="str">
        <x:v>https://coffeemamma.com.tr/urunler/kahveler/espressolar/espresso-comandante-blend/</x:v>
      </x:c>
      <x:c r="J294" s="28" t="str">
        <x:v>Fiyat veya gramaj eksik olsa da ürün korundu.</x:v>
      </x:c>
    </x:row>
    <x:row r="295">
      <x:c r="A295" t="str">
        <x:v>Coffeemamma</x:v>
      </x:c>
      <x:c r="B295" t="str">
        <x:v>Ürün kaydı</x:v>
      </x:c>
      <x:c r="C295" t="str">
        <x:v>Espresso Honduras Single Origin</x:v>
      </x:c>
      <x:c r="D295" t="str">
        <x:v>Honduras</x:v>
      </x:c>
      <x:c r="E295" s="1" t="str">
        <x:v>Erişilemedi</x:v>
      </x:c>
      <x:c r="F295" s="2" t="n">
        <x:v>470</x:v>
      </x:c>
      <x:c r="G295" t="str">
        <x:v>Gramaj</x:v>
      </x:c>
      <x:c r="H295" t="str">
        <x:v>WooCommerce Store API</x:v>
      </x:c>
      <x:c r="I295" s="28" t="str">
        <x:v>https://coffeemamma.com.tr/urunler/kahveler/espressolar/espresso-honduras-single-origin/</x:v>
      </x:c>
      <x:c r="J295" s="28" t="str">
        <x:v>Fiyat veya gramaj eksik olsa da ürün korundu.</x:v>
      </x:c>
    </x:row>
    <x:row r="296">
      <x:c r="A296" t="str">
        <x:v>Coffeemamma</x:v>
      </x:c>
      <x:c r="B296" t="str">
        <x:v>Ürün kaydı</x:v>
      </x:c>
      <x:c r="C296" t="str">
        <x:v>Espresso Napolitan Blend</x:v>
      </x:c>
      <x:c r="D296" t="str">
        <x:v>Brezilya</x:v>
      </x:c>
      <x:c r="E296" s="1" t="str">
        <x:v>Erişilemedi</x:v>
      </x:c>
      <x:c r="F296" s="2" t="n">
        <x:v>425</x:v>
      </x:c>
      <x:c r="G296" t="str">
        <x:v>Gramaj</x:v>
      </x:c>
      <x:c r="H296" t="str">
        <x:v>WooCommerce Store API</x:v>
      </x:c>
      <x:c r="I296" s="28" t="str">
        <x:v>https://coffeemamma.com.tr/urunler/kahveler/espressolar/espresso-napolitan/</x:v>
      </x:c>
      <x:c r="J296" s="28" t="str">
        <x:v>Fiyat veya gramaj eksik olsa da ürün korundu.</x:v>
      </x:c>
    </x:row>
    <x:row r="297">
      <x:c r="A297" t="str">
        <x:v>Coffeemamma</x:v>
      </x:c>
      <x:c r="B297" t="str">
        <x:v>Ürün kaydı</x:v>
      </x:c>
      <x:c r="C297" t="str">
        <x:v>Espresso New York Blend</x:v>
      </x:c>
      <x:c r="D297" t="str">
        <x:v>Harman – menşe belirtilmemiş</x:v>
      </x:c>
      <x:c r="E297" s="1" t="str">
        <x:v>Erişilemedi</x:v>
      </x:c>
      <x:c r="F297" s="2" t="n">
        <x:v>435</x:v>
      </x:c>
      <x:c r="G297" t="str">
        <x:v>Gramaj</x:v>
      </x:c>
      <x:c r="H297" t="str">
        <x:v>WooCommerce Store API</x:v>
      </x:c>
      <x:c r="I297" s="28" t="str">
        <x:v>https://coffeemamma.com.tr/urunler/kahveler/espressolar/espresso-new-york-blend/</x:v>
      </x:c>
      <x:c r="J297" s="28" t="str">
        <x:v>Fiyat veya gramaj eksik olsa da ürün korundu.</x:v>
      </x:c>
    </x:row>
    <x:row r="298">
      <x:c r="A298" t="str">
        <x:v>Coffeemamma</x:v>
      </x:c>
      <x:c r="B298" t="str">
        <x:v>Ürün kaydı</x:v>
      </x:c>
      <x:c r="C298" t="str">
        <x:v>Espresso Nicaragua SHG EP</x:v>
      </x:c>
      <x:c r="D298" t="str">
        <x:v>Nikaragua</x:v>
      </x:c>
      <x:c r="E298" s="1" t="str">
        <x:v>Erişilemedi</x:v>
      </x:c>
      <x:c r="F298" s="2" t="n">
        <x:v>425</x:v>
      </x:c>
      <x:c r="G298" t="str">
        <x:v>Gramaj</x:v>
      </x:c>
      <x:c r="H298" t="str">
        <x:v>WooCommerce Store API</x:v>
      </x:c>
      <x:c r="I298" s="28" t="str">
        <x:v>https://coffeemamma.com.tr/urunler/kahveler/espressolar/espresso-nicaragua-shg-ep/</x:v>
      </x:c>
      <x:c r="J298" s="28" t="str">
        <x:v>Fiyat veya gramaj eksik olsa da ürün korundu.</x:v>
      </x:c>
    </x:row>
    <x:row r="299">
      <x:c r="A299" t="str">
        <x:v>Coffeemamma</x:v>
      </x:c>
      <x:c r="B299" t="str">
        <x:v>Ürün kaydı</x:v>
      </x:c>
      <x:c r="C299" t="str">
        <x:v>Hassas Kahve Terazisi</x:v>
      </x:c>
      <x:c r="D299" t="str">
        <x:v>Menşe belirtilmemiş</x:v>
      </x:c>
      <x:c r="E299" s="1" t="str">
        <x:v>Erişilemedi</x:v>
      </x:c>
      <x:c r="F299" s="2" t="n">
        <x:v>1000</x:v>
      </x:c>
      <x:c r="G299" t="str">
        <x:v>Gramaj</x:v>
      </x:c>
      <x:c r="H299" t="str">
        <x:v>WooCommerce Store API</x:v>
      </x:c>
      <x:c r="I299" s="28" t="str">
        <x:v>https://coffeemamma.com.tr/urunler/tartilar/hassas-kahve-terazisi/</x:v>
      </x:c>
      <x:c r="J299" s="28" t="str">
        <x:v>Fiyat veya gramaj eksik olsa da ürün korundu.</x:v>
      </x:c>
    </x:row>
    <x:row r="300">
      <x:c r="A300" t="str">
        <x:v>Coffeemamma</x:v>
      </x:c>
      <x:c r="B300" t="str">
        <x:v>Ürün kaydı</x:v>
      </x:c>
      <x:c r="C300" t="str">
        <x:v>House Blend Filtre Kahve</x:v>
      </x:c>
      <x:c r="D300" t="str">
        <x:v>Harman – menşe belirtilmemiş</x:v>
      </x:c>
      <x:c r="E300" s="1" t="str">
        <x:v>Erişilemedi</x:v>
      </x:c>
      <x:c r="F300" s="2" t="n">
        <x:v>440</x:v>
      </x:c>
      <x:c r="G300" t="str">
        <x:v>Gramaj</x:v>
      </x:c>
      <x:c r="H300" t="str">
        <x:v>WooCommerce Store API</x:v>
      </x:c>
      <x:c r="I300" s="28" t="str">
        <x:v>https://coffeemamma.com.tr/urunler/kahveler/filtre-kahveler/house-blend-filtre-kahve/</x:v>
      </x:c>
      <x:c r="J300" s="28" t="str">
        <x:v>Fiyat veya gramaj eksik olsa da ürün korundu.</x:v>
      </x:c>
    </x:row>
    <x:row r="301">
      <x:c r="A301" t="str">
        <x:v>CoffeeNutz</x:v>
      </x:c>
      <x:c r="B301" t="str">
        <x:v>Katalog takip kaydı</x:v>
      </x:c>
      <x:c r="C301" t="str">
        <x:v>Ürün kataloğu — ayrıntılı ürün verisine erişilemedi</x:v>
      </x:c>
      <x:c r="D301" t="str">
        <x:v>Erişilemedi</x:v>
      </x:c>
      <x:c r="E301" s="1" t="str">
        <x:v>Erişilemedi</x:v>
      </x:c>
      <x:c r="F301" s="2" t="str">
        <x:v>Erişilemedi</x:v>
      </x:c>
      <x:c r="G301" t="str">
        <x:v>Gramaj + fiyat</x:v>
      </x:c>
      <x:c r="H301" t="str">
        <x:v>Instagram veya mevcut kaynak</x:v>
      </x:c>
      <x:c r="I301" s="28" t="str">
        <x:v>Erişilemedi</x:v>
      </x:c>
      <x:c r="J301" s="28" t="str">
        <x:v>Ürün adı, gramaj ve fiyat birlikte çıkarılamadı. Bağlantı manuel inceleme için korundu.</x:v>
      </x:c>
    </x:row>
    <x:row r="302">
      <x:c r="A302" t="str">
        <x:v>Coffeerem Roastery</x:v>
      </x:c>
      <x:c r="B302" t="str">
        <x:v>Ürün kaydı</x:v>
      </x:c>
      <x:c r="C302" t="str">
        <x:v>Brazil Alfenas Dulce Türk Kahvesi</x:v>
      </x:c>
      <x:c r="D302" t="str">
        <x:v>Brezilya</x:v>
      </x:c>
      <x:c r="E302" s="1" t="str">
        <x:v>Erişilemedi</x:v>
      </x:c>
      <x:c r="F302" s="2" t="n">
        <x:v>500</x:v>
      </x:c>
      <x:c r="G302" t="str">
        <x:v>Gramaj</x:v>
      </x:c>
      <x:c r="H302" t="str">
        <x:v>WooCommerce Store API</x:v>
      </x:c>
      <x:c r="I302" s="28" t="str">
        <x:v>https://coffeerem.com/product/brazil-alfenas-dulce-turk-kahvesi/</x:v>
      </x:c>
      <x:c r="J302" s="28" t="str">
        <x:v>Fiyat veya gramaj eksik olsa da ürün korundu.</x:v>
      </x:c>
    </x:row>
    <x:row r="303">
      <x:c r="A303" t="str">
        <x:v>Coffeerem Roastery</x:v>
      </x:c>
      <x:c r="B303" t="str">
        <x:v>Ürün kaydı</x:v>
      </x:c>
      <x:c r="C303" t="str">
        <x:v>Brazil DCM Natural Process Decaf</x:v>
      </x:c>
      <x:c r="D303" t="str">
        <x:v>Brezilya</x:v>
      </x:c>
      <x:c r="E303" s="1" t="str">
        <x:v>Erişilemedi</x:v>
      </x:c>
      <x:c r="F303" s="2" t="n">
        <x:v>650</x:v>
      </x:c>
      <x:c r="G303" t="str">
        <x:v>Gramaj</x:v>
      </x:c>
      <x:c r="H303" t="str">
        <x:v>WooCommerce Store API</x:v>
      </x:c>
      <x:c r="I303" s="28" t="str">
        <x:v>https://coffeerem.com/product/brazil-dcm-natural-process-decaf/</x:v>
      </x:c>
      <x:c r="J303" s="28" t="str">
        <x:v>Fiyat veya gramaj eksik olsa da ürün korundu.</x:v>
      </x:c>
    </x:row>
    <x:row r="304">
      <x:c r="A304" t="str">
        <x:v>Coffeerem Roastery</x:v>
      </x:c>
      <x:c r="B304" t="str">
        <x:v>Ürün kaydı</x:v>
      </x:c>
      <x:c r="C304" t="str">
        <x:v>Brazil High Mogiana Türk Kahvesi</x:v>
      </x:c>
      <x:c r="D304" t="str">
        <x:v>Brezilya</x:v>
      </x:c>
      <x:c r="E304" s="1" t="str">
        <x:v>Erişilemedi</x:v>
      </x:c>
      <x:c r="F304" s="2" t="n">
        <x:v>500</x:v>
      </x:c>
      <x:c r="G304" t="str">
        <x:v>Gramaj</x:v>
      </x:c>
      <x:c r="H304" t="str">
        <x:v>WooCommerce Store API</x:v>
      </x:c>
      <x:c r="I304" s="28" t="str">
        <x:v>https://coffeerem.com/product/brazil-high-mogiana-turk-kahvesi/</x:v>
      </x:c>
      <x:c r="J304" s="28" t="str">
        <x:v>Fiyat veya gramaj eksik olsa da ürün korundu.</x:v>
      </x:c>
    </x:row>
    <x:row r="305">
      <x:c r="A305" t="str">
        <x:v>Coffeerem Roastery</x:v>
      </x:c>
      <x:c r="B305" t="str">
        <x:v>Ürün kaydı</x:v>
      </x:c>
      <x:c r="C305" t="str">
        <x:v>Cold Brew Boledu Natural Anaerobic</x:v>
      </x:c>
      <x:c r="D305" t="str">
        <x:v>Menşe belirtilmemiş</x:v>
      </x:c>
      <x:c r="E305" s="1" t="str">
        <x:v>Erişilemedi</x:v>
      </x:c>
      <x:c r="F305" s="2" t="n">
        <x:v>850</x:v>
      </x:c>
      <x:c r="G305" t="str">
        <x:v>Gramaj</x:v>
      </x:c>
      <x:c r="H305" t="str">
        <x:v>WooCommerce Store API</x:v>
      </x:c>
      <x:c r="I305" s="28" t="str">
        <x:v>https://coffeerem.com/product/cold-brew-boledu-natural-anaerobic/</x:v>
      </x:c>
      <x:c r="J305" s="28" t="str">
        <x:v>Fiyat veya gramaj eksik olsa da ürün korundu.</x:v>
      </x:c>
    </x:row>
    <x:row r="306">
      <x:c r="A306" t="str">
        <x:v>Coffeerem Roastery</x:v>
      </x:c>
      <x:c r="B306" t="str">
        <x:v>Ürün kaydı</x:v>
      </x:c>
      <x:c r="C306" t="str">
        <x:v>Cold Brew El Indio</x:v>
      </x:c>
      <x:c r="D306" t="str">
        <x:v>Menşe belirtilmemiş</x:v>
      </x:c>
      <x:c r="E306" s="1" t="str">
        <x:v>Erişilemedi</x:v>
      </x:c>
      <x:c r="F306" s="2" t="n">
        <x:v>750</x:v>
      </x:c>
      <x:c r="G306" t="str">
        <x:v>Gramaj</x:v>
      </x:c>
      <x:c r="H306" t="str">
        <x:v>WooCommerce Store API</x:v>
      </x:c>
      <x:c r="I306" s="28" t="str">
        <x:v>https://coffeerem.com/product/cold-brew-el-indio/</x:v>
      </x:c>
      <x:c r="J306" s="28" t="str">
        <x:v>Fiyat veya gramaj eksik olsa da ürün korundu.</x:v>
      </x:c>
    </x:row>
    <x:row r="307">
      <x:c r="A307" t="str">
        <x:v>Coffeerem Roastery</x:v>
      </x:c>
      <x:c r="B307" t="str">
        <x:v>Ürün kaydı</x:v>
      </x:c>
      <x:c r="C307" t="str">
        <x:v>Cold Brew Elkin Guzman Strawberry</x:v>
      </x:c>
      <x:c r="D307" t="str">
        <x:v>Kolombiya</x:v>
      </x:c>
      <x:c r="E307" s="1" t="str">
        <x:v>Erişilemedi</x:v>
      </x:c>
      <x:c r="F307" s="2" t="n">
        <x:v>1100</x:v>
      </x:c>
      <x:c r="G307" t="str">
        <x:v>Gramaj</x:v>
      </x:c>
      <x:c r="H307" t="str">
        <x:v>WooCommerce Store API</x:v>
      </x:c>
      <x:c r="I307" s="28" t="str">
        <x:v>https://coffeerem.com/product/cold-brew-elkin-guzman-strawberry/</x:v>
      </x:c>
      <x:c r="J307" s="28" t="str">
        <x:v>Fiyat veya gramaj eksik olsa da ürün korundu.</x:v>
      </x:c>
    </x:row>
    <x:row r="308">
      <x:c r="A308" t="str">
        <x:v>Coffeerem Roastery</x:v>
      </x:c>
      <x:c r="B308" t="str">
        <x:v>Ürün kaydı</x:v>
      </x:c>
      <x:c r="C308" t="str">
        <x:v>Cold Brew Finca Milan Washed Nitro</x:v>
      </x:c>
      <x:c r="D308" t="str">
        <x:v>Kolombiya</x:v>
      </x:c>
      <x:c r="E308" s="1" t="str">
        <x:v>Erişilemedi</x:v>
      </x:c>
      <x:c r="F308" s="2" t="n">
        <x:v>1100</x:v>
      </x:c>
      <x:c r="G308" t="str">
        <x:v>Gramaj</x:v>
      </x:c>
      <x:c r="H308" t="str">
        <x:v>WooCommerce Store API</x:v>
      </x:c>
      <x:c r="I308" s="28" t="str">
        <x:v>https://coffeerem.com/product/cold-brew-finca-milan-washed-nitro/</x:v>
      </x:c>
      <x:c r="J308" s="28" t="str">
        <x:v>Fiyat veya gramaj eksik olsa da ürün korundu.</x:v>
      </x:c>
    </x:row>
    <x:row r="309">
      <x:c r="A309" t="str">
        <x:v>Coffeerem Roastery</x:v>
      </x:c>
      <x:c r="B309" t="str">
        <x:v>Ürün kaydı</x:v>
      </x:c>
      <x:c r="C309" t="str">
        <x:v>Cold Brew Gisanga</x:v>
      </x:c>
      <x:c r="D309" t="str">
        <x:v>Ruanda</x:v>
      </x:c>
      <x:c r="E309" s="1" t="str">
        <x:v>Erişilemedi</x:v>
      </x:c>
      <x:c r="F309" s="2" t="n">
        <x:v>750</x:v>
      </x:c>
      <x:c r="G309" t="str">
        <x:v>Gramaj</x:v>
      </x:c>
      <x:c r="H309" t="str">
        <x:v>WooCommerce Store API</x:v>
      </x:c>
      <x:c r="I309" s="28" t="str">
        <x:v>https://coffeerem.com/product/cold-brew-gisanga/</x:v>
      </x:c>
      <x:c r="J309" s="28" t="str">
        <x:v>Fiyat veya gramaj eksik olsa da ürün korundu.</x:v>
      </x:c>
    </x:row>
    <x:row r="310">
      <x:c r="A310" t="str">
        <x:v>Coffeerem Roastery</x:v>
      </x:c>
      <x:c r="B310" t="str">
        <x:v>Ürün kaydı</x:v>
      </x:c>
      <x:c r="C310" t="str">
        <x:v>Cold Brew Maracay</x:v>
      </x:c>
      <x:c r="D310" t="str">
        <x:v>Kolombiya</x:v>
      </x:c>
      <x:c r="E310" s="1" t="str">
        <x:v>Erişilemedi</x:v>
      </x:c>
      <x:c r="F310" s="2" t="n">
        <x:v>900</x:v>
      </x:c>
      <x:c r="G310" t="str">
        <x:v>Gramaj</x:v>
      </x:c>
      <x:c r="H310" t="str">
        <x:v>WooCommerce Store API</x:v>
      </x:c>
      <x:c r="I310" s="28" t="str">
        <x:v>https://coffeerem.com/product/cold-brew-yaye/</x:v>
      </x:c>
      <x:c r="J310" s="28" t="str">
        <x:v>Fiyat veya gramaj eksik olsa da ürün korundu.</x:v>
      </x:c>
    </x:row>
    <x:row r="311">
      <x:c r="A311" t="str">
        <x:v>Coffeerem Roastery</x:v>
      </x:c>
      <x:c r="B311" t="str">
        <x:v>Ürün kaydı</x:v>
      </x:c>
      <x:c r="C311" t="str">
        <x:v>Cold Brew No: 1</x:v>
      </x:c>
      <x:c r="D311" t="str">
        <x:v>Menşe belirtilmemiş</x:v>
      </x:c>
      <x:c r="E311" s="1" t="str">
        <x:v>Erişilemedi</x:v>
      </x:c>
      <x:c r="F311" s="2" t="n">
        <x:v>700</x:v>
      </x:c>
      <x:c r="G311" t="str">
        <x:v>Gramaj</x:v>
      </x:c>
      <x:c r="H311" t="str">
        <x:v>WooCommerce Store API</x:v>
      </x:c>
      <x:c r="I311" s="28" t="str">
        <x:v>https://coffeerem.com/product/cold-brew-no-1/</x:v>
      </x:c>
      <x:c r="J311" s="28" t="str">
        <x:v>Fiyat veya gramaj eksik olsa da ürün korundu.</x:v>
      </x:c>
    </x:row>
    <x:row r="312">
      <x:c r="A312" t="str">
        <x:v>Coffeerem Roastery</x:v>
      </x:c>
      <x:c r="B312" t="str">
        <x:v>Ürün kaydı</x:v>
      </x:c>
      <x:c r="C312" t="str">
        <x:v>Cold Brew No: 2</x:v>
      </x:c>
      <x:c r="D312" t="str">
        <x:v>Etiyopya</x:v>
      </x:c>
      <x:c r="E312" s="1" t="str">
        <x:v>Erişilemedi</x:v>
      </x:c>
      <x:c r="F312" s="2" t="n">
        <x:v>650</x:v>
      </x:c>
      <x:c r="G312" t="str">
        <x:v>Gramaj</x:v>
      </x:c>
      <x:c r="H312" t="str">
        <x:v>WooCommerce Store API</x:v>
      </x:c>
      <x:c r="I312" s="28" t="str">
        <x:v>https://coffeerem.com/product/cold-brew-no-2/</x:v>
      </x:c>
      <x:c r="J312" s="28" t="str">
        <x:v>Fiyat veya gramaj eksik olsa da ürün korundu.</x:v>
      </x:c>
    </x:row>
    <x:row r="313">
      <x:c r="A313" t="str">
        <x:v>Coffeerem Roastery</x:v>
      </x:c>
      <x:c r="B313" t="str">
        <x:v>Ürün kaydı</x:v>
      </x:c>
      <x:c r="C313" t="str">
        <x:v>Cold Brew No: 2</x:v>
      </x:c>
      <x:c r="D313" t="str">
        <x:v>Kolombiya</x:v>
      </x:c>
      <x:c r="E313" s="1" t="str">
        <x:v>Erişilemedi</x:v>
      </x:c>
      <x:c r="F313" s="2" t="n">
        <x:v>800</x:v>
      </x:c>
      <x:c r="G313" t="str">
        <x:v>Gramaj</x:v>
      </x:c>
      <x:c r="H313" t="str">
        <x:v>WooCommerce Store API</x:v>
      </x:c>
      <x:c r="I313" s="28" t="str">
        <x:v>https://coffeerem.com/product/cold-brew-01-1-litre/</x:v>
      </x:c>
      <x:c r="J313" s="28" t="str">
        <x:v>Fiyat veya gramaj eksik olsa da ürün korundu.</x:v>
      </x:c>
    </x:row>
    <x:row r="314">
      <x:c r="A314" t="str">
        <x:v>Coffeerem Roastery</x:v>
      </x:c>
      <x:c r="B314" t="str">
        <x:v>Ürün kaydı</x:v>
      </x:c>
      <x:c r="C314" t="str">
        <x:v>Cold Brew Rugali Natural Anaerobic</x:v>
      </x:c>
      <x:c r="D314" t="str">
        <x:v>Hindistan</x:v>
      </x:c>
      <x:c r="E314" s="1" t="str">
        <x:v>Erişilemedi</x:v>
      </x:c>
      <x:c r="F314" s="2" t="n">
        <x:v>900</x:v>
      </x:c>
      <x:c r="G314" t="str">
        <x:v>Gramaj</x:v>
      </x:c>
      <x:c r="H314" t="str">
        <x:v>WooCommerce Store API</x:v>
      </x:c>
      <x:c r="I314" s="28" t="str">
        <x:v>https://coffeerem.com/product/cold-brew-rugali-natural-anaerobic/</x:v>
      </x:c>
      <x:c r="J314" s="28" t="str">
        <x:v>Fiyat veya gramaj eksik olsa da ürün korundu.</x:v>
      </x:c>
    </x:row>
    <x:row r="315">
      <x:c r="A315" t="str">
        <x:v>Coffeerem Roastery</x:v>
      </x:c>
      <x:c r="B315" t="str">
        <x:v>Ürün kaydı</x:v>
      </x:c>
      <x:c r="C315" t="str">
        <x:v>Cold Brew Santa Monica Coco Peach</x:v>
      </x:c>
      <x:c r="D315" t="str">
        <x:v>Hindistan</x:v>
      </x:c>
      <x:c r="E315" s="1" t="str">
        <x:v>Erişilemedi</x:v>
      </x:c>
      <x:c r="F315" s="2" t="n">
        <x:v>1100</x:v>
      </x:c>
      <x:c r="G315" t="str">
        <x:v>Gramaj</x:v>
      </x:c>
      <x:c r="H315" t="str">
        <x:v>WooCommerce Store API</x:v>
      </x:c>
      <x:c r="I315" s="28" t="str">
        <x:v>https://coffeerem.com/product/cold-brew-santa-monica-coco-peach/</x:v>
      </x:c>
      <x:c r="J315" s="28" t="str">
        <x:v>Fiyat veya gramaj eksik olsa da ürün korundu.</x:v>
      </x:c>
    </x:row>
    <x:row r="316">
      <x:c r="A316" t="str">
        <x:v>Coffeerem Roastery</x:v>
      </x:c>
      <x:c r="B316" t="str">
        <x:v>Ürün kaydı</x:v>
      </x:c>
      <x:c r="C316" t="str">
        <x:v>Cold Brew Santa Monica Passion Fruit</x:v>
      </x:c>
      <x:c r="D316" t="str">
        <x:v>Menşe belirtilmemiş</x:v>
      </x:c>
      <x:c r="E316" s="1" t="str">
        <x:v>Erişilemedi</x:v>
      </x:c>
      <x:c r="F316" s="2" t="n">
        <x:v>1100</x:v>
      </x:c>
      <x:c r="G316" t="str">
        <x:v>Gramaj</x:v>
      </x:c>
      <x:c r="H316" t="str">
        <x:v>WooCommerce Store API</x:v>
      </x:c>
      <x:c r="I316" s="28" t="str">
        <x:v>https://coffeerem.com/product/cold-brew-santa-monica-passion-fruit-2/</x:v>
      </x:c>
      <x:c r="J316" s="28" t="str">
        <x:v>Fiyat veya gramaj eksik olsa da ürün korundu.</x:v>
      </x:c>
    </x:row>
    <x:row r="317">
      <x:c r="A317" t="str">
        <x:v>Coffeerem Roastery</x:v>
      </x:c>
      <x:c r="B317" t="str">
        <x:v>Ürün kaydı</x:v>
      </x:c>
      <x:c r="C317" t="str">
        <x:v>Cold Brew Santa Monica Passion Fruit</x:v>
      </x:c>
      <x:c r="D317" t="str">
        <x:v>Menşe belirtilmemiş</x:v>
      </x:c>
      <x:c r="E317" s="1" t="str">
        <x:v>Erişilemedi</x:v>
      </x:c>
      <x:c r="F317" s="2" t="n">
        <x:v>1200</x:v>
      </x:c>
      <x:c r="G317" t="str">
        <x:v>Gramaj</x:v>
      </x:c>
      <x:c r="H317" t="str">
        <x:v>WooCommerce Store API</x:v>
      </x:c>
      <x:c r="I317" s="28" t="str">
        <x:v>https://coffeerem.com/product/cold-brew-santa-monica-passion-fruit/</x:v>
      </x:c>
      <x:c r="J317" s="28" t="str">
        <x:v>Fiyat veya gramaj eksik olsa da ürün korundu.</x:v>
      </x:c>
    </x:row>
    <x:row r="318">
      <x:c r="A318" t="str">
        <x:v>Coffeerem Roastery</x:v>
      </x:c>
      <x:c r="B318" t="str">
        <x:v>Ürün kaydı</x:v>
      </x:c>
      <x:c r="C318" t="str">
        <x:v>Cold Brew Shyria Natural Anaerobic</x:v>
      </x:c>
      <x:c r="D318" t="str">
        <x:v>Menşe belirtilmemiş</x:v>
      </x:c>
      <x:c r="E318" s="1" t="str">
        <x:v>Erişilemedi</x:v>
      </x:c>
      <x:c r="F318" s="2" t="n">
        <x:v>900</x:v>
      </x:c>
      <x:c r="G318" t="str">
        <x:v>Gramaj</x:v>
      </x:c>
      <x:c r="H318" t="str">
        <x:v>WooCommerce Store API</x:v>
      </x:c>
      <x:c r="I318" s="28" t="str">
        <x:v>https://coffeerem.com/product/cold-brew-shyria-natural-anaerobic/</x:v>
      </x:c>
      <x:c r="J318" s="28" t="str">
        <x:v>Fiyat veya gramaj eksik olsa da ürün korundu.</x:v>
      </x:c>
    </x:row>
    <x:row r="319">
      <x:c r="A319" t="str">
        <x:v>Coffeerem Roastery</x:v>
      </x:c>
      <x:c r="B319" t="str">
        <x:v>Ürün kaydı</x:v>
      </x:c>
      <x:c r="C319" t="str">
        <x:v>Cold Brew Sugarcane Decaf</x:v>
      </x:c>
      <x:c r="D319" t="str">
        <x:v>Kolombiya</x:v>
      </x:c>
      <x:c r="E319" s="1" t="str">
        <x:v>Erişilemedi</x:v>
      </x:c>
      <x:c r="F319" s="2" t="n">
        <x:v>700</x:v>
      </x:c>
      <x:c r="G319" t="str">
        <x:v>Gramaj</x:v>
      </x:c>
      <x:c r="H319" t="str">
        <x:v>WooCommerce Store API</x:v>
      </x:c>
      <x:c r="I319" s="28" t="str">
        <x:v>https://coffeerem.com/product/cold-brew-sugarcane-decaf/</x:v>
      </x:c>
      <x:c r="J319" s="28" t="str">
        <x:v>Fiyat veya gramaj eksik olsa da ürün korundu.</x:v>
      </x:c>
    </x:row>
    <x:row r="320">
      <x:c r="A320" t="str">
        <x:v>Coffy</x:v>
      </x:c>
      <x:c r="B320" t="str">
        <x:v>Katalog takip kaydı</x:v>
      </x:c>
      <x:c r="C320" t="str">
        <x:v>Ürün kataloğu — ayrıntılı ürün verisine erişilemedi</x:v>
      </x:c>
      <x:c r="D320" t="str">
        <x:v>Erişilemedi</x:v>
      </x:c>
      <x:c r="E320" s="1" t="str">
        <x:v>Erişilemedi</x:v>
      </x:c>
      <x:c r="F320" s="2" t="str">
        <x:v>Erişilemedi</x:v>
      </x:c>
      <x:c r="G320" t="str">
        <x:v>Gramaj + fiyat</x:v>
      </x:c>
      <x:c r="H320" t="str">
        <x:v>Instagram veya mevcut kaynak</x:v>
      </x:c>
      <x:c r="I320" s="28" t="str">
        <x:v>Erişilemedi</x:v>
      </x:c>
      <x:c r="J320" s="28" t="str">
        <x:v>Ürün adı, gramaj ve fiyat birlikte çıkarılamadı. Bağlantı manuel inceleme için korundu.</x:v>
      </x:c>
    </x:row>
    <x:row r="321">
      <x:c r="A321" t="str">
        <x:v>Collective Coffee Roasters</x:v>
      </x:c>
      <x:c r="B321" t="str">
        <x:v>Ürün kaydı</x:v>
      </x:c>
      <x:c r="C321" t="str">
        <x:v>Brasil / Alta Mogiana</x:v>
      </x:c>
      <x:c r="D321" t="str">
        <x:v>Brezilya</x:v>
      </x:c>
      <x:c r="E321" s="1" t="str">
        <x:v>Erişilemedi</x:v>
      </x:c>
      <x:c r="F321" s="2" t="n">
        <x:v>0</x:v>
      </x:c>
      <x:c r="G321" t="str">
        <x:v>Gramaj + fiyat</x:v>
      </x:c>
      <x:c r="H321" t="str">
        <x:v>WooCommerce Store API</x:v>
      </x:c>
      <x:c r="I321" s="28" t="str">
        <x:v>https://collectivecoffeeroasters.com.tr/product/brasil-alta-mogiana/</x:v>
      </x:c>
      <x:c r="J321" s="28" t="str">
        <x:v>Fiyat veya gramaj eksik olsa da ürün korundu.</x:v>
      </x:c>
    </x:row>
    <x:row r="322">
      <x:c r="A322" t="str">
        <x:v>Collective Coffee Roasters</x:v>
      </x:c>
      <x:c r="B322" t="str">
        <x:v>Ürün kaydı</x:v>
      </x:c>
      <x:c r="C322" t="str">
        <x:v>Brasil / Amazon Espresso Blend</x:v>
      </x:c>
      <x:c r="D322" t="str">
        <x:v>Brezilya</x:v>
      </x:c>
      <x:c r="E322" s="1" t="str">
        <x:v>Erişilemedi</x:v>
      </x:c>
      <x:c r="F322" s="2" t="n">
        <x:v>0</x:v>
      </x:c>
      <x:c r="G322" t="str">
        <x:v>Gramaj + fiyat</x:v>
      </x:c>
      <x:c r="H322" t="str">
        <x:v>WooCommerce Store API</x:v>
      </x:c>
      <x:c r="I322" s="28" t="str">
        <x:v>https://collectivecoffeeroasters.com.tr/product/brasil-amazon-espresso-blend/</x:v>
      </x:c>
      <x:c r="J322" s="28" t="str">
        <x:v>Fiyat veya gramaj eksik olsa da ürün korundu.</x:v>
      </x:c>
    </x:row>
    <x:row r="323">
      <x:c r="A323" t="str">
        <x:v>Collective Coffee Roasters</x:v>
      </x:c>
      <x:c r="B323" t="str">
        <x:v>Ürün kaydı</x:v>
      </x:c>
      <x:c r="C323" t="str">
        <x:v>Brasil / Bukowski Espresso Blend</x:v>
      </x:c>
      <x:c r="D323" t="str">
        <x:v>Brezilya</x:v>
      </x:c>
      <x:c r="E323" s="1" t="str">
        <x:v>Erişilemedi</x:v>
      </x:c>
      <x:c r="F323" s="2" t="n">
        <x:v>0</x:v>
      </x:c>
      <x:c r="G323" t="str">
        <x:v>Gramaj + fiyat</x:v>
      </x:c>
      <x:c r="H323" t="str">
        <x:v>WooCommerce Store API</x:v>
      </x:c>
      <x:c r="I323" s="28" t="str">
        <x:v>https://collectivecoffeeroasters.com.tr/product/brasil-bukowski-espresso-blend/</x:v>
      </x:c>
      <x:c r="J323" s="28" t="str">
        <x:v>Fiyat veya gramaj eksik olsa da ürün korundu.</x:v>
      </x:c>
    </x:row>
    <x:row r="324">
      <x:c r="A324" t="str">
        <x:v>Collective Coffee Roasters</x:v>
      </x:c>
      <x:c r="B324" t="str">
        <x:v>Ürün kaydı</x:v>
      </x:c>
      <x:c r="C324" t="str">
        <x:v>Colombia / Medellin</x:v>
      </x:c>
      <x:c r="D324" t="str">
        <x:v>Kolombiya</x:v>
      </x:c>
      <x:c r="E324" s="1" t="str">
        <x:v>Erişilemedi</x:v>
      </x:c>
      <x:c r="F324" s="2" t="n">
        <x:v>0</x:v>
      </x:c>
      <x:c r="G324" t="str">
        <x:v>Gramaj + fiyat</x:v>
      </x:c>
      <x:c r="H324" t="str">
        <x:v>WooCommerce Store API</x:v>
      </x:c>
      <x:c r="I324" s="28" t="str">
        <x:v>https://collectivecoffeeroasters.com.tr/product/colombia-medellin/</x:v>
      </x:c>
      <x:c r="J324" s="28" t="str">
        <x:v>Fiyat veya gramaj eksik olsa da ürün korundu.</x:v>
      </x:c>
    </x:row>
    <x:row r="325">
      <x:c r="A325" t="str">
        <x:v>Collective Coffee Roasters</x:v>
      </x:c>
      <x:c r="B325" t="str">
        <x:v>Ürün kaydı</x:v>
      </x:c>
      <x:c r="C325" t="str">
        <x:v>Ethiopia / Africano Espresso Blend</x:v>
      </x:c>
      <x:c r="D325" t="str">
        <x:v>Etiyopya</x:v>
      </x:c>
      <x:c r="E325" s="1" t="str">
        <x:v>Erişilemedi</x:v>
      </x:c>
      <x:c r="F325" s="2" t="n">
        <x:v>0</x:v>
      </x:c>
      <x:c r="G325" t="str">
        <x:v>Gramaj + fiyat</x:v>
      </x:c>
      <x:c r="H325" t="str">
        <x:v>WooCommerce Store API</x:v>
      </x:c>
      <x:c r="I325" s="28" t="str">
        <x:v>https://collectivecoffeeroasters.com.tr/product/ethiopia-africano-espresso-blend/</x:v>
      </x:c>
      <x:c r="J325" s="28" t="str">
        <x:v>Fiyat veya gramaj eksik olsa da ürün korundu.</x:v>
      </x:c>
    </x:row>
    <x:row r="326">
      <x:c r="A326" t="str">
        <x:v>Collective Coffee Roasters</x:v>
      </x:c>
      <x:c r="B326" t="str">
        <x:v>Ürün kaydı</x:v>
      </x:c>
      <x:c r="C326" t="str">
        <x:v>Ethiopia / Chelelektu</x:v>
      </x:c>
      <x:c r="D326" t="str">
        <x:v>Etiyopya</x:v>
      </x:c>
      <x:c r="E326" s="1" t="str">
        <x:v>Erişilemedi</x:v>
      </x:c>
      <x:c r="F326" s="2" t="n">
        <x:v>0</x:v>
      </x:c>
      <x:c r="G326" t="str">
        <x:v>Gramaj + fiyat</x:v>
      </x:c>
      <x:c r="H326" t="str">
        <x:v>WooCommerce Store API</x:v>
      </x:c>
      <x:c r="I326" s="28" t="str">
        <x:v>https://collectivecoffeeroasters.com.tr/product/ethiopia-chelelektu/</x:v>
      </x:c>
      <x:c r="J326" s="28" t="str">
        <x:v>Fiyat veya gramaj eksik olsa da ürün korundu.</x:v>
      </x:c>
    </x:row>
    <x:row r="327">
      <x:c r="A327" t="str">
        <x:v>Collective Coffee Roasters</x:v>
      </x:c>
      <x:c r="B327" t="str">
        <x:v>Ürün kaydı</x:v>
      </x:c>
      <x:c r="C327" t="str">
        <x:v>Ethiopia / Cross Espresso Blend</x:v>
      </x:c>
      <x:c r="D327" t="str">
        <x:v>Etiyopya</x:v>
      </x:c>
      <x:c r="E327" s="1" t="str">
        <x:v>Erişilemedi</x:v>
      </x:c>
      <x:c r="F327" s="2" t="n">
        <x:v>0</x:v>
      </x:c>
      <x:c r="G327" t="str">
        <x:v>Gramaj + fiyat</x:v>
      </x:c>
      <x:c r="H327" t="str">
        <x:v>WooCommerce Store API</x:v>
      </x:c>
      <x:c r="I327" s="28" t="str">
        <x:v>https://collectivecoffeeroasters.com.tr/product/ethiopia-cross-espresso-blend/</x:v>
      </x:c>
      <x:c r="J327" s="28" t="str">
        <x:v>Fiyat veya gramaj eksik olsa da ürün korundu.</x:v>
      </x:c>
    </x:row>
    <x:row r="328">
      <x:c r="A328" t="str">
        <x:v>Collective Coffee Roasters</x:v>
      </x:c>
      <x:c r="B328" t="str">
        <x:v>Ürün kaydı</x:v>
      </x:c>
      <x:c r="C328" t="str">
        <x:v>Ethiopia / Konga</x:v>
      </x:c>
      <x:c r="D328" t="str">
        <x:v>Etiyopya</x:v>
      </x:c>
      <x:c r="E328" s="1" t="str">
        <x:v>Erişilemedi</x:v>
      </x:c>
      <x:c r="F328" s="2" t="n">
        <x:v>0</x:v>
      </x:c>
      <x:c r="G328" t="str">
        <x:v>Gramaj + fiyat</x:v>
      </x:c>
      <x:c r="H328" t="str">
        <x:v>WooCommerce Store API</x:v>
      </x:c>
      <x:c r="I328" s="28" t="str">
        <x:v>https://collectivecoffeeroasters.com.tr/product/ethiopia-konga/</x:v>
      </x:c>
      <x:c r="J328" s="28" t="str">
        <x:v>Fiyat veya gramaj eksik olsa da ürün korundu.</x:v>
      </x:c>
    </x:row>
    <x:row r="329">
      <x:c r="A329" t="str">
        <x:v>Collective Coffee Roasters</x:v>
      </x:c>
      <x:c r="B329" t="str">
        <x:v>Ürün kaydı</x:v>
      </x:c>
      <x:c r="C329" t="str">
        <x:v>Ethiopia / Lekempti</x:v>
      </x:c>
      <x:c r="D329" t="str">
        <x:v>Etiyopya</x:v>
      </x:c>
      <x:c r="E329" s="1" t="str">
        <x:v>Erişilemedi</x:v>
      </x:c>
      <x:c r="F329" s="2" t="n">
        <x:v>0</x:v>
      </x:c>
      <x:c r="G329" t="str">
        <x:v>Gramaj + fiyat</x:v>
      </x:c>
      <x:c r="H329" t="str">
        <x:v>WooCommerce Store API</x:v>
      </x:c>
      <x:c r="I329" s="28" t="str">
        <x:v>https://collectivecoffeeroasters.com.tr/product/ethiopia-lekempti/</x:v>
      </x:c>
      <x:c r="J329" s="28" t="str">
        <x:v>Fiyat veya gramaj eksik olsa da ürün korundu.</x:v>
      </x:c>
    </x:row>
    <x:row r="330">
      <x:c r="A330" t="str">
        <x:v>Collective Coffee Roasters</x:v>
      </x:c>
      <x:c r="B330" t="str">
        <x:v>Ürün kaydı</x:v>
      </x:c>
      <x:c r="C330" t="str">
        <x:v>Guatemala / Huehuetenengo</x:v>
      </x:c>
      <x:c r="D330" t="str">
        <x:v>Guatemala</x:v>
      </x:c>
      <x:c r="E330" s="1" t="str">
        <x:v>Erişilemedi</x:v>
      </x:c>
      <x:c r="F330" s="2" t="n">
        <x:v>0</x:v>
      </x:c>
      <x:c r="G330" t="str">
        <x:v>Gramaj + fiyat</x:v>
      </x:c>
      <x:c r="H330" t="str">
        <x:v>WooCommerce Store API</x:v>
      </x:c>
      <x:c r="I330" s="28" t="str">
        <x:v>https://collectivecoffeeroasters.com.tr/product/guatemala-huehuetenengo/</x:v>
      </x:c>
      <x:c r="J330" s="28" t="str">
        <x:v>Fiyat veya gramaj eksik olsa da ürün korundu.</x:v>
      </x:c>
    </x:row>
    <x:row r="331">
      <x:c r="A331" t="str">
        <x:v>Collective Coffee Roasters</x:v>
      </x:c>
      <x:c r="B331" t="str">
        <x:v>Ürün kaydı</x:v>
      </x:c>
      <x:c r="C331" t="str">
        <x:v>Kenya / Central</x:v>
      </x:c>
      <x:c r="D331" t="str">
        <x:v>Kenya</x:v>
      </x:c>
      <x:c r="E331" s="1" t="str">
        <x:v>Erişilemedi</x:v>
      </x:c>
      <x:c r="F331" s="2" t="n">
        <x:v>0</x:v>
      </x:c>
      <x:c r="G331" t="str">
        <x:v>Gramaj + fiyat</x:v>
      </x:c>
      <x:c r="H331" t="str">
        <x:v>WooCommerce Store API</x:v>
      </x:c>
      <x:c r="I331" s="28" t="str">
        <x:v>https://collectivecoffeeroasters.com.tr/product/kenya-central/</x:v>
      </x:c>
      <x:c r="J331" s="28" t="str">
        <x:v>Fiyat veya gramaj eksik olsa da ürün korundu.</x:v>
      </x:c>
    </x:row>
    <x:row r="332">
      <x:c r="A332" t="str">
        <x:v>Collective Coffee Roasters</x:v>
      </x:c>
      <x:c r="B332" t="str">
        <x:v>Ürün kaydı</x:v>
      </x:c>
      <x:c r="C332" t="str">
        <x:v>Kenya / Rift Valley</x:v>
      </x:c>
      <x:c r="D332" t="str">
        <x:v>Kenya</x:v>
      </x:c>
      <x:c r="E332" s="1" t="str">
        <x:v>Erişilemedi</x:v>
      </x:c>
      <x:c r="F332" s="2" t="n">
        <x:v>0</x:v>
      </x:c>
      <x:c r="G332" t="str">
        <x:v>Gramaj + fiyat</x:v>
      </x:c>
      <x:c r="H332" t="str">
        <x:v>WooCommerce Store API</x:v>
      </x:c>
      <x:c r="I332" s="28" t="str">
        <x:v>https://collectivecoffeeroasters.com.tr/product/kenya-rift-valley/</x:v>
      </x:c>
      <x:c r="J332" s="28" t="str">
        <x:v>Fiyat veya gramaj eksik olsa da ürün korundu.</x:v>
      </x:c>
    </x:row>
    <x:row r="333">
      <x:c r="A333" t="str">
        <x:v>Collective Coffee Roasters</x:v>
      </x:c>
      <x:c r="B333" t="str">
        <x:v>Ürün kaydı</x:v>
      </x:c>
      <x:c r="C333" t="str">
        <x:v>Tanzania / Kilimanjaro</x:v>
      </x:c>
      <x:c r="D333" t="str">
        <x:v>Tanzanya</x:v>
      </x:c>
      <x:c r="E333" s="1" t="str">
        <x:v>Erişilemedi</x:v>
      </x:c>
      <x:c r="F333" s="2" t="n">
        <x:v>0</x:v>
      </x:c>
      <x:c r="G333" t="str">
        <x:v>Gramaj + fiyat</x:v>
      </x:c>
      <x:c r="H333" t="str">
        <x:v>WooCommerce Store API</x:v>
      </x:c>
      <x:c r="I333" s="28" t="str">
        <x:v>https://collectivecoffeeroasters.com.tr/product/tanzania-kilimanjaro/</x:v>
      </x:c>
      <x:c r="J333" s="28" t="str">
        <x:v>Fiyat veya gramaj eksik olsa da ürün korundu.</x:v>
      </x:c>
    </x:row>
    <x:row r="334">
      <x:c r="A334" t="str">
        <x:v>Collective Coffee Roasters</x:v>
      </x:c>
      <x:c r="B334" t="str">
        <x:v>Ürün kaydı</x:v>
      </x:c>
      <x:c r="C334" t="str">
        <x:v>Tanzania / Mbinga</x:v>
      </x:c>
      <x:c r="D334" t="str">
        <x:v>Tanzanya</x:v>
      </x:c>
      <x:c r="E334" s="1" t="str">
        <x:v>Erişilemedi</x:v>
      </x:c>
      <x:c r="F334" s="2" t="n">
        <x:v>0</x:v>
      </x:c>
      <x:c r="G334" t="str">
        <x:v>Gramaj + fiyat</x:v>
      </x:c>
      <x:c r="H334" t="str">
        <x:v>WooCommerce Store API</x:v>
      </x:c>
      <x:c r="I334" s="28" t="str">
        <x:v>https://collectivecoffeeroasters.com.tr/product/tanzania-mbinga/</x:v>
      </x:c>
      <x:c r="J334" s="28" t="str">
        <x:v>Fiyat veya gramaj eksik olsa da ürün korundu.</x:v>
      </x:c>
    </x:row>
    <x:row r="335">
      <x:c r="A335" t="str">
        <x:v>Collective Coffee Roasters</x:v>
      </x:c>
      <x:c r="B335" t="str">
        <x:v>Ürün kaydı</x:v>
      </x:c>
      <x:c r="C335" t="str">
        <x:v>Turkish Coffee</x:v>
      </x:c>
      <x:c r="D335" t="str">
        <x:v>Brezilya</x:v>
      </x:c>
      <x:c r="E335" s="1" t="str">
        <x:v>Erişilemedi</x:v>
      </x:c>
      <x:c r="F335" s="2" t="n">
        <x:v>0</x:v>
      </x:c>
      <x:c r="G335" t="str">
        <x:v>Gramaj + fiyat</x:v>
      </x:c>
      <x:c r="H335" t="str">
        <x:v>WooCommerce Store API</x:v>
      </x:c>
      <x:c r="I335" s="28" t="str">
        <x:v>https://collectivecoffeeroasters.com.tr/product/turkish-coffee/</x:v>
      </x:c>
      <x:c r="J335" s="28" t="str">
        <x:v>Fiyat veya gramaj eksik olsa da ürün korundu.</x:v>
      </x:c>
    </x:row>
    <x:row r="336">
      <x:c r="A336" t="str">
        <x:v>Cup of Joy</x:v>
      </x:c>
      <x:c r="B336" t="str">
        <x:v>Katalog takip kaydı</x:v>
      </x:c>
      <x:c r="C336" t="str">
        <x:v>Ürün kataloğu — ayrıntılı ürün verisine erişilemedi</x:v>
      </x:c>
      <x:c r="D336" t="str">
        <x:v>Erişilemedi</x:v>
      </x:c>
      <x:c r="E336" s="1" t="str">
        <x:v>Erişilemedi</x:v>
      </x:c>
      <x:c r="F336" s="2" t="str">
        <x:v>Erişilemedi</x:v>
      </x:c>
      <x:c r="G336" t="str">
        <x:v>Gramaj + fiyat</x:v>
      </x:c>
      <x:c r="H336" t="str">
        <x:v>Instagram veya mevcut kaynak</x:v>
      </x:c>
      <x:c r="I336" s="28" t="str">
        <x:v>Erişilemedi</x:v>
      </x:c>
      <x:c r="J336" s="28" t="str">
        <x:v>Ürün adı, gramaj ve fiyat birlikte çıkarılamadı. Bağlantı manuel inceleme için korundu.</x:v>
      </x:c>
    </x:row>
    <x:row r="337">
      <x:c r="A337" t="str">
        <x:v>Daphne Coffee Co.</x:v>
      </x:c>
      <x:c r="B337" t="str">
        <x:v>Katalog takip kaydı</x:v>
      </x:c>
      <x:c r="C337" t="str">
        <x:v>Ürün kataloğu — ayrıntılı ürün verisine erişilemedi</x:v>
      </x:c>
      <x:c r="D337" t="str">
        <x:v>Erişilemedi</x:v>
      </x:c>
      <x:c r="E337" s="1" t="str">
        <x:v>Erişilemedi</x:v>
      </x:c>
      <x:c r="F337" s="2" t="str">
        <x:v>Erişilemedi</x:v>
      </x:c>
      <x:c r="G337" t="str">
        <x:v>Gramaj + fiyat</x:v>
      </x:c>
      <x:c r="H337" t="str">
        <x:v>Instagram veya mevcut kaynak</x:v>
      </x:c>
      <x:c r="I337" s="28" t="str">
        <x:v>Erişilemedi</x:v>
      </x:c>
      <x:c r="J337" s="28" t="str">
        <x:v>Ürün adı, gramaj ve fiyat birlikte çıkarılamadı. Bağlantı manuel inceleme için korundu.</x:v>
      </x:c>
    </x:row>
    <x:row r="338">
      <x:c r="A338" t="str">
        <x:v>Deal Coffee Co.</x:v>
      </x:c>
      <x:c r="B338" t="str">
        <x:v>Ürün kaydı</x:v>
      </x:c>
      <x:c r="C338" t="str">
        <x:v>CEREMONY</x:v>
      </x:c>
      <x:c r="D338" t="str">
        <x:v>Kolombiya | Brezilya</x:v>
      </x:c>
      <x:c r="E338" s="1" t="str">
        <x:v>Erişilemedi</x:v>
      </x:c>
      <x:c r="F338" s="2" t="n">
        <x:v>540</x:v>
      </x:c>
      <x:c r="G338" t="str">
        <x:v>Gramaj</x:v>
      </x:c>
      <x:c r="H338" t="str">
        <x:v>Shopify ürün akışı</x:v>
      </x:c>
      <x:c r="I338" s="28" t="str">
        <x:v>https://deal.com.tr/products/ceremonyy</x:v>
      </x:c>
      <x:c r="J338" s="28" t="str">
        <x:v>Öğütüm seçenekleri tekilleştirildi.</x:v>
      </x:c>
    </x:row>
    <x:row r="339">
      <x:c r="A339" t="str">
        <x:v>Deal Coffee Co.</x:v>
      </x:c>
      <x:c r="B339" t="str">
        <x:v>Ürün kaydı</x:v>
      </x:c>
      <x:c r="C339" t="str">
        <x:v>CEREMONY</x:v>
      </x:c>
      <x:c r="D339" t="str">
        <x:v>Kolombiya | Brezilya</x:v>
      </x:c>
      <x:c r="E339" s="1" t="str">
        <x:v>Erişilemedi</x:v>
      </x:c>
      <x:c r="F339" s="2" t="n">
        <x:v>1944</x:v>
      </x:c>
      <x:c r="G339" t="str">
        <x:v>Gramaj</x:v>
      </x:c>
      <x:c r="H339" t="str">
        <x:v>Shopify ürün akışı</x:v>
      </x:c>
      <x:c r="I339" s="28" t="str">
        <x:v>https://deal.com.tr/products/ceremonyy</x:v>
      </x:c>
      <x:c r="J339" s="28" t="str">
        <x:v>Öğütüm seçenekleri tekilleştirildi.</x:v>
      </x:c>
    </x:row>
    <x:row r="340">
      <x:c r="A340" t="str">
        <x:v>Deal Coffee Co.</x:v>
      </x:c>
      <x:c r="B340" t="str">
        <x:v>Ürün kaydı</x:v>
      </x:c>
      <x:c r="C340" t="str">
        <x:v>Experimental Cold Brew</x:v>
      </x:c>
      <x:c r="D340" t="str">
        <x:v>Kolombiya | Hindistan</x:v>
      </x:c>
      <x:c r="E340" s="1" t="str">
        <x:v>Erişilemedi</x:v>
      </x:c>
      <x:c r="F340" s="2" t="n">
        <x:v>1100</x:v>
      </x:c>
      <x:c r="G340" t="str">
        <x:v>Gramaj</x:v>
      </x:c>
      <x:c r="H340" t="str">
        <x:v>Shopify ürün akışı</x:v>
      </x:c>
      <x:c r="I340" s="28" t="str">
        <x:v>https://deal.com.tr/products/experimental-cold-brew</x:v>
      </x:c>
      <x:c r="J340" s="28" t="str">
        <x:v>Öğütüm seçenekleri tekilleştirildi.</x:v>
      </x:c>
    </x:row>
    <x:row r="341">
      <x:c r="A341" t="str">
        <x:v>Deal Coffee Co.</x:v>
      </x:c>
      <x:c r="B341" t="str">
        <x:v>Ürün kaydı</x:v>
      </x:c>
      <x:c r="C341" t="str">
        <x:v>Orange Bourbon (Endonezya)</x:v>
      </x:c>
      <x:c r="D341" t="str">
        <x:v>Endonezya</x:v>
      </x:c>
      <x:c r="E341" s="1" t="str">
        <x:v>Erişilemedi</x:v>
      </x:c>
      <x:c r="F341" s="2" t="n">
        <x:v>850</x:v>
      </x:c>
      <x:c r="G341" t="str">
        <x:v>Gramaj</x:v>
      </x:c>
      <x:c r="H341" t="str">
        <x:v>Shopify ürün akışı</x:v>
      </x:c>
      <x:c r="I341" s="28" t="str">
        <x:v>https://deal.com.tr/products/endonezya-orange-bourbon</x:v>
      </x:c>
      <x:c r="J341" s="28" t="str">
        <x:v>Öğütüm seçenekleri tekilleştirildi.</x:v>
      </x:c>
    </x:row>
    <x:row r="342">
      <x:c r="A342" t="str">
        <x:v>Depo Coffee Roasting</x:v>
      </x:c>
      <x:c r="B342" t="str">
        <x:v>Ürün kaydı</x:v>
      </x:c>
      <x:c r="C342" t="str">
        <x:v>Online Sodexo ve Multinet &amp;ouml;deme se&amp;ccedil;enekleriyle Alışveriş Yapabilirsin!</x:v>
      </x:c>
      <x:c r="D342" t="str">
        <x:v>Panama</x:v>
      </x:c>
      <x:c r="E342" s="1" t="str">
        <x:v>Erişilemedi</x:v>
      </x:c>
      <x:c r="F342" s="2" t="n">
        <x:v>0</x:v>
      </x:c>
      <x:c r="G342" t="str">
        <x:v>Gramaj + fiyat</x:v>
      </x:c>
      <x:c r="H342" t="str">
        <x:v>Site haritası ürün sayfası</x:v>
      </x:c>
      <x:c r="I342" s="28" t="str">
        <x:v>https://www.depocoffeeroasting.com/post/12-panama-kahvesinin-özellikleri</x:v>
      </x:c>
      <x:c r="J342" s="28" t="str">
        <x:v>Ürün kimliği korundu; eksik alanlar erişilemedi olarak işaretlenecek.</x:v>
      </x:c>
    </x:row>
    <x:row r="343">
      <x:c r="A343" t="str">
        <x:v>Depo Coffee Roasting</x:v>
      </x:c>
      <x:c r="B343" t="str">
        <x:v>Ürün kaydı</x:v>
      </x:c>
      <x:c r="C343" t="str">
        <x:v>Online Sodexo ve Multinet &amp;ouml;deme se&amp;ccedil;enekleriyle Alışveriş Yapabilirsin!</x:v>
      </x:c>
      <x:c r="D343" t="str">
        <x:v>Menşe belirtilmemiş</x:v>
      </x:c>
      <x:c r="E343" s="1" t="n">
        <x:v>15</x:v>
      </x:c>
      <x:c r="F343" s="2" t="n">
        <x:v>0</x:v>
      </x:c>
      <x:c r="G343" t="str">
        <x:v>Fiyat</x:v>
      </x:c>
      <x:c r="H343" t="str">
        <x:v>Site haritası ürün sayfası</x:v>
      </x:c>
      <x:c r="I343" s="28" t="str">
        <x:v>https://www.depocoffeeroasting.com/post/french-press-nasıl-demlenir</x:v>
      </x:c>
      <x:c r="J343" s="28" t="str">
        <x:v>Ürün kimliği korundu; eksik alanlar erişilemedi olarak işaretlenecek.</x:v>
      </x:c>
    </x:row>
    <x:row r="344">
      <x:c r="A344" t="str">
        <x:v>Depo Coffee Roasting</x:v>
      </x:c>
      <x:c r="B344" t="str">
        <x:v>Ürün kaydı</x:v>
      </x:c>
      <x:c r="C344" t="str">
        <x:v>Online Sodexo ve Multinet &amp;ouml;deme se&amp;ccedil;enekleriyle Alışveriş Yapabilirsin!</x:v>
      </x:c>
      <x:c r="D344" t="str">
        <x:v>Menşe belirtilmemiş</x:v>
      </x:c>
      <x:c r="E344" s="1" t="n">
        <x:v>60000</x:v>
      </x:c>
      <x:c r="F344" s="2" t="n">
        <x:v>0</x:v>
      </x:c>
      <x:c r="G344" t="str">
        <x:v>Fiyat</x:v>
      </x:c>
      <x:c r="H344" t="str">
        <x:v>Site haritası ürün sayfası</x:v>
      </x:c>
      <x:c r="I344" s="28" t="str">
        <x:v>https://www.depocoffeeroasting.com/post/çin-in-kahve-üretimindeki-rolü</x:v>
      </x:c>
      <x:c r="J344" s="28" t="str">
        <x:v>Ürün kimliği korundu; eksik alanlar erişilemedi olarak işaretlenecek.</x:v>
      </x:c>
    </x:row>
    <x:row r="345">
      <x:c r="A345" t="str">
        <x:v>der Röster</x:v>
      </x:c>
      <x:c r="B345" t="str">
        <x:v>Katalog takip kaydı</x:v>
      </x:c>
      <x:c r="C345" t="str">
        <x:v>Ürün kataloğu — ayrıntılı ürün verisine erişilemedi</x:v>
      </x:c>
      <x:c r="D345" t="str">
        <x:v>Erişilemedi</x:v>
      </x:c>
      <x:c r="E345" s="1" t="str">
        <x:v>Erişilemedi</x:v>
      </x:c>
      <x:c r="F345" s="2" t="str">
        <x:v>Erişilemedi</x:v>
      </x:c>
      <x:c r="G345" t="str">
        <x:v>Gramaj + fiyat</x:v>
      </x:c>
      <x:c r="H345" t="str">
        <x:v>Mağaza/katalog bağlantısı</x:v>
      </x:c>
      <x:c r="I345" s="28" t="str">
        <x:v>https://derroster.com/der-roster</x:v>
      </x:c>
      <x:c r="J345" s="28" t="str">
        <x:v>Ürün adı, gramaj ve fiyat birlikte çıkarılamadı. Bağlantı manuel inceleme için korundu.</x:v>
      </x:c>
    </x:row>
    <x:row r="346">
      <x:c r="A346" t="str">
        <x:v>Edition Coffee Roastery</x:v>
      </x:c>
      <x:c r="B346" t="str">
        <x:v>Ürün kaydı</x:v>
      </x:c>
      <x:c r="C346" t="str">
        <x:v>Edition Coffee Roastery</x:v>
      </x:c>
      <x:c r="D346" t="str">
        <x:v>Menşe belirtilmemiş</x:v>
      </x:c>
      <x:c r="E346" s="1" t="str">
        <x:v>Erişilemedi</x:v>
      </x:c>
      <x:c r="F346" s="2" t="n">
        <x:v>850</x:v>
      </x:c>
      <x:c r="G346" t="str">
        <x:v>Gramaj</x:v>
      </x:c>
      <x:c r="H346" t="str">
        <x:v>Site haritası ürün sayfası</x:v>
      </x:c>
      <x:c r="I346" s="28" t="str">
        <x:v>https://editioncoffee.com.tr/</x:v>
      </x:c>
      <x:c r="J346" s="28" t="str">
        <x:v>Ürün kimliği korundu; eksik alanlar erişilemedi olarak işaretlenecek.</x:v>
      </x:c>
    </x:row>
    <x:row r="347">
      <x:c r="A347" t="str">
        <x:v>Espressolab</x:v>
      </x:c>
      <x:c r="B347" t="str">
        <x:v>Katalog takip kaydı</x:v>
      </x:c>
      <x:c r="C347" t="str">
        <x:v>Ürün kataloğu — ayrıntılı ürün verisine erişilemedi</x:v>
      </x:c>
      <x:c r="D347" t="str">
        <x:v>Erişilemedi</x:v>
      </x:c>
      <x:c r="E347" s="1" t="str">
        <x:v>Erişilemedi</x:v>
      </x:c>
      <x:c r="F347" s="2" t="str">
        <x:v>Erişilemedi</x:v>
      </x:c>
      <x:c r="G347" t="str">
        <x:v>Gramaj + fiyat</x:v>
      </x:c>
      <x:c r="H347" t="str">
        <x:v>Mağaza/katalog bağlantısı</x:v>
      </x:c>
      <x:c r="I347" s="28" t="str">
        <x:v>https://espressolab.com/alisveris</x:v>
      </x:c>
      <x:c r="J347" s="28" t="str">
        <x:v>Ürün adı, gramaj ve fiyat birlikte çıkarılamadı. Bağlantı manuel inceleme için korundu.</x:v>
      </x:c>
    </x:row>
    <x:row r="348">
      <x:c r="A348" t="str">
        <x:v>Fam Coffee</x:v>
      </x:c>
      <x:c r="B348" t="str">
        <x:v>Katalog takip kaydı</x:v>
      </x:c>
      <x:c r="C348" t="str">
        <x:v>Ürün kataloğu — ayrıntılı ürün verisine erişilemedi</x:v>
      </x:c>
      <x:c r="D348" t="str">
        <x:v>Erişilemedi</x:v>
      </x:c>
      <x:c r="E348" s="1" t="str">
        <x:v>Erişilemedi</x:v>
      </x:c>
      <x:c r="F348" s="2" t="str">
        <x:v>Erişilemedi</x:v>
      </x:c>
      <x:c r="G348" t="str">
        <x:v>Gramaj + fiyat</x:v>
      </x:c>
      <x:c r="H348" t="str">
        <x:v>Instagram veya mevcut kaynak</x:v>
      </x:c>
      <x:c r="I348" s="28" t="str">
        <x:v>Erişilemedi</x:v>
      </x:c>
      <x:c r="J348" s="28" t="str">
        <x:v>Ürün adı, gramaj ve fiyat birlikte çıkarılamadı. Bağlantı manuel inceleme için korundu.</x:v>
      </x:c>
    </x:row>
    <x:row r="349">
      <x:c r="A349" t="str">
        <x:v>Federal Coffee</x:v>
      </x:c>
      <x:c r="B349" t="str">
        <x:v>Katalog takip kaydı</x:v>
      </x:c>
      <x:c r="C349" t="str">
        <x:v>Ürün kataloğu — ayrıntılı ürün verisine erişilemedi</x:v>
      </x:c>
      <x:c r="D349" t="str">
        <x:v>Erişilemedi</x:v>
      </x:c>
      <x:c r="E349" s="1" t="str">
        <x:v>Erişilemedi</x:v>
      </x:c>
      <x:c r="F349" s="2" t="str">
        <x:v>Erişilemedi</x:v>
      </x:c>
      <x:c r="G349" t="str">
        <x:v>Gramaj + fiyat</x:v>
      </x:c>
      <x:c r="H349" t="str">
        <x:v>Instagram veya mevcut kaynak</x:v>
      </x:c>
      <x:c r="I349" s="28" t="str">
        <x:v>Erişilemedi</x:v>
      </x:c>
      <x:c r="J349" s="28" t="str">
        <x:v>Ürün adı, gramaj ve fiyat birlikte çıkarılamadı. Bağlantı manuel inceleme için korundu.</x:v>
      </x:c>
    </x:row>
    <x:row r="350">
      <x:c r="A350" t="str">
        <x:v>Four Letter Word Coffee</x:v>
      </x:c>
      <x:c r="B350" t="str">
        <x:v>Ürün kaydı</x:v>
      </x:c>
      <x:c r="C350" t="str">
        <x:v>-MAILING LIST- &amp;mdash; FOUR LETTER WORD COFFEE ROASTERS</x:v>
      </x:c>
      <x:c r="D350" t="str">
        <x:v>Menşe belirtilmemiş</x:v>
      </x:c>
      <x:c r="E350" s="1" t="str">
        <x:v>Erişilemedi</x:v>
      </x:c>
      <x:c r="F350" s="2" t="str">
        <x:v>Erişilemedi</x:v>
      </x:c>
      <x:c r="G350" t="str">
        <x:v>Gramaj + fiyat</x:v>
      </x:c>
      <x:c r="H350" t="str">
        <x:v>Site haritası ürün sayfası</x:v>
      </x:c>
      <x:c r="I350" s="28" t="str">
        <x:v>https://www.4lwcoffee.com/mailing-list</x:v>
      </x:c>
      <x:c r="J350" s="28" t="str">
        <x:v>Ürün kimliği korundu; eksik alanlar erişilemedi olarak işaretlenecek.</x:v>
      </x:c>
    </x:row>
    <x:row r="351">
      <x:c r="A351" t="str">
        <x:v>Four Letter Word Coffee</x:v>
      </x:c>
      <x:c r="B351" t="str">
        <x:v>Ürün kaydı</x:v>
      </x:c>
      <x:c r="C351" t="str">
        <x:v>2 LB Blend</x:v>
      </x:c>
      <x:c r="D351" t="str">
        <x:v>Harman – menşe belirtilmemiş</x:v>
      </x:c>
      <x:c r="E351" s="1" t="str">
        <x:v>Erişilemedi</x:v>
      </x:c>
      <x:c r="F351" s="2" t="n">
        <x:v>0</x:v>
      </x:c>
      <x:c r="G351" t="str">
        <x:v>Gramaj + fiyat</x:v>
      </x:c>
      <x:c r="H351" t="str">
        <x:v>Site haritası ürün sayfası</x:v>
      </x:c>
      <x:c r="I351" s="28" t="str">
        <x:v>https://www.4lwcoffee.com/subscription/p/subscription-blends-1</x:v>
      </x:c>
      <x:c r="J351" s="28" t="str">
        <x:v>Ürün kimliği korundu; eksik alanlar erişilemedi olarak işaretlenecek.</x:v>
      </x:c>
    </x:row>
    <x:row r="352">
      <x:c r="A352" t="str">
        <x:v>Four Letter Word Coffee</x:v>
      </x:c>
      <x:c r="B352" t="str">
        <x:v>Ürün kaydı</x:v>
      </x:c>
      <x:c r="C352" t="str">
        <x:v>4LW COFFEE ABOUT &amp;mdash; FOUR LETTER WORD COFFEE ROASTERS</x:v>
      </x:c>
      <x:c r="D352" t="str">
        <x:v>Menşe belirtilmemiş</x:v>
      </x:c>
      <x:c r="E352" s="1" t="str">
        <x:v>Erişilemedi</x:v>
      </x:c>
      <x:c r="F352" s="2" t="str">
        <x:v>Erişilemedi</x:v>
      </x:c>
      <x:c r="G352" t="str">
        <x:v>Gramaj + fiyat</x:v>
      </x:c>
      <x:c r="H352" t="str">
        <x:v>Site haritası ürün sayfası</x:v>
      </x:c>
      <x:c r="I352" s="28" t="str">
        <x:v>https://www.4lwcoffee.com/who-we-are</x:v>
      </x:c>
      <x:c r="J352" s="28" t="str">
        <x:v>Ürün kimliği korundu; eksik alanlar erişilemedi olarak işaretlenecek.</x:v>
      </x:c>
    </x:row>
    <x:row r="353">
      <x:c r="A353" t="str">
        <x:v>Four Letter Word Coffee</x:v>
      </x:c>
      <x:c r="B353" t="str">
        <x:v>Ürün kaydı</x:v>
      </x:c>
      <x:c r="C353" t="str">
        <x:v>ABOUT &amp;mdash; FOUR LETTER WORD COFFEE ROASTERS</x:v>
      </x:c>
      <x:c r="D353" t="str">
        <x:v>Menşe belirtilmemiş</x:v>
      </x:c>
      <x:c r="E353" s="1" t="str">
        <x:v>Erişilemedi</x:v>
      </x:c>
      <x:c r="F353" s="2" t="str">
        <x:v>Erişilemedi</x:v>
      </x:c>
      <x:c r="G353" t="str">
        <x:v>Gramaj + fiyat</x:v>
      </x:c>
      <x:c r="H353" t="str">
        <x:v>Site haritası ürün sayfası</x:v>
      </x:c>
      <x:c r="I353" s="28" t="str">
        <x:v>https://www.4lwcoffee.com/who</x:v>
      </x:c>
      <x:c r="J353" s="28" t="str">
        <x:v>Ürün kimliği korundu; eksik alanlar erişilemedi olarak işaretlenecek.</x:v>
      </x:c>
    </x:row>
    <x:row r="354">
      <x:c r="A354" t="str">
        <x:v>Four Letter Word Coffee</x:v>
      </x:c>
      <x:c r="B354" t="str">
        <x:v>Ürün kaydı</x:v>
      </x:c>
      <x:c r="C354" t="str">
        <x:v>Books &amp;mdash; FOUR LETTER WORD COFFEE ROASTERS</x:v>
      </x:c>
      <x:c r="D354" t="str">
        <x:v>Menşe belirtilmemiş</x:v>
      </x:c>
      <x:c r="E354" s="1" t="str">
        <x:v>Erişilemedi</x:v>
      </x:c>
      <x:c r="F354" s="2" t="str">
        <x:v>Erişilemedi</x:v>
      </x:c>
      <x:c r="G354" t="str">
        <x:v>Gramaj + fiyat</x:v>
      </x:c>
      <x:c r="H354" t="str">
        <x:v>Site haritası ürün sayfası</x:v>
      </x:c>
      <x:c r="I354" s="28" t="str">
        <x:v>https://www.4lwcoffee.com/books</x:v>
      </x:c>
      <x:c r="J354" s="28" t="str">
        <x:v>Ürün kimliği korundu; eksik alanlar erişilemedi olarak işaretlenecek.</x:v>
      </x:c>
    </x:row>
    <x:row r="355">
      <x:c r="A355" t="str">
        <x:v>Four Letter Word Coffee</x:v>
      </x:c>
      <x:c r="B355" t="str">
        <x:v>Ürün kaydı</x:v>
      </x:c>
      <x:c r="C355" t="str">
        <x:v>BRAZIL Matas</x:v>
      </x:c>
      <x:c r="D355" t="str">
        <x:v>Brezilya</x:v>
      </x:c>
      <x:c r="E355" s="1" t="str">
        <x:v>Erişilemedi</x:v>
      </x:c>
      <x:c r="F355" s="2" t="n">
        <x:v>0</x:v>
      </x:c>
      <x:c r="G355" t="str">
        <x:v>Gramaj + fiyat</x:v>
      </x:c>
      <x:c r="H355" t="str">
        <x:v>Site haritası ürün sayfası</x:v>
      </x:c>
      <x:c r="I355" s="28" t="str">
        <x:v>https://www.4lwcoffee.com/store-1/p/brazil-matas</x:v>
      </x:c>
      <x:c r="J355" s="28" t="str">
        <x:v>Ürün kimliği korundu; eksik alanlar erişilemedi olarak işaretlenecek.</x:v>
      </x:c>
    </x:row>
    <x:row r="356">
      <x:c r="A356" t="str">
        <x:v>Four Letter Word Coffee</x:v>
      </x:c>
      <x:c r="B356" t="str">
        <x:v>Ürün kaydı</x:v>
      </x:c>
      <x:c r="C356" t="str">
        <x:v>burgaz &amp;mdash; FOUR LETTER WORD COFFEE ROASTERS</x:v>
      </x:c>
      <x:c r="D356" t="str">
        <x:v>Menşe belirtilmemiş</x:v>
      </x:c>
      <x:c r="E356" s="1" t="str">
        <x:v>Erişilemedi</x:v>
      </x:c>
      <x:c r="F356" s="2" t="str">
        <x:v>Erişilemedi</x:v>
      </x:c>
      <x:c r="G356" t="str">
        <x:v>Gramaj + fiyat</x:v>
      </x:c>
      <x:c r="H356" t="str">
        <x:v>Site haritası ürün sayfası</x:v>
      </x:c>
      <x:c r="I356" s="28" t="str">
        <x:v>https://www.4lwcoffee.com/burgaz</x:v>
      </x:c>
      <x:c r="J356" s="28" t="str">
        <x:v>Ürün kimliği korundu; eksik alanlar erişilemedi olarak işaretlenecek.</x:v>
      </x:c>
    </x:row>
    <x:row r="357">
      <x:c r="A357" t="str">
        <x:v>Four Letter Word Coffee</x:v>
      </x:c>
      <x:c r="B357" t="str">
        <x:v>Ürün kaydı</x:v>
      </x:c>
      <x:c r="C357" t="str">
        <x:v>BURUNDI: LONG MILES COFFEE PROJECT</x:v>
      </x:c>
      <x:c r="D357" t="str">
        <x:v>Burundi</x:v>
      </x:c>
      <x:c r="E357" s="1" t="str">
        <x:v>Erişilemedi</x:v>
      </x:c>
      <x:c r="F357" s="2" t="str">
        <x:v>Erişilemedi</x:v>
      </x:c>
      <x:c r="G357" t="str">
        <x:v>Gramaj + fiyat</x:v>
      </x:c>
      <x:c r="H357" t="str">
        <x:v>Site haritası ürün sayfası</x:v>
      </x:c>
      <x:c r="I357" s="28" t="str">
        <x:v>https://www.4lwcoffee.com/info-long-miles-coffee</x:v>
      </x:c>
      <x:c r="J357" s="28" t="str">
        <x:v>Ürün kimliği korundu; eksik alanlar erişilemedi olarak işaretlenecek.</x:v>
      </x:c>
    </x:row>
    <x:row r="358">
      <x:c r="A358" t="str">
        <x:v>Four Letter Word Coffee</x:v>
      </x:c>
      <x:c r="B358" t="str">
        <x:v>Ürün kaydı</x:v>
      </x:c>
      <x:c r="C358" t="str">
        <x:v>Chicago Gallery &amp;mdash; FOUR LETTER WORD COFFEE ROASTERS</x:v>
      </x:c>
      <x:c r="D358" t="str">
        <x:v>Menşe belirtilmemiş</x:v>
      </x:c>
      <x:c r="E358" s="1" t="str">
        <x:v>Erişilemedi</x:v>
      </x:c>
      <x:c r="F358" s="2" t="n">
        <x:v>5</x:v>
      </x:c>
      <x:c r="G358" t="str">
        <x:v>Gramaj</x:v>
      </x:c>
      <x:c r="H358" t="str">
        <x:v>Site haritası ürün sayfası</x:v>
      </x:c>
      <x:c r="I358" s="28" t="str">
        <x:v>https://www.4lwcoffee.com/chicago-gallery</x:v>
      </x:c>
      <x:c r="J358" s="28" t="str">
        <x:v>Ürün kimliği korundu; eksik alanlar erişilemedi olarak işaretlenecek.</x:v>
      </x:c>
    </x:row>
    <x:row r="359">
      <x:c r="A359" t="str">
        <x:v>Four Letter Word Coffee</x:v>
      </x:c>
      <x:c r="B359" t="str">
        <x:v>Ürün kaydı</x:v>
      </x:c>
      <x:c r="C359" t="str">
        <x:v>COFFEE TRIPS</x:v>
      </x:c>
      <x:c r="D359" t="str">
        <x:v>Menşe belirtilmemiş</x:v>
      </x:c>
      <x:c r="E359" s="1" t="str">
        <x:v>Erişilemedi</x:v>
      </x:c>
      <x:c r="F359" s="2" t="str">
        <x:v>Erişilemedi</x:v>
      </x:c>
      <x:c r="G359" t="str">
        <x:v>Gramaj + fiyat</x:v>
      </x:c>
      <x:c r="H359" t="str">
        <x:v>Site haritası ürün sayfası</x:v>
      </x:c>
      <x:c r="I359" s="28" t="str">
        <x:v>https://www.4lwcoffee.com/origin-coming-soon</x:v>
      </x:c>
      <x:c r="J359" s="28" t="str">
        <x:v>Ürün kimliği korundu; eksik alanlar erişilemedi olarak işaretlenecek.</x:v>
      </x:c>
    </x:row>
    <x:row r="360">
      <x:c r="A360" t="str">
        <x:v>Four Letter Word Coffee</x:v>
      </x:c>
      <x:c r="B360" t="str">
        <x:v>Ürün kaydı</x:v>
      </x:c>
      <x:c r="C360" t="str">
        <x:v>coffees &amp;mdash; COFFEES &amp;mdash; FOUR LETTER WORD COFFEE ROASTERS</x:v>
      </x:c>
      <x:c r="D360" t="str">
        <x:v>Menşe belirtilmemiş</x:v>
      </x:c>
      <x:c r="E360" s="1" t="str">
        <x:v>Erişilemedi</x:v>
      </x:c>
      <x:c r="F360" s="2" t="n">
        <x:v>0</x:v>
      </x:c>
      <x:c r="G360" t="str">
        <x:v>Gramaj + fiyat</x:v>
      </x:c>
      <x:c r="H360" t="str">
        <x:v>Site haritası ürün sayfası</x:v>
      </x:c>
      <x:c r="I360" s="28" t="str">
        <x:v>https://www.4lwcoffee.com/store-1/coffees</x:v>
      </x:c>
      <x:c r="J360" s="28" t="str">
        <x:v>Ürün kimliği korundu; eksik alanlar erişilemedi olarak işaretlenecek.</x:v>
      </x:c>
    </x:row>
    <x:row r="361">
      <x:c r="A361" t="str">
        <x:v>Four Letter Word Coffee</x:v>
      </x:c>
      <x:c r="B361" t="str">
        <x:v>Ürün kaydı</x:v>
      </x:c>
      <x:c r="C361" t="str">
        <x:v>COFFEES &amp;mdash; FOUR LETTER WORD COFFEE ROASTERS</x:v>
      </x:c>
      <x:c r="D361" t="str">
        <x:v>Menşe belirtilmemiş</x:v>
      </x:c>
      <x:c r="E361" s="1" t="str">
        <x:v>Erişilemedi</x:v>
      </x:c>
      <x:c r="F361" s="2" t="n">
        <x:v>0</x:v>
      </x:c>
      <x:c r="G361" t="str">
        <x:v>Gramaj + fiyat</x:v>
      </x:c>
      <x:c r="H361" t="str">
        <x:v>Site haritası ürün sayfası</x:v>
      </x:c>
      <x:c r="I361" s="28" t="str">
        <x:v>https://www.4lwcoffee.com/store-1</x:v>
      </x:c>
      <x:c r="J361" s="28" t="str">
        <x:v>Ürün kimliği korundu; eksik alanlar erişilemedi olarak işaretlenecek.</x:v>
      </x:c>
    </x:row>
    <x:row r="362">
      <x:c r="A362" t="str">
        <x:v>Four Letter Word Coffee</x:v>
      </x:c>
      <x:c r="B362" t="str">
        <x:v>Ürün kaydı</x:v>
      </x:c>
      <x:c r="C362" t="str">
        <x:v>COLOMBIA Sidra de Luz</x:v>
      </x:c>
      <x:c r="D362" t="str">
        <x:v>Kolombiya</x:v>
      </x:c>
      <x:c r="E362" s="1" t="str">
        <x:v>Erişilemedi</x:v>
      </x:c>
      <x:c r="F362" s="2" t="n">
        <x:v>0</x:v>
      </x:c>
      <x:c r="G362" t="str">
        <x:v>Gramaj + fiyat</x:v>
      </x:c>
      <x:c r="H362" t="str">
        <x:v>Site haritası ürün sayfası</x:v>
      </x:c>
      <x:c r="I362" s="28" t="str">
        <x:v>https://www.4lwcoffee.com/store-1/p/colombia-sidra-de-luz</x:v>
      </x:c>
      <x:c r="J362" s="28" t="str">
        <x:v>Ürün kimliği korundu; eksik alanlar erişilemedi olarak işaretlenecek.</x:v>
      </x:c>
    </x:row>
    <x:row r="363">
      <x:c r="A363" t="str">
        <x:v>Four Letter Word Coffee</x:v>
      </x:c>
      <x:c r="B363" t="str">
        <x:v>Ürün kaydı</x:v>
      </x:c>
      <x:c r="C363" t="str">
        <x:v>COLOMBIA: LA PALMA Y EL TUCAN</x:v>
      </x:c>
      <x:c r="D363" t="str">
        <x:v>Kolombiya</x:v>
      </x:c>
      <x:c r="E363" s="1" t="str">
        <x:v>Erişilemedi</x:v>
      </x:c>
      <x:c r="F363" s="2" t="str">
        <x:v>Erişilemedi</x:v>
      </x:c>
      <x:c r="G363" t="str">
        <x:v>Gramaj + fiyat</x:v>
      </x:c>
      <x:c r="H363" t="str">
        <x:v>Site haritası ürün sayfası</x:v>
      </x:c>
      <x:c r="I363" s="28" t="str">
        <x:v>https://www.4lwcoffee.com/info-colombialapalma</x:v>
      </x:c>
      <x:c r="J363" s="28" t="str">
        <x:v>Ürün kimliği korundu; eksik alanlar erişilemedi olarak işaretlenecek.</x:v>
      </x:c>
    </x:row>
    <x:row r="364">
      <x:c r="A364" t="str">
        <x:v>Four Letter Word Coffee</x:v>
      </x:c>
      <x:c r="B364" t="str">
        <x:v>Ürün kaydı</x:v>
      </x:c>
      <x:c r="C364" t="str">
        <x:v>COLOMBIA: MARIA BERCELIA MARTINEZ</x:v>
      </x:c>
      <x:c r="D364" t="str">
        <x:v>Kolombiya</x:v>
      </x:c>
      <x:c r="E364" s="1" t="str">
        <x:v>Erişilemedi</x:v>
      </x:c>
      <x:c r="F364" s="2" t="str">
        <x:v>Erişilemedi</x:v>
      </x:c>
      <x:c r="G364" t="str">
        <x:v>Gramaj + fiyat</x:v>
      </x:c>
      <x:c r="H364" t="str">
        <x:v>Site haritası ürün sayfası</x:v>
      </x:c>
      <x:c r="I364" s="28" t="str">
        <x:v>https://www.4lwcoffee.com/info-colombia-maria-bercelia</x:v>
      </x:c>
      <x:c r="J364" s="28" t="str">
        <x:v>Ürün kimliği korundu; eksik alanlar erişilemedi olarak işaretlenecek.</x:v>
      </x:c>
    </x:row>
    <x:row r="365">
      <x:c r="A365" t="str">
        <x:v>Four Letter Word Coffee</x:v>
      </x:c>
      <x:c r="B365" t="str">
        <x:v>Ürün kaydı</x:v>
      </x:c>
      <x:c r="C365" t="str">
        <x:v>CONTACT US &amp;mdash; FOUR LETTER WORD COFFEE ROASTERS</x:v>
      </x:c>
      <x:c r="D365" t="str">
        <x:v>Menşe belirtilmemiş</x:v>
      </x:c>
      <x:c r="E365" s="1" t="str">
        <x:v>Erişilemedi</x:v>
      </x:c>
      <x:c r="F365" s="2" t="str">
        <x:v>Erişilemedi</x:v>
      </x:c>
      <x:c r="G365" t="str">
        <x:v>Gramaj + fiyat</x:v>
      </x:c>
      <x:c r="H365" t="str">
        <x:v>Site haritası ürün sayfası</x:v>
      </x:c>
      <x:c r="I365" s="28" t="str">
        <x:v>https://www.4lwcoffee.com/contact-us</x:v>
      </x:c>
      <x:c r="J365" s="28" t="str">
        <x:v>Ürün kimliği korundu; eksik alanlar erişilemedi olarak işaretlenecek.</x:v>
      </x:c>
    </x:row>
    <x:row r="366">
      <x:c r="A366" t="str">
        <x:v>Four Letter Word Coffee</x:v>
      </x:c>
      <x:c r="B366" t="str">
        <x:v>Ürün kaydı</x:v>
      </x:c>
      <x:c r="C366" t="str">
        <x:v>DECAF Ethiopia Aba Mecha</x:v>
      </x:c>
      <x:c r="D366" t="str">
        <x:v>Etiyopya</x:v>
      </x:c>
      <x:c r="E366" s="1" t="str">
        <x:v>Erişilemedi</x:v>
      </x:c>
      <x:c r="F366" s="2" t="n">
        <x:v>0</x:v>
      </x:c>
      <x:c r="G366" t="str">
        <x:v>Gramaj + fiyat</x:v>
      </x:c>
      <x:c r="H366" t="str">
        <x:v>Site haritası ürün sayfası</x:v>
      </x:c>
      <x:c r="I366" s="28" t="str">
        <x:v>https://www.4lwcoffee.com/store-1/p/decaf-ethiopia-aba-mecha</x:v>
      </x:c>
      <x:c r="J366" s="28" t="str">
        <x:v>Ürün kimliği korundu; eksik alanlar erişilemedi olarak işaretlenecek.</x:v>
      </x:c>
    </x:row>
    <x:row r="367">
      <x:c r="A367" t="str">
        <x:v>Four Letter Word Coffee</x:v>
      </x:c>
      <x:c r="B367" t="str">
        <x:v>Ürün kaydı</x:v>
      </x:c>
      <x:c r="C367" t="str">
        <x:v>Description &amp;mdash; FOUR LETTER WORD COFFEE ROASTERS</x:v>
      </x:c>
      <x:c r="D367" t="str">
        <x:v>Menşe belirtilmemiş</x:v>
      </x:c>
      <x:c r="E367" s="1" t="str">
        <x:v>Erişilemedi</x:v>
      </x:c>
      <x:c r="F367" s="2" t="str">
        <x:v>Erişilemedi</x:v>
      </x:c>
      <x:c r="G367" t="str">
        <x:v>Gramaj + fiyat</x:v>
      </x:c>
      <x:c r="H367" t="str">
        <x:v>Site haritası ürün sayfası</x:v>
      </x:c>
      <x:c r="I367" s="28" t="str">
        <x:v>https://www.4lwcoffee.com/description-foster</x:v>
      </x:c>
      <x:c r="J367" s="28" t="str">
        <x:v>Ürün kimliği korundu; eksik alanlar erişilemedi olarak işaretlenecek.</x:v>
      </x:c>
    </x:row>
    <x:row r="368">
      <x:c r="A368" t="str">
        <x:v>Four Letter Word Coffee</x:v>
      </x:c>
      <x:c r="B368" t="str">
        <x:v>Ürün kaydı</x:v>
      </x:c>
      <x:c r="C368" t="str">
        <x:v>ECUADOR La Papaya Typica Mejorado</x:v>
      </x:c>
      <x:c r="D368" t="str">
        <x:v>Menşe belirtilmemiş</x:v>
      </x:c>
      <x:c r="E368" s="1" t="str">
        <x:v>Erişilemedi</x:v>
      </x:c>
      <x:c r="F368" s="2" t="n">
        <x:v>0</x:v>
      </x:c>
      <x:c r="G368" t="str">
        <x:v>Gramaj + fiyat</x:v>
      </x:c>
      <x:c r="H368" t="str">
        <x:v>Site haritası ürün sayfası</x:v>
      </x:c>
      <x:c r="I368" s="28" t="str">
        <x:v>https://www.4lwcoffee.com/store-1/p/ecuador-la-papaya-anaerobic-2629c-b4sxs-k754g</x:v>
      </x:c>
      <x:c r="J368" s="28" t="str">
        <x:v>Ürün kimliği korundu; eksik alanlar erişilemedi olarak işaretlenecek.</x:v>
      </x:c>
    </x:row>
    <x:row r="369">
      <x:c r="A369" t="str">
        <x:v>Four Letter Word Coffee</x:v>
      </x:c>
      <x:c r="B369" t="str">
        <x:v>Ürün kaydı</x:v>
      </x:c>
      <x:c r="C369" t="str">
        <x:v>ETHIOPIA Aricha</x:v>
      </x:c>
      <x:c r="D369" t="str">
        <x:v>Etiyopya</x:v>
      </x:c>
      <x:c r="E369" s="1" t="str">
        <x:v>Erişilemedi</x:v>
      </x:c>
      <x:c r="F369" s="2" t="n">
        <x:v>0</x:v>
      </x:c>
      <x:c r="G369" t="str">
        <x:v>Gramaj + fiyat</x:v>
      </x:c>
      <x:c r="H369" t="str">
        <x:v>Site haritası ürün sayfası</x:v>
      </x:c>
      <x:c r="I369" s="28" t="str">
        <x:v>https://www.4lwcoffee.com/store-1/p/ethiopia-kebena-4zs6l</x:v>
      </x:c>
      <x:c r="J369" s="28" t="str">
        <x:v>Ürün kimliği korundu; eksik alanlar erişilemedi olarak işaretlenecek.</x:v>
      </x:c>
    </x:row>
    <x:row r="370">
      <x:c r="A370" t="str">
        <x:v>Four Letter Word Coffee</x:v>
      </x:c>
      <x:c r="B370" t="str">
        <x:v>Ürün kaydı</x:v>
      </x:c>
      <x:c r="C370" t="str">
        <x:v>ETHIOPIA: GESHA VILLAGE ESTATE</x:v>
      </x:c>
      <x:c r="D370" t="str">
        <x:v>Etiyopya</x:v>
      </x:c>
      <x:c r="E370" s="1" t="str">
        <x:v>Erişilemedi</x:v>
      </x:c>
      <x:c r="F370" s="2" t="str">
        <x:v>Erişilemedi</x:v>
      </x:c>
      <x:c r="G370" t="str">
        <x:v>Gramaj + fiyat</x:v>
      </x:c>
      <x:c r="H370" t="str">
        <x:v>Site haritası ürün sayfası</x:v>
      </x:c>
      <x:c r="I370" s="28" t="str">
        <x:v>https://www.4lwcoffee.com/info-gesha-village</x:v>
      </x:c>
      <x:c r="J370" s="28" t="str">
        <x:v>Ürün kimliği korundu; eksik alanlar erişilemedi olarak işaretlenecek.</x:v>
      </x:c>
    </x:row>
    <x:row r="371">
      <x:c r="A371" t="str">
        <x:v>Four Letter Word Coffee</x:v>
      </x:c>
      <x:c r="B371" t="str">
        <x:v>Ürün kaydı</x:v>
      </x:c>
      <x:c r="C371" t="str">
        <x:v>ETHIOPIA: HELEANNA GEORGALIS</x:v>
      </x:c>
      <x:c r="D371" t="str">
        <x:v>Etiyopya</x:v>
      </x:c>
      <x:c r="E371" s="1" t="str">
        <x:v>Erişilemedi</x:v>
      </x:c>
      <x:c r="F371" s="2" t="n">
        <x:v>0</x:v>
      </x:c>
      <x:c r="G371" t="str">
        <x:v>Gramaj + fiyat</x:v>
      </x:c>
      <x:c r="H371" t="str">
        <x:v>Site haritası ürün sayfası</x:v>
      </x:c>
      <x:c r="I371" s="28" t="str">
        <x:v>https://www.4lwcoffee.com/info-ethiopia</x:v>
      </x:c>
      <x:c r="J371" s="28" t="str">
        <x:v>Ürün kimliği korundu; eksik alanlar erişilemedi olarak işaretlenecek.</x:v>
      </x:c>
    </x:row>
    <x:row r="372">
      <x:c r="A372" t="str">
        <x:v>Four Letter Word Coffee</x:v>
      </x:c>
      <x:c r="B372" t="str">
        <x:v>Ürün kaydı</x:v>
      </x:c>
      <x:c r="C372" t="str">
        <x:v>FOUR LETTER WORD COFFEE ROASTERS | Chicago Specialty Coffee</x:v>
      </x:c>
      <x:c r="D372" t="str">
        <x:v>Menşe belirtilmemiş</x:v>
      </x:c>
      <x:c r="E372" s="1" t="str">
        <x:v>Erişilemedi</x:v>
      </x:c>
      <x:c r="F372" s="2" t="str">
        <x:v>Erişilemedi</x:v>
      </x:c>
      <x:c r="G372" t="str">
        <x:v>Gramaj + fiyat</x:v>
      </x:c>
      <x:c r="H372" t="str">
        <x:v>Site haritası ürün sayfası</x:v>
      </x:c>
      <x:c r="I372" s="28" t="str">
        <x:v>https://www.4lwcoffee.com/home</x:v>
      </x:c>
      <x:c r="J372" s="28" t="str">
        <x:v>Ürün kimliği korundu; eksik alanlar erişilemedi olarak işaretlenecek.</x:v>
      </x:c>
    </x:row>
    <x:row r="373">
      <x:c r="A373" t="str">
        <x:v>Four Letter Word Coffee</x:v>
      </x:c>
      <x:c r="B373" t="str">
        <x:v>Ürün kaydı</x:v>
      </x:c>
      <x:c r="C373" t="str">
        <x:v>Gallery Introduction &amp;mdash; FOUR LETTER WORD COFFEE ROASTERS</x:v>
      </x:c>
      <x:c r="D373" t="str">
        <x:v>Menşe belirtilmemiş</x:v>
      </x:c>
      <x:c r="E373" s="1" t="str">
        <x:v>Erişilemedi</x:v>
      </x:c>
      <x:c r="F373" s="2" t="str">
        <x:v>Erişilemedi</x:v>
      </x:c>
      <x:c r="G373" t="str">
        <x:v>Gramaj + fiyat</x:v>
      </x:c>
      <x:c r="H373" t="str">
        <x:v>Site haritası ürün sayfası</x:v>
      </x:c>
      <x:c r="I373" s="28" t="str">
        <x:v>https://www.4lwcoffee.com/gallery-introduction-foster</x:v>
      </x:c>
      <x:c r="J373" s="28" t="str">
        <x:v>Ürün kimliği korundu; eksik alanlar erişilemedi olarak işaretlenecek.</x:v>
      </x:c>
    </x:row>
    <x:row r="374">
      <x:c r="A374" t="str">
        <x:v>Four Letter Word Coffee</x:v>
      </x:c>
      <x:c r="B374" t="str">
        <x:v>Ürün kaydı</x:v>
      </x:c>
      <x:c r="C374" t="str">
        <x:v>Hero Image &amp;mdash; FOUR LETTER WORD COFFEE ROASTERS</x:v>
      </x:c>
      <x:c r="D374" t="str">
        <x:v>Menşe belirtilmemiş</x:v>
      </x:c>
      <x:c r="E374" s="1" t="str">
        <x:v>Erişilemedi</x:v>
      </x:c>
      <x:c r="F374" s="2" t="str">
        <x:v>Erişilemedi</x:v>
      </x:c>
      <x:c r="G374" t="str">
        <x:v>Gramaj + fiyat</x:v>
      </x:c>
      <x:c r="H374" t="str">
        <x:v>Site haritası ürün sayfası</x:v>
      </x:c>
      <x:c r="I374" s="28" t="str">
        <x:v>https://www.4lwcoffee.com/hero-image-foster</x:v>
      </x:c>
      <x:c r="J374" s="28" t="str">
        <x:v>Ürün kimliği korundu; eksik alanlar erişilemedi olarak işaretlenecek.</x:v>
      </x:c>
    </x:row>
    <x:row r="375">
      <x:c r="A375" t="str">
        <x:v>Four Letter Word Coffee</x:v>
      </x:c>
      <x:c r="B375" t="str">
        <x:v>Ürün kaydı</x:v>
      </x:c>
      <x:c r="C375" t="str">
        <x:v>HONDURAS: ROBERTO FIGUEROA</x:v>
      </x:c>
      <x:c r="D375" t="str">
        <x:v>Honduras</x:v>
      </x:c>
      <x:c r="E375" s="1" t="str">
        <x:v>Erişilemedi</x:v>
      </x:c>
      <x:c r="F375" s="2" t="str">
        <x:v>Erişilemedi</x:v>
      </x:c>
      <x:c r="G375" t="str">
        <x:v>Gramaj + fiyat</x:v>
      </x:c>
      <x:c r="H375" t="str">
        <x:v>Site haritası ürün sayfası</x:v>
      </x:c>
      <x:c r="I375" s="28" t="str">
        <x:v>https://www.4lwcoffee.com/info-roberto-figueroa</x:v>
      </x:c>
      <x:c r="J375" s="28" t="str">
        <x:v>Ürün kimliği korundu; eksik alanlar erişilemedi olarak işaretlenecek.</x:v>
      </x:c>
    </x:row>
    <x:row r="376">
      <x:c r="A376" t="str">
        <x:v>Four Letter Word Coffee</x:v>
      </x:c>
      <x:c r="B376" t="str">
        <x:v>Ürün kaydı</x:v>
      </x:c>
      <x:c r="C376" t="str">
        <x:v>INFO: Gichata-Ini AA &amp;mdash; FOUR LETTER WORD COFFEE ROASTERS</x:v>
      </x:c>
      <x:c r="D376" t="str">
        <x:v>Menşe belirtilmemiş</x:v>
      </x:c>
      <x:c r="E376" s="1" t="str">
        <x:v>Erişilemedi</x:v>
      </x:c>
      <x:c r="F376" s="2" t="str">
        <x:v>Erişilemedi</x:v>
      </x:c>
      <x:c r="G376" t="str">
        <x:v>Gramaj + fiyat</x:v>
      </x:c>
      <x:c r="H376" t="str">
        <x:v>Site haritası ürün sayfası</x:v>
      </x:c>
      <x:c r="I376" s="28" t="str">
        <x:v>https://www.4lwcoffee.com/info-gichataini-aa</x:v>
      </x:c>
      <x:c r="J376" s="28" t="str">
        <x:v>Ürün kimliği korundu; eksik alanlar erişilemedi olarak işaretlenecek.</x:v>
      </x:c>
    </x:row>
    <x:row r="377">
      <x:c r="A377" t="str">
        <x:v>Four Letter Word Coffee</x:v>
      </x:c>
      <x:c r="B377" t="str">
        <x:v>Ürün kaydı</x:v>
      </x:c>
      <x:c r="C377" t="str">
        <x:v>INFO: Jesucita &amp;mdash; FOUR LETTER WORD COFFEE ROASTERS</x:v>
      </x:c>
      <x:c r="D377" t="str">
        <x:v>Menşe belirtilmemiş</x:v>
      </x:c>
      <x:c r="E377" s="1" t="str">
        <x:v>Erişilemedi</x:v>
      </x:c>
      <x:c r="F377" s="2" t="str">
        <x:v>Erişilemedi</x:v>
      </x:c>
      <x:c r="G377" t="str">
        <x:v>Gramaj + fiyat</x:v>
      </x:c>
      <x:c r="H377" t="str">
        <x:v>Site haritası ürün sayfası</x:v>
      </x:c>
      <x:c r="I377" s="28" t="str">
        <x:v>https://www.4lwcoffee.com/info-jesucita</x:v>
      </x:c>
      <x:c r="J377" s="28" t="str">
        <x:v>Ürün kimliği korundu; eksik alanlar erişilemedi olarak işaretlenecek.</x:v>
      </x:c>
    </x:row>
    <x:row r="378">
      <x:c r="A378" t="str">
        <x:v>Four Letter Word Coffee</x:v>
      </x:c>
      <x:c r="B378" t="str">
        <x:v>Ürün kaydı</x:v>
      </x:c>
      <x:c r="C378" t="str">
        <x:v>INFO: Trifecta Africa &amp;mdash; FOUR LETTER WORD COFFEE ROASTERS</x:v>
      </x:c>
      <x:c r="D378" t="str">
        <x:v>Menşe belirtilmemiş</x:v>
      </x:c>
      <x:c r="E378" s="1" t="str">
        <x:v>Erişilemedi</x:v>
      </x:c>
      <x:c r="F378" s="2" t="str">
        <x:v>Erişilemedi</x:v>
      </x:c>
      <x:c r="G378" t="str">
        <x:v>Gramaj + fiyat</x:v>
      </x:c>
      <x:c r="H378" t="str">
        <x:v>Site haritası ürün sayfası</x:v>
      </x:c>
      <x:c r="I378" s="28" t="str">
        <x:v>https://www.4lwcoffee.com/info-trifecta-africa</x:v>
      </x:c>
      <x:c r="J378" s="28" t="str">
        <x:v>Ürün kimliği korundu; eksik alanlar erişilemedi olarak işaretlenecek.</x:v>
      </x:c>
    </x:row>
    <x:row r="379">
      <x:c r="A379" t="str">
        <x:v>Four Letter Word Coffee</x:v>
      </x:c>
      <x:c r="B379" t="str">
        <x:v>Ürün kaydı</x:v>
      </x:c>
      <x:c r="C379" t="str">
        <x:v>INFO: Trifecta Americas &amp;mdash; FOUR LETTER WORD COFFEE ROASTERS</x:v>
      </x:c>
      <x:c r="D379" t="str">
        <x:v>Menşe belirtilmemiş</x:v>
      </x:c>
      <x:c r="E379" s="1" t="str">
        <x:v>Erişilemedi</x:v>
      </x:c>
      <x:c r="F379" s="2" t="str">
        <x:v>Erişilemedi</x:v>
      </x:c>
      <x:c r="G379" t="str">
        <x:v>Gramaj + fiyat</x:v>
      </x:c>
      <x:c r="H379" t="str">
        <x:v>Site haritası ürün sayfası</x:v>
      </x:c>
      <x:c r="I379" s="28" t="str">
        <x:v>https://www.4lwcoffee.com/info-trifecta-americas</x:v>
      </x:c>
      <x:c r="J379" s="28" t="str">
        <x:v>Ürün kimliği korundu; eksik alanlar erişilemedi olarak işaretlenecek.</x:v>
      </x:c>
    </x:row>
    <x:row r="380">
      <x:c r="A380" t="str">
        <x:v>Four Letter Word Coffee</x:v>
      </x:c>
      <x:c r="B380" t="str">
        <x:v>Ürün kaydı</x:v>
      </x:c>
      <x:c r="C380" t="str">
        <x:v>KENYA: GAKUYU-INI AB</x:v>
      </x:c>
      <x:c r="D380" t="str">
        <x:v>Kenya</x:v>
      </x:c>
      <x:c r="E380" s="1" t="str">
        <x:v>Erişilemedi</x:v>
      </x:c>
      <x:c r="F380" s="2" t="str">
        <x:v>Erişilemedi</x:v>
      </x:c>
      <x:c r="G380" t="str">
        <x:v>Gramaj + fiyat</x:v>
      </x:c>
      <x:c r="H380" t="str">
        <x:v>Site haritası ürün sayfası</x:v>
      </x:c>
      <x:c r="I380" s="28" t="str">
        <x:v>https://www.4lwcoffee.com/info-kenyagakuyuini</x:v>
      </x:c>
      <x:c r="J380" s="28" t="str">
        <x:v>Ürün kimliği korundu; eksik alanlar erişilemedi olarak işaretlenecek.</x:v>
      </x:c>
    </x:row>
    <x:row r="381">
      <x:c r="A381" t="str">
        <x:v>Four Letter Word Coffee</x:v>
      </x:c>
      <x:c r="B381" t="str">
        <x:v>Ürün kaydı</x:v>
      </x:c>
      <x:c r="C381" t="str">
        <x:v>logan diversey &amp;mdash; FOUR LETTER WORD COFFEE ROASTERS</x:v>
      </x:c>
      <x:c r="D381" t="str">
        <x:v>Menşe belirtilmemiş</x:v>
      </x:c>
      <x:c r="E381" s="1" t="str">
        <x:v>Erişilemedi</x:v>
      </x:c>
      <x:c r="F381" s="2" t="str">
        <x:v>Erişilemedi</x:v>
      </x:c>
      <x:c r="G381" t="str">
        <x:v>Gramaj + fiyat</x:v>
      </x:c>
      <x:c r="H381" t="str">
        <x:v>Site haritası ürün sayfası</x:v>
      </x:c>
      <x:c r="I381" s="28" t="str">
        <x:v>https://www.4lwcoffee.com/logan-diversey</x:v>
      </x:c>
      <x:c r="J381" s="28" t="str">
        <x:v>Ürün kimliği korundu; eksik alanlar erişilemedi olarak işaretlenecek.</x:v>
      </x:c>
    </x:row>
    <x:row r="382">
      <x:c r="A382" t="str">
        <x:v>Four Letter Word Coffee</x:v>
      </x:c>
      <x:c r="B382" t="str">
        <x:v>Ürün kaydı</x:v>
      </x:c>
      <x:c r="C382" t="str">
        <x:v>merchandise &amp;mdash; COFFEES &amp;mdash; FOUR LETTER WORD COFFEE ROASTERS</x:v>
      </x:c>
      <x:c r="D382" t="str">
        <x:v>Menşe belirtilmemiş</x:v>
      </x:c>
      <x:c r="E382" s="1" t="str">
        <x:v>Erişilemedi</x:v>
      </x:c>
      <x:c r="F382" s="2" t="n">
        <x:v>0</x:v>
      </x:c>
      <x:c r="G382" t="str">
        <x:v>Gramaj + fiyat</x:v>
      </x:c>
      <x:c r="H382" t="str">
        <x:v>Site haritası ürün sayfası</x:v>
      </x:c>
      <x:c r="I382" s="28" t="str">
        <x:v>https://www.4lwcoffee.com/store-1/merchandise</x:v>
      </x:c>
      <x:c r="J382" s="28" t="str">
        <x:v>Ürün kimliği korundu; eksik alanlar erişilemedi olarak işaretlenecek.</x:v>
      </x:c>
    </x:row>
    <x:row r="383">
      <x:c r="A383" t="str">
        <x:v>Four Letter Word Coffee</x:v>
      </x:c>
      <x:c r="B383" t="str">
        <x:v>Ürün kaydı</x:v>
      </x:c>
      <x:c r="C383" t="str">
        <x:v>New Gallery &amp;mdash; FOUR LETTER WORD COFFEE ROASTERS</x:v>
      </x:c>
      <x:c r="D383" t="str">
        <x:v>Menşe belirtilmemiş</x:v>
      </x:c>
      <x:c r="E383" s="1" t="str">
        <x:v>Erişilemedi</x:v>
      </x:c>
      <x:c r="F383" s="2" t="str">
        <x:v>Erişilemedi</x:v>
      </x:c>
      <x:c r="G383" t="str">
        <x:v>Gramaj + fiyat</x:v>
      </x:c>
      <x:c r="H383" t="str">
        <x:v>Site haritası ürün sayfası</x:v>
      </x:c>
      <x:c r="I383" s="28" t="str">
        <x:v>https://www.4lwcoffee.com/new-gallery-2</x:v>
      </x:c>
      <x:c r="J383" s="28" t="str">
        <x:v>Ürün kimliği korundu; eksik alanlar erişilemedi olarak işaretlenecek.</x:v>
      </x:c>
    </x:row>
    <x:row r="384">
      <x:c r="A384" t="str">
        <x:v>Four Letter Word Coffee</x:v>
      </x:c>
      <x:c r="B384" t="str">
        <x:v>Ürün kaydı</x:v>
      </x:c>
      <x:c r="C384" t="str">
        <x:v>New Page &amp;mdash; FOUR LETTER WORD COFFEE ROASTERS</x:v>
      </x:c>
      <x:c r="D384" t="str">
        <x:v>Menşe belirtilmemiş</x:v>
      </x:c>
      <x:c r="E384" s="1" t="str">
        <x:v>Erişilemedi</x:v>
      </x:c>
      <x:c r="F384" s="2" t="str">
        <x:v>Erişilemedi</x:v>
      </x:c>
      <x:c r="G384" t="str">
        <x:v>Gramaj + fiyat</x:v>
      </x:c>
      <x:c r="H384" t="str">
        <x:v>Site haritası ürün sayfası</x:v>
      </x:c>
      <x:c r="I384" s="28" t="str">
        <x:v>https://www.4lwcoffee.com/new-page</x:v>
      </x:c>
      <x:c r="J384" s="28" t="str">
        <x:v>Ürün kimliği korundu; eksik alanlar erişilemedi olarak işaretlenecek.</x:v>
      </x:c>
    </x:row>
    <x:row r="385">
      <x:c r="A385" t="str">
        <x:v>Four Letter Word Coffee</x:v>
      </x:c>
      <x:c r="B385" t="str">
        <x:v>Ürün kaydı</x:v>
      </x:c>
      <x:c r="C385" t="str">
        <x:v>Plant Gallery &amp;mdash; FOUR LETTER WORD COFFEE ROASTERS</x:v>
      </x:c>
      <x:c r="D385" t="str">
        <x:v>Menşe belirtilmemiş</x:v>
      </x:c>
      <x:c r="E385" s="1" t="str">
        <x:v>Erişilemedi</x:v>
      </x:c>
      <x:c r="F385" s="2" t="str">
        <x:v>Erişilemedi</x:v>
      </x:c>
      <x:c r="G385" t="str">
        <x:v>Gramaj + fiyat</x:v>
      </x:c>
      <x:c r="H385" t="str">
        <x:v>Site haritası ürün sayfası</x:v>
      </x:c>
      <x:c r="I385" s="28" t="str">
        <x:v>https://www.4lwcoffee.com/plant-gallery</x:v>
      </x:c>
      <x:c r="J385" s="28" t="str">
        <x:v>Ürün kimliği korundu; eksik alanlar erişilemedi olarak işaretlenecek.</x:v>
      </x:c>
    </x:row>
    <x:row r="386">
      <x:c r="A386" t="str">
        <x:v>Four Letter Word Coffee</x:v>
      </x:c>
      <x:c r="B386" t="str">
        <x:v>Ürün kaydı</x:v>
      </x:c>
      <x:c r="C386" t="str">
        <x:v>Roasters Choice Single Origins</x:v>
      </x:c>
      <x:c r="D386" t="str">
        <x:v>Menşe belirtilmemiş</x:v>
      </x:c>
      <x:c r="E386" s="1" t="str">
        <x:v>Erişilemedi</x:v>
      </x:c>
      <x:c r="F386" s="2" t="n">
        <x:v>0</x:v>
      </x:c>
      <x:c r="G386" t="str">
        <x:v>Gramaj + fiyat</x:v>
      </x:c>
      <x:c r="H386" t="str">
        <x:v>Site haritası ürün sayfası</x:v>
      </x:c>
      <x:c r="I386" s="28" t="str">
        <x:v>https://www.4lwcoffee.com/subscription/p/subscription-roasters-choice-2</x:v>
      </x:c>
      <x:c r="J386" s="28" t="str">
        <x:v>Ürün kimliği korundu; eksik alanlar erişilemedi olarak işaretlenecek.</x:v>
      </x:c>
    </x:row>
    <x:row r="387">
      <x:c r="A387" t="str">
        <x:v>Four Letter Word Coffee</x:v>
      </x:c>
      <x:c r="B387" t="str">
        <x:v>Ürün kaydı</x:v>
      </x:c>
      <x:c r="C387" t="str">
        <x:v>Shop Gallery &amp;mdash; FOUR LETTER WORD COFFEE ROASTERS</x:v>
      </x:c>
      <x:c r="D387" t="str">
        <x:v>Menşe belirtilmemiş</x:v>
      </x:c>
      <x:c r="E387" s="1" t="str">
        <x:v>Erişilemedi</x:v>
      </x:c>
      <x:c r="F387" s="2" t="str">
        <x:v>Erişilemedi</x:v>
      </x:c>
      <x:c r="G387" t="str">
        <x:v>Gramaj + fiyat</x:v>
      </x:c>
      <x:c r="H387" t="str">
        <x:v>Site haritası ürün sayfası</x:v>
      </x:c>
      <x:c r="I387" s="28" t="str">
        <x:v>https://www.4lwcoffee.com/shop-gallery-foster</x:v>
      </x:c>
      <x:c r="J387" s="28" t="str">
        <x:v>Ürün kimliği korundu; eksik alanlar erişilemedi olarak işaretlenecek.</x:v>
      </x:c>
    </x:row>
    <x:row r="388">
      <x:c r="A388" t="str">
        <x:v>Four Letter Word Coffee</x:v>
      </x:c>
      <x:c r="B388" t="str">
        <x:v>Ürün kaydı</x:v>
      </x:c>
      <x:c r="C388" t="str">
        <x:v>SUBSCRIPTIONS &amp;mdash; FOUR LETTER WORD COFFEE ROASTERS</x:v>
      </x:c>
      <x:c r="D388" t="str">
        <x:v>Menşe belirtilmemiş</x:v>
      </x:c>
      <x:c r="E388" s="1" t="str">
        <x:v>Erişilemedi</x:v>
      </x:c>
      <x:c r="F388" s="2" t="n">
        <x:v>0</x:v>
      </x:c>
      <x:c r="G388" t="str">
        <x:v>Gramaj + fiyat</x:v>
      </x:c>
      <x:c r="H388" t="str">
        <x:v>Site haritası ürün sayfası</x:v>
      </x:c>
      <x:c r="I388" s="28" t="str">
        <x:v>https://www.4lwcoffee.com/subscription</x:v>
      </x:c>
      <x:c r="J388" s="28" t="str">
        <x:v>Ürün kimliği korundu; eksik alanlar erişilemedi olarak işaretlenecek.</x:v>
      </x:c>
    </x:row>
    <x:row r="389">
      <x:c r="A389" t="str">
        <x:v>Four Letter Word Coffee</x:v>
      </x:c>
      <x:c r="B389" t="str">
        <x:v>Ürün kaydı</x:v>
      </x:c>
      <x:c r="C389" t="str">
        <x:v>WHOLESALE &amp;mdash; FOUR LETTER WORD COFFEE ROASTERS</x:v>
      </x:c>
      <x:c r="D389" t="str">
        <x:v>Menşe belirtilmemiş</x:v>
      </x:c>
      <x:c r="E389" s="1" t="str">
        <x:v>Erişilemedi</x:v>
      </x:c>
      <x:c r="F389" s="2" t="str">
        <x:v>Erişilemedi</x:v>
      </x:c>
      <x:c r="G389" t="str">
        <x:v>Gramaj + fiyat</x:v>
      </x:c>
      <x:c r="H389" t="str">
        <x:v>Site haritası ürün sayfası</x:v>
      </x:c>
      <x:c r="I389" s="28" t="str">
        <x:v>https://www.4lwcoffee.com/wholesale</x:v>
      </x:c>
      <x:c r="J389" s="28" t="str">
        <x:v>Ürün kimliği korundu; eksik alanlar erişilemedi olarak işaretlenecek.</x:v>
      </x:c>
    </x:row>
    <x:row r="390">
      <x:c r="A390" t="str">
        <x:v>Fuga Coffee</x:v>
      </x:c>
      <x:c r="B390" t="str">
        <x:v>Ürün kaydı</x:v>
      </x:c>
      <x:c r="C390" t="str">
        <x:v>Acaia Yeni Pearl Tartı Pitch Black</x:v>
      </x:c>
      <x:c r="D390" t="str">
        <x:v>Menşe belirtilmemiş</x:v>
      </x:c>
      <x:c r="E390" s="1" t="n">
        <x:v>500</x:v>
      </x:c>
      <x:c r="F390" s="2" t="n">
        <x:v>0</x:v>
      </x:c>
      <x:c r="G390" t="str">
        <x:v>Fiyat</x:v>
      </x:c>
      <x:c r="H390" t="str">
        <x:v>Site haritası ürün sayfası</x:v>
      </x:c>
      <x:c r="I390" s="28" t="str">
        <x:v>https://fugacoffee.co/en/product/acaia-yeni-pearl-tarti-pitch-black</x:v>
      </x:c>
      <x:c r="J390" s="28" t="str">
        <x:v>Ürün kimliği korundu; eksik alanlar erişilemedi olarak işaretlenecek.</x:v>
      </x:c>
    </x:row>
    <x:row r="391">
      <x:c r="A391" t="str">
        <x:v>Fuga Coffee</x:v>
      </x:c>
      <x:c r="B391" t="str">
        <x:v>Ürün kaydı</x:v>
      </x:c>
      <x:c r="C391" t="str">
        <x:v>Become Our Partner</x:v>
      </x:c>
      <x:c r="D391" t="str">
        <x:v>Menşe belirtilmemiş</x:v>
      </x:c>
      <x:c r="E391" s="1" t="str">
        <x:v>Erişilemedi</x:v>
      </x:c>
      <x:c r="F391" s="2" t="n">
        <x:v>0</x:v>
      </x:c>
      <x:c r="G391" t="str">
        <x:v>Gramaj + fiyat</x:v>
      </x:c>
      <x:c r="H391" t="str">
        <x:v>Site haritası ürün sayfası</x:v>
      </x:c>
      <x:c r="I391" s="28" t="str">
        <x:v>https://fugacoffee.co/en/wholesale</x:v>
      </x:c>
      <x:c r="J391" s="28" t="str">
        <x:v>Ürün kimliği korundu; eksik alanlar erişilemedi olarak işaretlenecek.</x:v>
      </x:c>
    </x:row>
    <x:row r="392">
      <x:c r="A392" t="str">
        <x:v>Fuga Coffee</x:v>
      </x:c>
      <x:c r="B392" t="str">
        <x:v>Ürün kaydı</x:v>
      </x:c>
      <x:c r="C392" t="str">
        <x:v>Blog</x:v>
      </x:c>
      <x:c r="D392" t="str">
        <x:v>Menşe belirtilmemiş</x:v>
      </x:c>
      <x:c r="E392" s="1" t="str">
        <x:v>Erişilemedi</x:v>
      </x:c>
      <x:c r="F392" s="2" t="n">
        <x:v>0</x:v>
      </x:c>
      <x:c r="G392" t="str">
        <x:v>Gramaj + fiyat</x:v>
      </x:c>
      <x:c r="H392" t="str">
        <x:v>Site haritası ürün sayfası</x:v>
      </x:c>
      <x:c r="I392" s="28" t="str">
        <x:v>https://fugacoffee.co/en/blog</x:v>
      </x:c>
      <x:c r="J392" s="28" t="str">
        <x:v>Ürün kimliği korundu; eksik alanlar erişilemedi olarak işaretlenecek.</x:v>
      </x:c>
    </x:row>
    <x:row r="393">
      <x:c r="A393" t="str">
        <x:v>Fuga Coffee</x:v>
      </x:c>
      <x:c r="B393" t="str">
        <x:v>Ürün kaydı</x:v>
      </x:c>
      <x:c r="C393" t="str">
        <x:v>Blog</x:v>
      </x:c>
      <x:c r="D393" t="str">
        <x:v>Menşe belirtilmemiş</x:v>
      </x:c>
      <x:c r="E393" s="1" t="str">
        <x:v>Erişilemedi</x:v>
      </x:c>
      <x:c r="F393" s="2" t="n">
        <x:v>1000</x:v>
      </x:c>
      <x:c r="G393" t="str">
        <x:v>Gramaj</x:v>
      </x:c>
      <x:c r="H393" t="str">
        <x:v>Site haritası ürün sayfası</x:v>
      </x:c>
      <x:c r="I393" s="28" t="str">
        <x:v>https://fugacoffee.co/tr/blog</x:v>
      </x:c>
      <x:c r="J393" s="28" t="str">
        <x:v>Ürün kimliği korundu; eksik alanlar erişilemedi olarak işaretlenecek.</x:v>
      </x:c>
    </x:row>
    <x:row r="394">
      <x:c r="A394" t="str">
        <x:v>Fuga Coffee</x:v>
      </x:c>
      <x:c r="B394" t="str">
        <x:v>Ürün kaydı</x:v>
      </x:c>
      <x:c r="C394" t="str">
        <x:v>Brazil Mogiana</x:v>
      </x:c>
      <x:c r="D394" t="str">
        <x:v>Brezilya</x:v>
      </x:c>
      <x:c r="E394" s="1" t="str">
        <x:v>Erişilemedi</x:v>
      </x:c>
      <x:c r="F394" s="2" t="n">
        <x:v>0</x:v>
      </x:c>
      <x:c r="G394" t="str">
        <x:v>Gramaj + fiyat</x:v>
      </x:c>
      <x:c r="H394" t="str">
        <x:v>Site haritası ürün sayfası</x:v>
      </x:c>
      <x:c r="I394" s="28" t="str">
        <x:v>https://fugacoffee.co/en/product/brazil-mogiana</x:v>
      </x:c>
      <x:c r="J394" s="28" t="str">
        <x:v>Ürün kimliği korundu; eksik alanlar erişilemedi olarak işaretlenecek.</x:v>
      </x:c>
    </x:row>
    <x:row r="395">
      <x:c r="A395" t="str">
        <x:v>Fuga Coffee</x:v>
      </x:c>
      <x:c r="B395" t="str">
        <x:v>Ürün kaydı</x:v>
      </x:c>
      <x:c r="C395" t="str">
        <x:v>Brezilya Mogiana</x:v>
      </x:c>
      <x:c r="D395" t="str">
        <x:v>Brezilya</x:v>
      </x:c>
      <x:c r="E395" s="1" t="str">
        <x:v>Erişilemedi</x:v>
      </x:c>
      <x:c r="F395" s="2" t="n">
        <x:v>1000</x:v>
      </x:c>
      <x:c r="G395" t="str">
        <x:v>Gramaj</x:v>
      </x:c>
      <x:c r="H395" t="str">
        <x:v>Site haritası ürün sayfası</x:v>
      </x:c>
      <x:c r="I395" s="28" t="str">
        <x:v>https://fugacoffee.co/tr/urun/brezilya-mogiana</x:v>
      </x:c>
      <x:c r="J395" s="28" t="str">
        <x:v>Ürün kimliği korundu; eksik alanlar erişilemedi olarak işaretlenecek.</x:v>
      </x:c>
    </x:row>
    <x:row r="396">
      <x:c r="A396" t="str">
        <x:v>Fuga Coffee</x:v>
      </x:c>
      <x:c r="B396" t="str">
        <x:v>Ürün kaydı</x:v>
      </x:c>
      <x:c r="C396" t="str">
        <x:v>Burundi Busasa</x:v>
      </x:c>
      <x:c r="D396" t="str">
        <x:v>Burundi</x:v>
      </x:c>
      <x:c r="E396" s="1" t="str">
        <x:v>Erişilemedi</x:v>
      </x:c>
      <x:c r="F396" s="2" t="n">
        <x:v>0</x:v>
      </x:c>
      <x:c r="G396" t="str">
        <x:v>Gramaj + fiyat</x:v>
      </x:c>
      <x:c r="H396" t="str">
        <x:v>Site haritası ürün sayfası</x:v>
      </x:c>
      <x:c r="I396" s="28" t="str">
        <x:v>https://fugacoffee.co/en/product/burundi-busasa</x:v>
      </x:c>
      <x:c r="J396" s="28" t="str">
        <x:v>Ürün kimliği korundu; eksik alanlar erişilemedi olarak işaretlenecek.</x:v>
      </x:c>
    </x:row>
    <x:row r="397">
      <x:c r="A397" t="str">
        <x:v>Fuga Coffee</x:v>
      </x:c>
      <x:c r="B397" t="str">
        <x:v>Ürün kaydı</x:v>
      </x:c>
      <x:c r="C397" t="str">
        <x:v>Cafec Tritan Server - 400ml</x:v>
      </x:c>
      <x:c r="D397" t="str">
        <x:v>Menşe belirtilmemiş</x:v>
      </x:c>
      <x:c r="E397" s="1" t="str">
        <x:v>Erişilemedi</x:v>
      </x:c>
      <x:c r="F397" s="2" t="n">
        <x:v>0</x:v>
      </x:c>
      <x:c r="G397" t="str">
        <x:v>Gramaj + fiyat</x:v>
      </x:c>
      <x:c r="H397" t="str">
        <x:v>Site haritası ürün sayfası</x:v>
      </x:c>
      <x:c r="I397" s="28" t="str">
        <x:v>https://fugacoffee.co/en/product/cafec-tritan-server-400ml</x:v>
      </x:c>
      <x:c r="J397" s="28" t="str">
        <x:v>Ürün kimliği korundu; eksik alanlar erişilemedi olarak işaretlenecek.</x:v>
      </x:c>
    </x:row>
    <x:row r="398">
      <x:c r="A398" t="str">
        <x:v>Fuga Coffee</x:v>
      </x:c>
      <x:c r="B398" t="str">
        <x:v>Ürün kaydı</x:v>
      </x:c>
      <x:c r="C398" t="str">
        <x:v>Coffee Collection</x:v>
      </x:c>
      <x:c r="D398" t="str">
        <x:v>Etiyopya | Kolombiya | Kenya</x:v>
      </x:c>
      <x:c r="E398" s="1" t="str">
        <x:v>Erişilemedi</x:v>
      </x:c>
      <x:c r="F398" s="2" t="n">
        <x:v>0</x:v>
      </x:c>
      <x:c r="G398" t="str">
        <x:v>Gramaj + fiyat</x:v>
      </x:c>
      <x:c r="H398" t="str">
        <x:v>Site haritası ürün sayfası</x:v>
      </x:c>
      <x:c r="I398" s="28" t="str">
        <x:v>https://fugacoffee.co/en/products</x:v>
      </x:c>
      <x:c r="J398" s="28" t="str">
        <x:v>Ürün kimliği korundu; eksik alanlar erişilemedi olarak işaretlenecek.</x:v>
      </x:c>
    </x:row>
    <x:row r="399">
      <x:c r="A399" t="str">
        <x:v>Fuga Coffee</x:v>
      </x:c>
      <x:c r="B399" t="str">
        <x:v>Ürün kaydı</x:v>
      </x:c>
      <x:c r="C399" t="str">
        <x:v>Coffee Guide</x:v>
      </x:c>
      <x:c r="D399" t="str">
        <x:v>Menşe belirtilmemiş</x:v>
      </x:c>
      <x:c r="E399" s="1" t="str">
        <x:v>Erişilemedi</x:v>
      </x:c>
      <x:c r="F399" s="2" t="n">
        <x:v>0</x:v>
      </x:c>
      <x:c r="G399" t="str">
        <x:v>Gramaj + fiyat</x:v>
      </x:c>
      <x:c r="H399" t="str">
        <x:v>Site haritası ürün sayfası</x:v>
      </x:c>
      <x:c r="I399" s="28" t="str">
        <x:v>https://fugacoffee.co/en/coffee-guide</x:v>
      </x:c>
      <x:c r="J399" s="28" t="str">
        <x:v>Ürün kimliği korundu; eksik alanlar erişilemedi olarak işaretlenecek.</x:v>
      </x:c>
    </x:row>
    <x:row r="400">
      <x:c r="A400" t="str">
        <x:v>Fuga Coffee</x:v>
      </x:c>
      <x:c r="B400" t="str">
        <x:v>Ürün kaydı</x:v>
      </x:c>
      <x:c r="C400" t="str">
        <x:v>Colombia Cundinamarca</x:v>
      </x:c>
      <x:c r="D400" t="str">
        <x:v>Kolombiya</x:v>
      </x:c>
      <x:c r="E400" s="1" t="str">
        <x:v>Erişilemedi</x:v>
      </x:c>
      <x:c r="F400" s="2" t="n">
        <x:v>0</x:v>
      </x:c>
      <x:c r="G400" t="str">
        <x:v>Gramaj + fiyat</x:v>
      </x:c>
      <x:c r="H400" t="str">
        <x:v>Site haritası ürün sayfası</x:v>
      </x:c>
      <x:c r="I400" s="28" t="str">
        <x:v>https://fugacoffee.co/en/product/colombia-cundinamarca</x:v>
      </x:c>
      <x:c r="J400" s="28" t="str">
        <x:v>Ürün kimliği korundu; eksik alanlar erişilemedi olarak işaretlenecek.</x:v>
      </x:c>
    </x:row>
    <x:row r="401">
      <x:c r="A401" t="str">
        <x:v>Fuga Coffee</x:v>
      </x:c>
      <x:c r="B401" t="str">
        <x:v>Ürün kaydı</x:v>
      </x:c>
      <x:c r="C401" t="str">
        <x:v>Ethiopia Uraga</x:v>
      </x:c>
      <x:c r="D401" t="str">
        <x:v>Etiyopya</x:v>
      </x:c>
      <x:c r="E401" s="1" t="str">
        <x:v>Erişilemedi</x:v>
      </x:c>
      <x:c r="F401" s="2" t="n">
        <x:v>0</x:v>
      </x:c>
      <x:c r="G401" t="str">
        <x:v>Gramaj + fiyat</x:v>
      </x:c>
      <x:c r="H401" t="str">
        <x:v>Site haritası ürün sayfası</x:v>
      </x:c>
      <x:c r="I401" s="28" t="str">
        <x:v>https://fugacoffee.co/en/product/ethiopia-uraga</x:v>
      </x:c>
      <x:c r="J401" s="28" t="str">
        <x:v>Ürün kimliği korundu; eksik alanlar erişilemedi olarak işaretlenecek.</x:v>
      </x:c>
    </x:row>
    <x:row r="402">
      <x:c r="A402" t="str">
        <x:v>Fuga Coffee</x:v>
      </x:c>
      <x:c r="B402" t="str">
        <x:v>Ürün kaydı</x:v>
      </x:c>
      <x:c r="C402" t="str">
        <x:v>Etiyopya Uraga</x:v>
      </x:c>
      <x:c r="D402" t="str">
        <x:v>Etiyopya</x:v>
      </x:c>
      <x:c r="E402" s="1" t="str">
        <x:v>Erişilemedi</x:v>
      </x:c>
      <x:c r="F402" s="2" t="n">
        <x:v>1000</x:v>
      </x:c>
      <x:c r="G402" t="str">
        <x:v>Gramaj</x:v>
      </x:c>
      <x:c r="H402" t="str">
        <x:v>Site haritası ürün sayfası</x:v>
      </x:c>
      <x:c r="I402" s="28" t="str">
        <x:v>https://fugacoffee.co/tr/urun/etiyopya-uraga</x:v>
      </x:c>
      <x:c r="J402" s="28" t="str">
        <x:v>Ürün kimliği korundu; eksik alanlar erişilemedi olarak işaretlenecek.</x:v>
      </x:c>
    </x:row>
    <x:row r="403">
      <x:c r="A403" t="str">
        <x:v>Fuga Coffee</x:v>
      </x:c>
      <x:c r="B403" t="str">
        <x:v>Ürün kaydı</x:v>
      </x:c>
      <x:c r="C403" t="str">
        <x:v>Find Your Coffee</x:v>
      </x:c>
      <x:c r="D403" t="str">
        <x:v>Menşe belirtilmemiş</x:v>
      </x:c>
      <x:c r="E403" s="1" t="str">
        <x:v>Erişilemedi</x:v>
      </x:c>
      <x:c r="F403" s="2" t="n">
        <x:v>0</x:v>
      </x:c>
      <x:c r="G403" t="str">
        <x:v>Gramaj + fiyat</x:v>
      </x:c>
      <x:c r="H403" t="str">
        <x:v>Site haritası ürün sayfası</x:v>
      </x:c>
      <x:c r="I403" s="28" t="str">
        <x:v>https://fugacoffee.co/en/find-your-coffee</x:v>
      </x:c>
      <x:c r="J403" s="28" t="str">
        <x:v>Ürün kimliği korundu; eksik alanlar erişilemedi olarak işaretlenecek.</x:v>
      </x:c>
    </x:row>
    <x:row r="404">
      <x:c r="A404" t="str">
        <x:v>Fuga Coffee</x:v>
      </x:c>
      <x:c r="B404" t="str">
        <x:v>Ürün kaydı</x:v>
      </x:c>
      <x:c r="C404" t="str">
        <x:v>Fuga Ailesine Katıl</x:v>
      </x:c>
      <x:c r="D404" t="str">
        <x:v>Menşe belirtilmemiş</x:v>
      </x:c>
      <x:c r="E404" s="1" t="str">
        <x:v>Erişilemedi</x:v>
      </x:c>
      <x:c r="F404" s="2" t="n">
        <x:v>1000</x:v>
      </x:c>
      <x:c r="G404" t="str">
        <x:v>Gramaj</x:v>
      </x:c>
      <x:c r="H404" t="str">
        <x:v>Site haritası ürün sayfası</x:v>
      </x:c>
      <x:c r="I404" s="28" t="str">
        <x:v>https://fugacoffee.co/tr/kariyer</x:v>
      </x:c>
      <x:c r="J404" s="28" t="str">
        <x:v>Ürün kimliği korundu; eksik alanlar erişilemedi olarak işaretlenecek.</x:v>
      </x:c>
    </x:row>
    <x:row r="405">
      <x:c r="A405" t="str">
        <x:v>Fuga Coffee</x:v>
      </x:c>
      <x:c r="B405" t="str">
        <x:v>Ürün kaydı</x:v>
      </x:c>
      <x:c r="C405" t="str">
        <x:v>İş Ortağımız Olun</x:v>
      </x:c>
      <x:c r="D405" t="str">
        <x:v>Menşe belirtilmemiş</x:v>
      </x:c>
      <x:c r="E405" s="1" t="str">
        <x:v>Erişilemedi</x:v>
      </x:c>
      <x:c r="F405" s="2" t="n">
        <x:v>1000</x:v>
      </x:c>
      <x:c r="G405" t="str">
        <x:v>Gramaj</x:v>
      </x:c>
      <x:c r="H405" t="str">
        <x:v>Site haritası ürün sayfası</x:v>
      </x:c>
      <x:c r="I405" s="28" t="str">
        <x:v>https://fugacoffee.co/tr/toptan-satis</x:v>
      </x:c>
      <x:c r="J405" s="28" t="str">
        <x:v>Ürün kimliği korundu; eksik alanlar erişilemedi olarak işaretlenecek.</x:v>
      </x:c>
    </x:row>
    <x:row r="406">
      <x:c r="A406" t="str">
        <x:v>Fuga Coffee</x:v>
      </x:c>
      <x:c r="B406" t="str">
        <x:v>Ürün kaydı</x:v>
      </x:c>
      <x:c r="C406" t="str">
        <x:v>Join the Fuga Family</x:v>
      </x:c>
      <x:c r="D406" t="str">
        <x:v>Menşe belirtilmemiş</x:v>
      </x:c>
      <x:c r="E406" s="1" t="str">
        <x:v>Erişilemedi</x:v>
      </x:c>
      <x:c r="F406" s="2" t="n">
        <x:v>0</x:v>
      </x:c>
      <x:c r="G406" t="str">
        <x:v>Gramaj + fiyat</x:v>
      </x:c>
      <x:c r="H406" t="str">
        <x:v>Site haritası ürün sayfası</x:v>
      </x:c>
      <x:c r="I406" s="28" t="str">
        <x:v>https://fugacoffee.co/en/careers</x:v>
      </x:c>
      <x:c r="J406" s="28" t="str">
        <x:v>Ürün kimliği korundu; eksik alanlar erişilemedi olarak işaretlenecek.</x:v>
      </x:c>
    </x:row>
    <x:row r="407">
      <x:c r="A407" t="str">
        <x:v>Fuga Coffee</x:v>
      </x:c>
      <x:c r="B407" t="str">
        <x:v>Ürün kaydı</x:v>
      </x:c>
      <x:c r="C407" t="str">
        <x:v>Kaçışın kahvesi</x:v>
      </x:c>
      <x:c r="D407" t="str">
        <x:v>Menşe belirtilmemiş</x:v>
      </x:c>
      <x:c r="E407" s="1" t="str">
        <x:v>Erişilemedi</x:v>
      </x:c>
      <x:c r="F407" s="2" t="n">
        <x:v>1000</x:v>
      </x:c>
      <x:c r="G407" t="str">
        <x:v>Gramaj</x:v>
      </x:c>
      <x:c r="H407" t="str">
        <x:v>Site haritası ürün sayfası</x:v>
      </x:c>
      <x:c r="I407" s="28" t="str">
        <x:v>https://fugacoffee.co/tr/hakkimizda</x:v>
      </x:c>
      <x:c r="J407" s="28" t="str">
        <x:v>Ürün kimliği korundu; eksik alanlar erişilemedi olarak işaretlenecek.</x:v>
      </x:c>
    </x:row>
    <x:row r="408">
      <x:c r="A408" t="str">
        <x:v>Fuga Coffee</x:v>
      </x:c>
      <x:c r="B408" t="str">
        <x:v>Ürün kaydı</x:v>
      </x:c>
      <x:c r="C408" t="str">
        <x:v>Kahve Koleksiyonu</x:v>
      </x:c>
      <x:c r="D408" t="str">
        <x:v>Etiyopya | Kolombiya | Kenya</x:v>
      </x:c>
      <x:c r="E408" s="1" t="str">
        <x:v>Erişilemedi</x:v>
      </x:c>
      <x:c r="F408" s="2" t="n">
        <x:v>1000</x:v>
      </x:c>
      <x:c r="G408" t="str">
        <x:v>Gramaj</x:v>
      </x:c>
      <x:c r="H408" t="str">
        <x:v>Site haritası ürün sayfası</x:v>
      </x:c>
      <x:c r="I408" s="28" t="str">
        <x:v>https://fugacoffee.co/tr/urunler</x:v>
      </x:c>
      <x:c r="J408" s="28" t="str">
        <x:v>Ürün kimliği korundu; eksik alanlar erişilemedi olarak işaretlenecek.</x:v>
      </x:c>
    </x:row>
    <x:row r="409">
      <x:c r="A409" t="str">
        <x:v>Fuga Coffee</x:v>
      </x:c>
      <x:c r="B409" t="str">
        <x:v>Ürün kaydı</x:v>
      </x:c>
      <x:c r="C409" t="str">
        <x:v>Kahve Rehberi</x:v>
      </x:c>
      <x:c r="D409" t="str">
        <x:v>Menşe belirtilmemiş</x:v>
      </x:c>
      <x:c r="E409" s="1" t="str">
        <x:v>Erişilemedi</x:v>
      </x:c>
      <x:c r="F409" s="2" t="n">
        <x:v>1000</x:v>
      </x:c>
      <x:c r="G409" t="str">
        <x:v>Gramaj</x:v>
      </x:c>
      <x:c r="H409" t="str">
        <x:v>Site haritası ürün sayfası</x:v>
      </x:c>
      <x:c r="I409" s="28" t="str">
        <x:v>https://fugacoffee.co/tr/kahve-rehberi</x:v>
      </x:c>
      <x:c r="J409" s="28" t="str">
        <x:v>Ürün kimliği korundu; eksik alanlar erişilemedi olarak işaretlenecek.</x:v>
      </x:c>
    </x:row>
    <x:row r="410">
      <x:c r="A410" t="str">
        <x:v>Fuga Coffee</x:v>
      </x:c>
      <x:c r="B410" t="str">
        <x:v>Ürün kaydı</x:v>
      </x:c>
      <x:c r="C410" t="str">
        <x:v>Kahveni Bul</x:v>
      </x:c>
      <x:c r="D410" t="str">
        <x:v>Menşe belirtilmemiş</x:v>
      </x:c>
      <x:c r="E410" s="1" t="str">
        <x:v>Erişilemedi</x:v>
      </x:c>
      <x:c r="F410" s="2" t="n">
        <x:v>1000</x:v>
      </x:c>
      <x:c r="G410" t="str">
        <x:v>Gramaj</x:v>
      </x:c>
      <x:c r="H410" t="str">
        <x:v>Site haritası ürün sayfası</x:v>
      </x:c>
      <x:c r="I410" s="28" t="str">
        <x:v>https://fugacoffee.co/tr/kahveni-bul</x:v>
      </x:c>
      <x:c r="J410" s="28" t="str">
        <x:v>Ürün kimliği korundu; eksik alanlar erişilemedi olarak işaretlenecek.</x:v>
      </x:c>
    </x:row>
    <x:row r="411">
      <x:c r="A411" t="str">
        <x:v>Fuga Coffee</x:v>
      </x:c>
      <x:c r="B411" t="str">
        <x:v>Ürün kaydı</x:v>
      </x:c>
      <x:c r="C411" t="str">
        <x:v>Kenya Karumandi</x:v>
      </x:c>
      <x:c r="D411" t="str">
        <x:v>Kenya</x:v>
      </x:c>
      <x:c r="E411" s="1" t="str">
        <x:v>Erişilemedi</x:v>
      </x:c>
      <x:c r="F411" s="2" t="n">
        <x:v>1000</x:v>
      </x:c>
      <x:c r="G411" t="str">
        <x:v>Gramaj</x:v>
      </x:c>
      <x:c r="H411" t="str">
        <x:v>Site haritası ürün sayfası</x:v>
      </x:c>
      <x:c r="I411" s="28" t="str">
        <x:v>https://fugacoffee.co/tr/urun/kenya-karumandi</x:v>
      </x:c>
      <x:c r="J411" s="28" t="str">
        <x:v>Ürün kimliği korundu; eksik alanlar erişilemedi olarak işaretlenecek.</x:v>
      </x:c>
    </x:row>
    <x:row r="412">
      <x:c r="A412" t="str">
        <x:v>Fuga Coffee</x:v>
      </x:c>
      <x:c r="B412" t="str">
        <x:v>Ürün kaydı</x:v>
      </x:c>
      <x:c r="C412" t="str">
        <x:v>Kenya Karumandi</x:v>
      </x:c>
      <x:c r="D412" t="str">
        <x:v>Kenya</x:v>
      </x:c>
      <x:c r="E412" s="1" t="str">
        <x:v>Erişilemedi</x:v>
      </x:c>
      <x:c r="F412" s="2" t="n">
        <x:v>0</x:v>
      </x:c>
      <x:c r="G412" t="str">
        <x:v>Gramaj + fiyat</x:v>
      </x:c>
      <x:c r="H412" t="str">
        <x:v>Site haritası ürün sayfası</x:v>
      </x:c>
      <x:c r="I412" s="28" t="str">
        <x:v>https://fugacoffee.co/en/product/kenya-karumandi</x:v>
      </x:c>
      <x:c r="J412" s="28" t="str">
        <x:v>Ürün kimliği korundu; eksik alanlar erişilemedi olarak işaretlenecek.</x:v>
      </x:c>
    </x:row>
    <x:row r="413">
      <x:c r="A413" t="str">
        <x:v>Fuga Coffee</x:v>
      </x:c>
      <x:c r="B413" t="str">
        <x:v>Ürün kaydı</x:v>
      </x:c>
      <x:c r="C413" t="str">
        <x:v>Kolombiya Cundinamarca</x:v>
      </x:c>
      <x:c r="D413" t="str">
        <x:v>Kolombiya</x:v>
      </x:c>
      <x:c r="E413" s="1" t="str">
        <x:v>Erişilemedi</x:v>
      </x:c>
      <x:c r="F413" s="2" t="n">
        <x:v>1000</x:v>
      </x:c>
      <x:c r="G413" t="str">
        <x:v>Gramaj</x:v>
      </x:c>
      <x:c r="H413" t="str">
        <x:v>Site haritası ürün sayfası</x:v>
      </x:c>
      <x:c r="I413" s="28" t="str">
        <x:v>https://fugacoffee.co/tr/urun/colombia-cundinamarca</x:v>
      </x:c>
      <x:c r="J413" s="28" t="str">
        <x:v>Ürün kimliği korundu; eksik alanlar erişilemedi olarak işaretlenecek.</x:v>
      </x:c>
    </x:row>
    <x:row r="414">
      <x:c r="A414" t="str">
        <x:v>Fuga Coffee</x:v>
      </x:c>
      <x:c r="B414" t="str">
        <x:v>Ürün kaydı</x:v>
      </x:c>
      <x:c r="C414" t="str">
        <x:v>Our Locations</x:v>
      </x:c>
      <x:c r="D414" t="str">
        <x:v>Menşe belirtilmemiş</x:v>
      </x:c>
      <x:c r="E414" s="1" t="str">
        <x:v>Erişilemedi</x:v>
      </x:c>
      <x:c r="F414" s="2" t="n">
        <x:v>0</x:v>
      </x:c>
      <x:c r="G414" t="str">
        <x:v>Gramaj + fiyat</x:v>
      </x:c>
      <x:c r="H414" t="str">
        <x:v>Site haritası ürün sayfası</x:v>
      </x:c>
      <x:c r="I414" s="28" t="str">
        <x:v>https://fugacoffee.co/en/locations</x:v>
      </x:c>
      <x:c r="J414" s="28" t="str">
        <x:v>Ürün kimliği korundu; eksik alanlar erişilemedi olarak işaretlenecek.</x:v>
      </x:c>
    </x:row>
    <x:row r="415">
      <x:c r="A415" t="str">
        <x:v>Fuga Coffee</x:v>
      </x:c>
      <x:c r="B415" t="str">
        <x:v>Ürün kaydı</x:v>
      </x:c>
      <x:c r="C415" t="str">
        <x:v>Peru Aprocassi</x:v>
      </x:c>
      <x:c r="D415" t="str">
        <x:v>Peru</x:v>
      </x:c>
      <x:c r="E415" s="1" t="str">
        <x:v>Erişilemedi</x:v>
      </x:c>
      <x:c r="F415" s="2" t="n">
        <x:v>1000</x:v>
      </x:c>
      <x:c r="G415" t="str">
        <x:v>Gramaj</x:v>
      </x:c>
      <x:c r="H415" t="str">
        <x:v>Site haritası ürün sayfası</x:v>
      </x:c>
      <x:c r="I415" s="28" t="str">
        <x:v>https://fugacoffee.co/tr/urun/peru-aprocassi</x:v>
      </x:c>
      <x:c r="J415" s="28" t="str">
        <x:v>Ürün kimliği korundu; eksik alanlar erişilemedi olarak işaretlenecek.</x:v>
      </x:c>
    </x:row>
    <x:row r="416">
      <x:c r="A416" t="str">
        <x:v>Fuga Coffee</x:v>
      </x:c>
      <x:c r="B416" t="str">
        <x:v>Ürün kaydı</x:v>
      </x:c>
      <x:c r="C416" t="str">
        <x:v>Peru Aprocassi</x:v>
      </x:c>
      <x:c r="D416" t="str">
        <x:v>Peru</x:v>
      </x:c>
      <x:c r="E416" s="1" t="str">
        <x:v>Erişilemedi</x:v>
      </x:c>
      <x:c r="F416" s="2" t="n">
        <x:v>0</x:v>
      </x:c>
      <x:c r="G416" t="str">
        <x:v>Gramaj + fiyat</x:v>
      </x:c>
      <x:c r="H416" t="str">
        <x:v>Site haritası ürün sayfası</x:v>
      </x:c>
      <x:c r="I416" s="28" t="str">
        <x:v>https://fugacoffee.co/en/product/peru-aprocassi</x:v>
      </x:c>
      <x:c r="J416" s="28" t="str">
        <x:v>Ürün kimliği korundu; eksik alanlar erişilemedi olarak işaretlenecek.</x:v>
      </x:c>
    </x:row>
    <x:row r="417">
      <x:c r="A417" t="str">
        <x:v>Fuga Coffee</x:v>
      </x:c>
      <x:c r="B417" t="str">
        <x:v>Ürün kaydı</x:v>
      </x:c>
      <x:c r="C417" t="str">
        <x:v>Şubelerimiz</x:v>
      </x:c>
      <x:c r="D417" t="str">
        <x:v>Menşe belirtilmemiş</x:v>
      </x:c>
      <x:c r="E417" s="1" t="str">
        <x:v>Erişilemedi</x:v>
      </x:c>
      <x:c r="F417" s="2" t="n">
        <x:v>1000</x:v>
      </x:c>
      <x:c r="G417" t="str">
        <x:v>Gramaj</x:v>
      </x:c>
      <x:c r="H417" t="str">
        <x:v>Site haritası ürün sayfası</x:v>
      </x:c>
      <x:c r="I417" s="28" t="str">
        <x:v>https://fugacoffee.co/tr/subelerimiz</x:v>
      </x:c>
      <x:c r="J417" s="28" t="str">
        <x:v>Ürün kimliği korundu; eksik alanlar erişilemedi olarak işaretlenecek.</x:v>
      </x:c>
    </x:row>
    <x:row r="418">
      <x:c r="A418" t="str">
        <x:v>Fuga Coffee</x:v>
      </x:c>
      <x:c r="B418" t="str">
        <x:v>Ürün kaydı</x:v>
      </x:c>
      <x:c r="C418" t="str">
        <x:v>The coffee of escape</x:v>
      </x:c>
      <x:c r="D418" t="str">
        <x:v>Menşe belirtilmemiş</x:v>
      </x:c>
      <x:c r="E418" s="1" t="str">
        <x:v>Erişilemedi</x:v>
      </x:c>
      <x:c r="F418" s="2" t="n">
        <x:v>0</x:v>
      </x:c>
      <x:c r="G418" t="str">
        <x:v>Gramaj + fiyat</x:v>
      </x:c>
      <x:c r="H418" t="str">
        <x:v>Site haritası ürün sayfası</x:v>
      </x:c>
      <x:c r="I418" s="28" t="str">
        <x:v>https://fugacoffee.co/en/about</x:v>
      </x:c>
      <x:c r="J418" s="28" t="str">
        <x:v>Ürün kimliği korundu; eksik alanlar erişilemedi olarak işaretlenecek.</x:v>
      </x:c>
    </x:row>
    <x:row r="419">
      <x:c r="A419" t="str">
        <x:v>Fuga Coffee</x:v>
      </x:c>
      <x:c r="B419" t="str">
        <x:v>Ürün kaydı</x:v>
      </x:c>
      <x:c r="C419" t="str">
        <x:v>Turkish Coffee</x:v>
      </x:c>
      <x:c r="D419" t="str">
        <x:v>Brezilya</x:v>
      </x:c>
      <x:c r="E419" s="1" t="str">
        <x:v>Erişilemedi</x:v>
      </x:c>
      <x:c r="F419" s="2" t="n">
        <x:v>0</x:v>
      </x:c>
      <x:c r="G419" t="str">
        <x:v>Gramaj + fiyat</x:v>
      </x:c>
      <x:c r="H419" t="str">
        <x:v>Site haritası ürün sayfası</x:v>
      </x:c>
      <x:c r="I419" s="28" t="str">
        <x:v>https://fugacoffee.co/en/product/turkish-coffee</x:v>
      </x:c>
      <x:c r="J419" s="28" t="str">
        <x:v>Ürün kimliği korundu; eksik alanlar erişilemedi olarak işaretlenecek.</x:v>
      </x:c>
    </x:row>
    <x:row r="420">
      <x:c r="A420" t="str">
        <x:v>Fuga Coffee</x:v>
      </x:c>
      <x:c r="B420" t="str">
        <x:v>Ürün kaydı</x:v>
      </x:c>
      <x:c r="C420" t="str">
        <x:v>Türk Kahvesi</x:v>
      </x:c>
      <x:c r="D420" t="str">
        <x:v>Brezilya</x:v>
      </x:c>
      <x:c r="E420" s="1" t="str">
        <x:v>Erişilemedi</x:v>
      </x:c>
      <x:c r="F420" s="2" t="n">
        <x:v>1000</x:v>
      </x:c>
      <x:c r="G420" t="str">
        <x:v>Gramaj</x:v>
      </x:c>
      <x:c r="H420" t="str">
        <x:v>Site haritası ürün sayfası</x:v>
      </x:c>
      <x:c r="I420" s="28" t="str">
        <x:v>https://fugacoffee.co/tr/urun/turk-kahvesi</x:v>
      </x:c>
      <x:c r="J420" s="28" t="str">
        <x:v>Ürün kimliği korundu; eksik alanlar erişilemedi olarak işaretlenecek.</x:v>
      </x:c>
    </x:row>
    <x:row r="421">
      <x:c r="A421" t="str">
        <x:v>Fuga Coffee</x:v>
      </x:c>
      <x:c r="B421" t="str">
        <x:v>Ürün kaydı</x:v>
      </x:c>
      <x:c r="C421" t="str">
        <x:v>Whole Bean Coffee 1 KG</x:v>
      </x:c>
      <x:c r="D421" t="str">
        <x:v>Menşe belirtilmemiş</x:v>
      </x:c>
      <x:c r="E421" s="1" t="n">
        <x:v>1000</x:v>
      </x:c>
      <x:c r="F421" s="2" t="n">
        <x:v>0</x:v>
      </x:c>
      <x:c r="G421" t="str">
        <x:v>Fiyat</x:v>
      </x:c>
      <x:c r="H421" t="str">
        <x:v>Site haritası ürün sayfası</x:v>
      </x:c>
      <x:c r="I421" s="28" t="str">
        <x:v>https://fugacoffee.co/en/cekirdek-kahve-1-kg</x:v>
      </x:c>
      <x:c r="J421" s="28" t="str">
        <x:v>Ürün kimliği korundu; eksik alanlar erişilemedi olarak işaretlenecek.</x:v>
      </x:c>
    </x:row>
    <x:row r="422">
      <x:c r="A422" t="str">
        <x:v>Fuga Coffee</x:v>
      </x:c>
      <x:c r="B422" t="str">
        <x:v>Ürün kaydı</x:v>
      </x:c>
      <x:c r="C422" t="str">
        <x:v>Whole Bean Coffee 250 GR</x:v>
      </x:c>
      <x:c r="D422" t="str">
        <x:v>Menşe belirtilmemiş</x:v>
      </x:c>
      <x:c r="E422" s="1" t="n">
        <x:v>250</x:v>
      </x:c>
      <x:c r="F422" s="2" t="n">
        <x:v>0</x:v>
      </x:c>
      <x:c r="G422" t="str">
        <x:v>Fiyat</x:v>
      </x:c>
      <x:c r="H422" t="str">
        <x:v>Site haritası ürün sayfası</x:v>
      </x:c>
      <x:c r="I422" s="28" t="str">
        <x:v>https://fugacoffee.co/en/cekirdek-kahve-250-gr</x:v>
      </x:c>
      <x:c r="J422" s="28" t="str">
        <x:v>Ürün kimliği korundu; eksik alanlar erişilemedi olarak işaretlenecek.</x:v>
      </x:c>
    </x:row>
    <x:row r="423">
      <x:c r="A423" t="str">
        <x:v>Gourme Coffee</x:v>
      </x:c>
      <x:c r="B423" t="str">
        <x:v>Katalog takip kaydı</x:v>
      </x:c>
      <x:c r="C423" t="str">
        <x:v>Ürün kataloğu — ayrıntılı ürün verisine erişilemedi</x:v>
      </x:c>
      <x:c r="D423" t="str">
        <x:v>Erişilemedi</x:v>
      </x:c>
      <x:c r="E423" s="1" t="str">
        <x:v>Erişilemedi</x:v>
      </x:c>
      <x:c r="F423" s="2" t="str">
        <x:v>Erişilemedi</x:v>
      </x:c>
      <x:c r="G423" t="str">
        <x:v>Gramaj + fiyat</x:v>
      </x:c>
      <x:c r="H423" t="str">
        <x:v>Instagram veya mevcut kaynak</x:v>
      </x:c>
      <x:c r="I423" s="28" t="str">
        <x:v>Erişilemedi</x:v>
      </x:c>
      <x:c r="J423" s="28" t="str">
        <x:v>Ürün adı, gramaj ve fiyat birlikte çıkarılamadı. Bağlantı manuel inceleme için korundu.</x:v>
      </x:c>
    </x:row>
    <x:row r="424">
      <x:c r="A424" t="str">
        <x:v>Gönül Kahvesi</x:v>
      </x:c>
      <x:c r="B424" t="str">
        <x:v>Katalog takip kaydı</x:v>
      </x:c>
      <x:c r="C424" t="str">
        <x:v>Ürün kataloğu — ayrıntılı ürün verisine erişilemedi</x:v>
      </x:c>
      <x:c r="D424" t="str">
        <x:v>Erişilemedi</x:v>
      </x:c>
      <x:c r="E424" s="1" t="str">
        <x:v>Erişilemedi</x:v>
      </x:c>
      <x:c r="F424" s="2" t="str">
        <x:v>Erişilemedi</x:v>
      </x:c>
      <x:c r="G424" t="str">
        <x:v>Gramaj + fiyat</x:v>
      </x:c>
      <x:c r="H424" t="str">
        <x:v>Mağaza/katalog bağlantısı</x:v>
      </x:c>
      <x:c r="I424" s="28" t="str">
        <x:v>https://www.gonulkahve.com/</x:v>
      </x:c>
      <x:c r="J424" s="28" t="str">
        <x:v>Ürün adı, gramaj ve fiyat birlikte çıkarılamadı. Bağlantı manuel inceleme için korundu.</x:v>
      </x:c>
    </x:row>
    <x:row r="425">
      <x:c r="A425" t="str">
        <x:v>Gramaj Coffee Roastery</x:v>
      </x:c>
      <x:c r="B425" t="str">
        <x:v>Ürün kaydı</x:v>
      </x:c>
      <x:c r="C425" t="str">
        <x:v>COLOMBIA FINCA LA DIVISA</x:v>
      </x:c>
      <x:c r="D425" t="str">
        <x:v>Kolombiya</x:v>
      </x:c>
      <x:c r="E425" s="1" t="str">
        <x:v>Erişilemedi</x:v>
      </x:c>
      <x:c r="F425" s="2" t="n">
        <x:v>900</x:v>
      </x:c>
      <x:c r="G425" t="str">
        <x:v>Gramaj</x:v>
      </x:c>
      <x:c r="H425" t="str">
        <x:v>Site haritası ürün sayfası</x:v>
      </x:c>
      <x:c r="I425" s="28" t="str">
        <x:v>https://gramajcoffee.com/colombia-finca-la-divisa</x:v>
      </x:c>
      <x:c r="J425" s="28" t="str">
        <x:v>Ürün kimliği korundu; eksik alanlar erişilemedi olarak işaretlenecek.</x:v>
      </x:c>
    </x:row>
    <x:row r="426">
      <x:c r="A426" t="str">
        <x:v>Gramaj Coffee Roastery</x:v>
      </x:c>
      <x:c r="B426" t="str">
        <x:v>Ürün kaydı</x:v>
      </x:c>
      <x:c r="C426" t="str">
        <x:v>ETHIOPIA ARICHA KEBELE ADORSI</x:v>
      </x:c>
      <x:c r="D426" t="str">
        <x:v>Etiyopya</x:v>
      </x:c>
      <x:c r="E426" s="1" t="str">
        <x:v>Erişilemedi</x:v>
      </x:c>
      <x:c r="F426" s="2" t="n">
        <x:v>900</x:v>
      </x:c>
      <x:c r="G426" t="str">
        <x:v>Gramaj</x:v>
      </x:c>
      <x:c r="H426" t="str">
        <x:v>Site haritası ürün sayfası</x:v>
      </x:c>
      <x:c r="I426" s="28" t="str">
        <x:v>https://gramajcoffee.com/ethiopia-aricha-kebele-adorsi</x:v>
      </x:c>
      <x:c r="J426" s="28" t="str">
        <x:v>Ürün kimliği korundu; eksik alanlar erişilemedi olarak işaretlenecek.</x:v>
      </x:c>
    </x:row>
    <x:row r="427">
      <x:c r="A427" t="str">
        <x:v>Gramaj Coffee Roastery</x:v>
      </x:c>
      <x:c r="B427" t="str">
        <x:v>Ürün kaydı</x:v>
      </x:c>
      <x:c r="C427" t="str">
        <x:v>ETHIOPIA HAMBELLA BEDESSA KEBELE</x:v>
      </x:c>
      <x:c r="D427" t="str">
        <x:v>Etiyopya | Brezilya</x:v>
      </x:c>
      <x:c r="E427" s="1" t="str">
        <x:v>Erişilemedi</x:v>
      </x:c>
      <x:c r="F427" s="2" t="n">
        <x:v>900</x:v>
      </x:c>
      <x:c r="G427" t="str">
        <x:v>Gramaj</x:v>
      </x:c>
      <x:c r="H427" t="str">
        <x:v>Site haritası ürün sayfası</x:v>
      </x:c>
      <x:c r="I427" s="28" t="str">
        <x:v>https://gramajcoffee.com/ethiopia-hambella-bedessa-kebele</x:v>
      </x:c>
      <x:c r="J427" s="28" t="str">
        <x:v>Ürün kimliği korundu; eksik alanlar erişilemedi olarak işaretlenecek.</x:v>
      </x:c>
    </x:row>
    <x:row r="428">
      <x:c r="A428" t="str">
        <x:v>Gramaj Coffee Roastery</x:v>
      </x:c>
      <x:c r="B428" t="str">
        <x:v>Ürün kaydı</x:v>
      </x:c>
      <x:c r="C428" t="str">
        <x:v>KENYA KIBUGU</x:v>
      </x:c>
      <x:c r="D428" t="str">
        <x:v>Kenya</x:v>
      </x:c>
      <x:c r="E428" s="1" t="str">
        <x:v>Erişilemedi</x:v>
      </x:c>
      <x:c r="F428" s="2" t="n">
        <x:v>900</x:v>
      </x:c>
      <x:c r="G428" t="str">
        <x:v>Gramaj</x:v>
      </x:c>
      <x:c r="H428" t="str">
        <x:v>Site haritası ürün sayfası</x:v>
      </x:c>
      <x:c r="I428" s="28" t="str">
        <x:v>https://gramajcoffee.com/kenya-kibugu</x:v>
      </x:c>
      <x:c r="J428" s="28" t="str">
        <x:v>Ürün kimliği korundu; eksik alanlar erişilemedi olarak işaretlenecek.</x:v>
      </x:c>
    </x:row>
    <x:row r="429">
      <x:c r="A429" t="str">
        <x:v>Gramaj Coffee Roastery</x:v>
      </x:c>
      <x:c r="B429" t="str">
        <x:v>Ürün kaydı</x:v>
      </x:c>
      <x:c r="C429" t="str">
        <x:v>MASK BLEND ESP/FILTER</x:v>
      </x:c>
      <x:c r="D429" t="str">
        <x:v>Etiyopya</x:v>
      </x:c>
      <x:c r="E429" s="1" t="str">
        <x:v>Erişilemedi</x:v>
      </x:c>
      <x:c r="F429" s="2" t="n">
        <x:v>900</x:v>
      </x:c>
      <x:c r="G429" t="str">
        <x:v>Gramaj</x:v>
      </x:c>
      <x:c r="H429" t="str">
        <x:v>Site haritası ürün sayfası</x:v>
      </x:c>
      <x:c r="I429" s="28" t="str">
        <x:v>https://gramajcoffee.com/mask-blend-esp-filter-1-kg</x:v>
      </x:c>
      <x:c r="J429" s="28" t="str">
        <x:v>Ürün kimliği korundu; eksik alanlar erişilemedi olarak işaretlenecek.</x:v>
      </x:c>
    </x:row>
    <x:row r="430">
      <x:c r="A430" t="str">
        <x:v>Grano Coffee</x:v>
      </x:c>
      <x:c r="B430" t="str">
        <x:v>Katalog takip kaydı</x:v>
      </x:c>
      <x:c r="C430" t="str">
        <x:v>Ürün kataloğu — ayrıntılı ürün verisine erişilemedi</x:v>
      </x:c>
      <x:c r="D430" t="str">
        <x:v>Erişilemedi</x:v>
      </x:c>
      <x:c r="E430" s="1" t="str">
        <x:v>Erişilemedi</x:v>
      </x:c>
      <x:c r="F430" s="2" t="str">
        <x:v>Erişilemedi</x:v>
      </x:c>
      <x:c r="G430" t="str">
        <x:v>Gramaj + fiyat</x:v>
      </x:c>
      <x:c r="H430" t="str">
        <x:v>Instagram veya mevcut kaynak</x:v>
      </x:c>
      <x:c r="I430" s="28" t="str">
        <x:v>Erişilemedi</x:v>
      </x:c>
      <x:c r="J430" s="28" t="str">
        <x:v>Ürün adı, gramaj ve fiyat birlikte çıkarılamadı. Bağlantı manuel inceleme için korundu.</x:v>
      </x:c>
    </x:row>
    <x:row r="431">
      <x:c r="A431" t="str">
        <x:v>Greenwich Coffee</x:v>
      </x:c>
      <x:c r="B431" t="str">
        <x:v>Ürün kaydı</x:v>
      </x:c>
      <x:c r="C431" t="str">
        <x:v>COLOMBIA PİNK BOURBON (S)</x:v>
      </x:c>
      <x:c r="D431" t="str">
        <x:v>Kolombiya</x:v>
      </x:c>
      <x:c r="E431" s="1" t="str">
        <x:v>Erişilemedi</x:v>
      </x:c>
      <x:c r="F431" s="2" t="n">
        <x:v>300</x:v>
      </x:c>
      <x:c r="G431" t="str">
        <x:v>Gramaj</x:v>
      </x:c>
      <x:c r="H431" t="str">
        <x:v>WooCommerce Store API</x:v>
      </x:c>
      <x:c r="I431" s="28" t="str">
        <x:v>https://greenwichcoffee.com/g-roastery/menu/icecekler/alternatifler/colombia-pink-bourbon-s/</x:v>
      </x:c>
      <x:c r="J431" s="28" t="str">
        <x:v>Fiyat veya gramaj eksik olsa da ürün korundu.</x:v>
      </x:c>
    </x:row>
    <x:row r="432">
      <x:c r="A432" t="str">
        <x:v>Guten Morgen Roastery</x:v>
      </x:c>
      <x:c r="B432" t="str">
        <x:v>Ürün kaydı</x:v>
      </x:c>
      <x:c r="C432" t="str">
        <x:v>Brezilya– Cerrado Espresso Chocolate Edition</x:v>
      </x:c>
      <x:c r="D432" t="str">
        <x:v>Brezilya</x:v>
      </x:c>
      <x:c r="E432" s="1" t="str">
        <x:v>Erişilemedi</x:v>
      </x:c>
      <x:c r="F432" s="2" t="n">
        <x:v>450</x:v>
      </x:c>
      <x:c r="G432" t="str">
        <x:v>Gramaj</x:v>
      </x:c>
      <x:c r="H432" t="str">
        <x:v>WooCommerce Store API</x:v>
      </x:c>
      <x:c r="I432" s="28" t="str">
        <x:v>https://gutenmorgenroastery.com/product/brezilya-cerrado/</x:v>
      </x:c>
      <x:c r="J432" s="28" t="str">
        <x:v>Fiyat veya gramaj eksik olsa da ürün korundu.</x:v>
      </x:c>
    </x:row>
    <x:row r="433">
      <x:c r="A433" t="str">
        <x:v>Guten Morgen Roastery</x:v>
      </x:c>
      <x:c r="B433" t="str">
        <x:v>Ürün kaydı</x:v>
      </x:c>
      <x:c r="C433" t="str">
        <x:v>ETİYOPYA – Boledu</x:v>
      </x:c>
      <x:c r="D433" t="str">
        <x:v>Etiyopya</x:v>
      </x:c>
      <x:c r="E433" s="1" t="str">
        <x:v>Erişilemedi</x:v>
      </x:c>
      <x:c r="F433" s="2" t="n">
        <x:v>875</x:v>
      </x:c>
      <x:c r="G433" t="str">
        <x:v>Gramaj</x:v>
      </x:c>
      <x:c r="H433" t="str">
        <x:v>WooCommerce Store API</x:v>
      </x:c>
      <x:c r="I433" s="28" t="str">
        <x:v>https://gutenmorgenroastery.com/product/etiyopya-boledu/</x:v>
      </x:c>
      <x:c r="J433" s="28" t="str">
        <x:v>Fiyat veya gramaj eksik olsa da ürün korundu.</x:v>
      </x:c>
    </x:row>
    <x:row r="434">
      <x:c r="A434" t="str">
        <x:v>Guten Morgen Roastery</x:v>
      </x:c>
      <x:c r="B434" t="str">
        <x:v>Ürün kaydı</x:v>
      </x:c>
      <x:c r="C434" t="str">
        <x:v>Guetemala Santa Rosa 2026 Espresso Edition</x:v>
      </x:c>
      <x:c r="D434" t="str">
        <x:v>Menşe belirtilmemiş</x:v>
      </x:c>
      <x:c r="E434" s="1" t="str">
        <x:v>Erişilemedi</x:v>
      </x:c>
      <x:c r="F434" s="2" t="n">
        <x:v>650</x:v>
      </x:c>
      <x:c r="G434" t="str">
        <x:v>Gramaj</x:v>
      </x:c>
      <x:c r="H434" t="str">
        <x:v>WooCommerce Store API</x:v>
      </x:c>
      <x:c r="I434" s="28" t="str">
        <x:v>https://gutenmorgenroastery.com/product/guetemala-santa-rosa-2026-espresso-edition/</x:v>
      </x:c>
      <x:c r="J434" s="28" t="str">
        <x:v>Fiyat veya gramaj eksik olsa da ürün korundu.</x:v>
      </x:c>
    </x:row>
    <x:row r="435">
      <x:c r="A435" t="str">
        <x:v>Guten Morgen Roastery</x:v>
      </x:c>
      <x:c r="B435" t="str">
        <x:v>Ürün kaydı</x:v>
      </x:c>
      <x:c r="C435" t="str">
        <x:v>Honduras Las Delicias (omni)</x:v>
      </x:c>
      <x:c r="D435" t="str">
        <x:v>Honduras</x:v>
      </x:c>
      <x:c r="E435" s="1" t="str">
        <x:v>Erişilemedi</x:v>
      </x:c>
      <x:c r="F435" s="2" t="n">
        <x:v>550</x:v>
      </x:c>
      <x:c r="G435" t="str">
        <x:v>Gramaj</x:v>
      </x:c>
      <x:c r="H435" t="str">
        <x:v>WooCommerce Store API</x:v>
      </x:c>
      <x:c r="I435" s="28" t="str">
        <x:v>https://gutenmorgenroastery.com/product/honduras-montecillos/</x:v>
      </x:c>
      <x:c r="J435" s="28" t="str">
        <x:v>Fiyat veya gramaj eksik olsa da ürün korundu.</x:v>
      </x:c>
    </x:row>
    <x:row r="436">
      <x:c r="A436" t="str">
        <x:v>Hana Coffee</x:v>
      </x:c>
      <x:c r="B436" t="str">
        <x:v>Katalog takip kaydı</x:v>
      </x:c>
      <x:c r="C436" t="str">
        <x:v>Ürün kataloğu — ayrıntılı ürün verisine erişilemedi</x:v>
      </x:c>
      <x:c r="D436" t="str">
        <x:v>Erişilemedi</x:v>
      </x:c>
      <x:c r="E436" s="1" t="str">
        <x:v>Erişilemedi</x:v>
      </x:c>
      <x:c r="F436" s="2" t="str">
        <x:v>Erişilemedi</x:v>
      </x:c>
      <x:c r="G436" t="str">
        <x:v>Gramaj + fiyat</x:v>
      </x:c>
      <x:c r="H436" t="str">
        <x:v>Instagram veya mevcut kaynak</x:v>
      </x:c>
      <x:c r="I436" s="28" t="str">
        <x:v>Erişilemedi</x:v>
      </x:c>
      <x:c r="J436" s="28" t="str">
        <x:v>Ürün adı, gramaj ve fiyat birlikte çıkarılamadı. Bağlantı manuel inceleme için korundu.</x:v>
      </x:c>
    </x:row>
    <x:row r="437">
      <x:c r="A437" t="str">
        <x:v>Harput Dibek</x:v>
      </x:c>
      <x:c r="B437" t="str">
        <x:v>Ürün kaydı</x:v>
      </x:c>
      <x:c r="C437" t="str">
        <x:v>HARPUT DİBEK ÖZEL ÜRETİM KOLONYA 250 ML HAFOO ( KARAMEL KAHVE )</x:v>
      </x:c>
      <x:c r="D437" t="str">
        <x:v>Menşe belirtilmemiş</x:v>
      </x:c>
      <x:c r="E437" s="1" t="str">
        <x:v>Erişilemedi</x:v>
      </x:c>
      <x:c r="F437" s="2" t="n">
        <x:v>250</x:v>
      </x:c>
      <x:c r="G437" t="str">
        <x:v>Gramaj</x:v>
      </x:c>
      <x:c r="H437" t="str">
        <x:v>WooCommerce Store API</x:v>
      </x:c>
      <x:c r="I437" s="28" t="str">
        <x:v>https://www.harputdibek.com/urun/harput-dibek-ozel-uretim-kolonya-250-ml-hafoo-karamel-kahve/</x:v>
      </x:c>
      <x:c r="J437" s="28" t="str">
        <x:v>Fiyat veya gramaj eksik olsa da ürün korundu.</x:v>
      </x:c>
    </x:row>
    <x:row r="438">
      <x:c r="A438" t="str">
        <x:v>Harput Dibek</x:v>
      </x:c>
      <x:c r="B438" t="str">
        <x:v>Ürün kaydı</x:v>
      </x:c>
      <x:c r="C438" t="str">
        <x:v>HARPUT DİBEK ÖZEL ÜRETİM KOLONYA 250 ML HENNO ( ÇİKOLATA KAHVE )</x:v>
      </x:c>
      <x:c r="D438" t="str">
        <x:v>Menşe belirtilmemiş</x:v>
      </x:c>
      <x:c r="E438" s="1" t="str">
        <x:v>Erişilemedi</x:v>
      </x:c>
      <x:c r="F438" s="2" t="n">
        <x:v>250</x:v>
      </x:c>
      <x:c r="G438" t="str">
        <x:v>Gramaj</x:v>
      </x:c>
      <x:c r="H438" t="str">
        <x:v>WooCommerce Store API</x:v>
      </x:c>
      <x:c r="I438" s="28" t="str">
        <x:v>https://www.harputdibek.com/urun/harput-dibek-ozel-uretim-kolonya-250-ml-henno-cikolata-kahve/</x:v>
      </x:c>
      <x:c r="J438" s="28" t="str">
        <x:v>Fiyat veya gramaj eksik olsa da ürün korundu.</x:v>
      </x:c>
    </x:row>
    <x:row r="439">
      <x:c r="A439" t="str">
        <x:v>Homestead Coffee</x:v>
      </x:c>
      <x:c r="B439" t="str">
        <x:v>Katalog takip kaydı</x:v>
      </x:c>
      <x:c r="C439" t="str">
        <x:v>Ürün kataloğu — ayrıntılı ürün verisine erişilemedi</x:v>
      </x:c>
      <x:c r="D439" t="str">
        <x:v>Erişilemedi</x:v>
      </x:c>
      <x:c r="E439" s="1" t="str">
        <x:v>Erişilemedi</x:v>
      </x:c>
      <x:c r="F439" s="2" t="str">
        <x:v>Erişilemedi</x:v>
      </x:c>
      <x:c r="G439" t="str">
        <x:v>Gramaj + fiyat</x:v>
      </x:c>
      <x:c r="H439" t="str">
        <x:v>Instagram veya mevcut kaynak</x:v>
      </x:c>
      <x:c r="I439" s="28" t="str">
        <x:v>Erişilemedi</x:v>
      </x:c>
      <x:c r="J439" s="28" t="str">
        <x:v>Ürün adı, gramaj ve fiyat birlikte çıkarılamadı. Bağlantı manuel inceleme için korundu.</x:v>
      </x:c>
    </x:row>
    <x:row r="440">
      <x:c r="A440" t="str">
        <x:v>Hound Coffee</x:v>
      </x:c>
      <x:c r="B440" t="str">
        <x:v>Katalog takip kaydı</x:v>
      </x:c>
      <x:c r="C440" t="str">
        <x:v>Ürün kataloğu — ayrıntılı ürün verisine erişilemedi</x:v>
      </x:c>
      <x:c r="D440" t="str">
        <x:v>Erişilemedi</x:v>
      </x:c>
      <x:c r="E440" s="1" t="str">
        <x:v>Erişilemedi</x:v>
      </x:c>
      <x:c r="F440" s="2" t="str">
        <x:v>Erişilemedi</x:v>
      </x:c>
      <x:c r="G440" t="str">
        <x:v>Gramaj + fiyat</x:v>
      </x:c>
      <x:c r="H440" t="str">
        <x:v>Instagram veya mevcut kaynak</x:v>
      </x:c>
      <x:c r="I440" s="28" t="str">
        <x:v>Erişilemedi</x:v>
      </x:c>
      <x:c r="J440" s="28" t="str">
        <x:v>Ürün adı, gramaj ve fiyat birlikte çıkarılamadı. Bağlantı manuel inceleme için korundu.</x:v>
      </x:c>
    </x:row>
    <x:row r="441">
      <x:c r="A441" t="str">
        <x:v>Hoya Coffee</x:v>
      </x:c>
      <x:c r="B441" t="str">
        <x:v>Katalog takip kaydı</x:v>
      </x:c>
      <x:c r="C441" t="str">
        <x:v>Ürün kataloğu — ayrıntılı ürün verisine erişilemedi</x:v>
      </x:c>
      <x:c r="D441" t="str">
        <x:v>Erişilemedi</x:v>
      </x:c>
      <x:c r="E441" s="1" t="str">
        <x:v>Erişilemedi</x:v>
      </x:c>
      <x:c r="F441" s="2" t="str">
        <x:v>Erişilemedi</x:v>
      </x:c>
      <x:c r="G441" t="str">
        <x:v>Gramaj + fiyat</x:v>
      </x:c>
      <x:c r="H441" t="str">
        <x:v>Instagram veya mevcut kaynak</x:v>
      </x:c>
      <x:c r="I441" s="28" t="str">
        <x:v>Erişilemedi</x:v>
      </x:c>
      <x:c r="J441" s="28" t="str">
        <x:v>Ürün adı, gramaj ve fiyat birlikte çıkarılamadı. Bağlantı manuel inceleme için korundu.</x:v>
      </x:c>
    </x:row>
    <x:row r="442">
      <x:c r="A442" t="str">
        <x:v>ICC Coffee Roastery / Istanbul Coffee Company</x:v>
      </x:c>
      <x:c r="B442" t="str">
        <x:v>Katalog takip kaydı</x:v>
      </x:c>
      <x:c r="C442" t="str">
        <x:v>Ürün kataloğu — ayrıntılı ürün verisine erişilemedi</x:v>
      </x:c>
      <x:c r="D442" t="str">
        <x:v>Erişilemedi</x:v>
      </x:c>
      <x:c r="E442" s="1" t="str">
        <x:v>Erişilemedi</x:v>
      </x:c>
      <x:c r="F442" s="2" t="str">
        <x:v>Erişilemedi</x:v>
      </x:c>
      <x:c r="G442" t="str">
        <x:v>Gramaj + fiyat</x:v>
      </x:c>
      <x:c r="H442" t="str">
        <x:v>Instagram veya mevcut kaynak</x:v>
      </x:c>
      <x:c r="I442" s="28" t="str">
        <x:v>Erişilemedi</x:v>
      </x:c>
      <x:c r="J442" s="28" t="str">
        <x:v>Ürün adı, gramaj ve fiyat birlikte çıkarılamadı. Bağlantı manuel inceleme için korundu.</x:v>
      </x:c>
    </x:row>
    <x:row r="443">
      <x:c r="A443" t="str">
        <x:v>Just Coffee &amp; Roastery</x:v>
      </x:c>
      <x:c r="B443" t="str">
        <x:v>Ürün kaydı</x:v>
      </x:c>
      <x:c r="C443" t="str">
        <x:v>-Colombia Esperanza-</x:v>
      </x:c>
      <x:c r="D443" t="str">
        <x:v>Kolombiya</x:v>
      </x:c>
      <x:c r="E443" s="1" t="str">
        <x:v>Erişilemedi</x:v>
      </x:c>
      <x:c r="F443" s="2" t="n">
        <x:v>575</x:v>
      </x:c>
      <x:c r="G443" t="str">
        <x:v>Gramaj</x:v>
      </x:c>
      <x:c r="H443" t="str">
        <x:v>WooCommerce Store API</x:v>
      </x:c>
      <x:c r="I443" s="28" t="str">
        <x:v>https://justmakecoffee.com/urun/colombia-esperanza-2/</x:v>
      </x:c>
      <x:c r="J443" s="28" t="str">
        <x:v>Fiyat veya gramaj eksik olsa da ürün korundu.</x:v>
      </x:c>
    </x:row>
    <x:row r="444">
      <x:c r="A444" t="str">
        <x:v>Just Coffee &amp; Roastery</x:v>
      </x:c>
      <x:c r="B444" t="str">
        <x:v>Ürün kaydı</x:v>
      </x:c>
      <x:c r="C444" t="str">
        <x:v>-Honduras Matazano-</x:v>
      </x:c>
      <x:c r="D444" t="str">
        <x:v>Honduras</x:v>
      </x:c>
      <x:c r="E444" s="1" t="str">
        <x:v>Erişilemedi</x:v>
      </x:c>
      <x:c r="F444" s="2" t="n">
        <x:v>625</x:v>
      </x:c>
      <x:c r="G444" t="str">
        <x:v>Gramaj</x:v>
      </x:c>
      <x:c r="H444" t="str">
        <x:v>WooCommerce Store API</x:v>
      </x:c>
      <x:c r="I444" s="28" t="str">
        <x:v>https://justmakecoffee.com/urun/honduras-matazano/</x:v>
      </x:c>
      <x:c r="J444" s="28" t="str">
        <x:v>Fiyat veya gramaj eksik olsa da ürün korundu.</x:v>
      </x:c>
    </x:row>
    <x:row r="445">
      <x:c r="A445" t="str">
        <x:v>Just Coffee &amp; Roastery</x:v>
      </x:c>
      <x:c r="B445" t="str">
        <x:v>Ürün kaydı</x:v>
      </x:c>
      <x:c r="C445" t="str">
        <x:v>-Rwanda Gihanga-</x:v>
      </x:c>
      <x:c r="D445" t="str">
        <x:v>Ruanda</x:v>
      </x:c>
      <x:c r="E445" s="1" t="str">
        <x:v>Erişilemedi</x:v>
      </x:c>
      <x:c r="F445" s="2" t="n">
        <x:v>495</x:v>
      </x:c>
      <x:c r="G445" t="str">
        <x:v>Gramaj</x:v>
      </x:c>
      <x:c r="H445" t="str">
        <x:v>WooCommerce Store API</x:v>
      </x:c>
      <x:c r="I445" s="28" t="str">
        <x:v>https://justmakecoffee.com/urun/rwanda-gihanga/</x:v>
      </x:c>
      <x:c r="J445" s="28" t="str">
        <x:v>Fiyat veya gramaj eksik olsa da ürün korundu.</x:v>
      </x:c>
    </x:row>
    <x:row r="446">
      <x:c r="A446" t="str">
        <x:v>Just Coffee &amp; Roastery</x:v>
      </x:c>
      <x:c r="B446" t="str">
        <x:v>Ürün kaydı</x:v>
      </x:c>
      <x:c r="C446" t="str">
        <x:v>*House Blend Espresso*</x:v>
      </x:c>
      <x:c r="D446" t="str">
        <x:v>Harman – menşe belirtilmemiş</x:v>
      </x:c>
      <x:c r="E446" s="1" t="str">
        <x:v>Erişilemedi</x:v>
      </x:c>
      <x:c r="F446" s="2" t="n">
        <x:v>1345</x:v>
      </x:c>
      <x:c r="G446" t="str">
        <x:v>Gramaj</x:v>
      </x:c>
      <x:c r="H446" t="str">
        <x:v>WooCommerce Store API</x:v>
      </x:c>
      <x:c r="I446" s="28" t="str">
        <x:v>https://justmakecoffee.com/urun/just-magic-blend/</x:v>
      </x:c>
      <x:c r="J446" s="28" t="str">
        <x:v>Fiyat veya gramaj eksik olsa da ürün korundu.</x:v>
      </x:c>
    </x:row>
    <x:row r="447">
      <x:c r="A447" t="str">
        <x:v>Just Coffee &amp; Roastery</x:v>
      </x:c>
      <x:c r="B447" t="str">
        <x:v>Ürün kaydı</x:v>
      </x:c>
      <x:c r="C447" t="str">
        <x:v>*House Blend Selected Filtre*</x:v>
      </x:c>
      <x:c r="D447" t="str">
        <x:v>Harman – menşe belirtilmemiş</x:v>
      </x:c>
      <x:c r="E447" s="1" t="str">
        <x:v>Erişilemedi</x:v>
      </x:c>
      <x:c r="F447" s="2" t="n">
        <x:v>530</x:v>
      </x:c>
      <x:c r="G447" t="str">
        <x:v>Gramaj</x:v>
      </x:c>
      <x:c r="H447" t="str">
        <x:v>WooCommerce Store API</x:v>
      </x:c>
      <x:c r="I447" s="28" t="str">
        <x:v>https://justmakecoffee.com/urun/house-selected-blend-filtre/</x:v>
      </x:c>
      <x:c r="J447" s="28" t="str">
        <x:v>Fiyat veya gramaj eksik olsa da ürün korundu.</x:v>
      </x:c>
    </x:row>
    <x:row r="448">
      <x:c r="A448" t="str">
        <x:v>Just Coffee &amp; Roastery</x:v>
      </x:c>
      <x:c r="B448" t="str">
        <x:v>Ürün kaydı</x:v>
      </x:c>
      <x:c r="C448" t="str">
        <x:v>Burundi Nyagishiru</x:v>
      </x:c>
      <x:c r="D448" t="str">
        <x:v>Burundi</x:v>
      </x:c>
      <x:c r="E448" s="1" t="str">
        <x:v>Erişilemedi</x:v>
      </x:c>
      <x:c r="F448" s="2" t="n">
        <x:v>815</x:v>
      </x:c>
      <x:c r="G448" t="str">
        <x:v>Gramaj</x:v>
      </x:c>
      <x:c r="H448" t="str">
        <x:v>WooCommerce Store API</x:v>
      </x:c>
      <x:c r="I448" s="28" t="str">
        <x:v>https://justmakecoffee.com/urun/burundi-nyagishiru/</x:v>
      </x:c>
      <x:c r="J448" s="28" t="str">
        <x:v>Fiyat veya gramaj eksik olsa da ürün korundu.</x:v>
      </x:c>
    </x:row>
    <x:row r="449">
      <x:c r="A449" t="str">
        <x:v>Just Coffee &amp; Roastery</x:v>
      </x:c>
      <x:c r="B449" t="str">
        <x:v>Ürün kaydı</x:v>
      </x:c>
      <x:c r="C449" t="str">
        <x:v>Costa Rica La Isla</x:v>
      </x:c>
      <x:c r="D449" t="str">
        <x:v>Kosta Rika</x:v>
      </x:c>
      <x:c r="E449" s="1" t="str">
        <x:v>Erişilemedi</x:v>
      </x:c>
      <x:c r="F449" s="2" t="n">
        <x:v>630</x:v>
      </x:c>
      <x:c r="G449" t="str">
        <x:v>Gramaj</x:v>
      </x:c>
      <x:c r="H449" t="str">
        <x:v>WooCommerce Store API</x:v>
      </x:c>
      <x:c r="I449" s="28" t="str">
        <x:v>https://justmakecoffee.com/urun/costa-rica-la-isla/</x:v>
      </x:c>
      <x:c r="J449" s="28" t="str">
        <x:v>Fiyat veya gramaj eksik olsa da ürün korundu.</x:v>
      </x:c>
    </x:row>
    <x:row r="450">
      <x:c r="A450" t="str">
        <x:v>Just Coffee &amp; Roastery</x:v>
      </x:c>
      <x:c r="B450" t="str">
        <x:v>Ürün kaydı</x:v>
      </x:c>
      <x:c r="C450" t="str">
        <x:v>Guatemala Selvatico</x:v>
      </x:c>
      <x:c r="D450" t="str">
        <x:v>Guatemala</x:v>
      </x:c>
      <x:c r="E450" s="1" t="str">
        <x:v>Erişilemedi</x:v>
      </x:c>
      <x:c r="F450" s="2" t="n">
        <x:v>535</x:v>
      </x:c>
      <x:c r="G450" t="str">
        <x:v>Gramaj</x:v>
      </x:c>
      <x:c r="H450" t="str">
        <x:v>WooCommerce Store API</x:v>
      </x:c>
      <x:c r="I450" s="28" t="str">
        <x:v>https://justmakecoffee.com/urun/guatemala-selvatico-2/</x:v>
      </x:c>
      <x:c r="J450" s="28" t="str">
        <x:v>Fiyat veya gramaj eksik olsa da ürün korundu.</x:v>
      </x:c>
    </x:row>
    <x:row r="451">
      <x:c r="A451" t="str">
        <x:v>Just Coffee &amp; Roastery</x:v>
      </x:c>
      <x:c r="B451" t="str">
        <x:v>Ürün kaydı</x:v>
      </x:c>
      <x:c r="C451" t="str">
        <x:v>Kenya Kibigu</x:v>
      </x:c>
      <x:c r="D451" t="str">
        <x:v>Kenya</x:v>
      </x:c>
      <x:c r="E451" s="1" t="str">
        <x:v>Erişilemedi</x:v>
      </x:c>
      <x:c r="F451" s="2" t="n">
        <x:v>725</x:v>
      </x:c>
      <x:c r="G451" t="str">
        <x:v>Gramaj</x:v>
      </x:c>
      <x:c r="H451" t="str">
        <x:v>WooCommerce Store API</x:v>
      </x:c>
      <x:c r="I451" s="28" t="str">
        <x:v>https://justmakecoffee.com/urun/kenya-kibigu/</x:v>
      </x:c>
      <x:c r="J451" s="28" t="str">
        <x:v>Fiyat veya gramaj eksik olsa da ürün korundu.</x:v>
      </x:c>
    </x:row>
    <x:row r="452">
      <x:c r="A452" t="str">
        <x:v>Just Coffee &amp; Roastery</x:v>
      </x:c>
      <x:c r="B452" t="str">
        <x:v>Ürün kaydı</x:v>
      </x:c>
      <x:c r="C452" t="str">
        <x:v>Peru Valley</x:v>
      </x:c>
      <x:c r="D452" t="str">
        <x:v>Peru</x:v>
      </x:c>
      <x:c r="E452" s="1" t="str">
        <x:v>Erişilemedi</x:v>
      </x:c>
      <x:c r="F452" s="2" t="n">
        <x:v>580</x:v>
      </x:c>
      <x:c r="G452" t="str">
        <x:v>Gramaj</x:v>
      </x:c>
      <x:c r="H452" t="str">
        <x:v>WooCommerce Store API</x:v>
      </x:c>
      <x:c r="I452" s="28" t="str">
        <x:v>https://justmakecoffee.com/urun/peru-valley/</x:v>
      </x:c>
      <x:c r="J452" s="28" t="str">
        <x:v>Fiyat veya gramaj eksik olsa da ürün korundu.</x:v>
      </x:c>
    </x:row>
    <x:row r="453">
      <x:c r="A453" t="str">
        <x:v>Kaave Roastery</x:v>
      </x:c>
      <x:c r="B453" t="str">
        <x:v>Ürün kaydı</x:v>
      </x:c>
      <x:c r="C453" t="str">
        <x:v>Breakfast Blend Filtre 500 Gr*2'li Tanışma Paketi</x:v>
      </x:c>
      <x:c r="D453" t="str">
        <x:v>Harman – menşe belirtilmemiş</x:v>
      </x:c>
      <x:c r="E453" s="1" t="n">
        <x:v>500</x:v>
      </x:c>
      <x:c r="F453" s="2" t="str">
        <x:v>Erişilemedi</x:v>
      </x:c>
      <x:c r="G453" t="str">
        <x:v>Fiyat</x:v>
      </x:c>
      <x:c r="H453" t="str">
        <x:v>Site haritası ürün sayfası</x:v>
      </x:c>
      <x:c r="I453" s="28" t="str">
        <x:v>https://www.kaave.com.tr/breakfast-blend-filtre-kahve-500-gr-tanisma-paketi-2-adet</x:v>
      </x:c>
      <x:c r="J453" s="28" t="str">
        <x:v>Ürün kimliği korundu; eksik alanlar erişilemedi olarak işaretlenecek.</x:v>
      </x:c>
    </x:row>
    <x:row r="454">
      <x:c r="A454" t="str">
        <x:v>Kaave Roastery</x:v>
      </x:c>
      <x:c r="B454" t="str">
        <x:v>Ürün kaydı</x:v>
      </x:c>
      <x:c r="C454" t="str">
        <x:v>Breakfast Blend Filtre 500 Gr*3'lü Tanışma Paketi</x:v>
      </x:c>
      <x:c r="D454" t="str">
        <x:v>Harman – menşe belirtilmemiş</x:v>
      </x:c>
      <x:c r="E454" s="1" t="n">
        <x:v>500</x:v>
      </x:c>
      <x:c r="F454" s="2" t="str">
        <x:v>Erişilemedi</x:v>
      </x:c>
      <x:c r="G454" t="str">
        <x:v>Fiyat</x:v>
      </x:c>
      <x:c r="H454" t="str">
        <x:v>Site haritası ürün sayfası</x:v>
      </x:c>
      <x:c r="I454" s="28" t="str">
        <x:v>https://www.kaave.com.tr/breakfast-blend-filtre-kahve-500-gr-3lu-tanisma-paketi</x:v>
      </x:c>
      <x:c r="J454" s="28" t="str">
        <x:v>Ürün kimliği korundu; eksik alanlar erişilemedi olarak işaretlenecek.</x:v>
      </x:c>
    </x:row>
    <x:row r="455">
      <x:c r="A455" t="str">
        <x:v>Kaave Roastery</x:v>
      </x:c>
      <x:c r="B455" t="str">
        <x:v>Ürün kaydı</x:v>
      </x:c>
      <x:c r="C455" t="str">
        <x:v>Breakfast Blend Filtre 500 Gr*4'lü Tanışma Paketi</x:v>
      </x:c>
      <x:c r="D455" t="str">
        <x:v>Harman – menşe belirtilmemiş</x:v>
      </x:c>
      <x:c r="E455" s="1" t="n">
        <x:v>500</x:v>
      </x:c>
      <x:c r="F455" s="2" t="str">
        <x:v>Erişilemedi</x:v>
      </x:c>
      <x:c r="G455" t="str">
        <x:v>Fiyat</x:v>
      </x:c>
      <x:c r="H455" t="str">
        <x:v>Site haritası ürün sayfası</x:v>
      </x:c>
      <x:c r="I455" s="28" t="str">
        <x:v>https://www.kaave.com.tr/breakfast-blend-filtre-kahve-tanisma-paketi-500-gr-4-adet</x:v>
      </x:c>
      <x:c r="J455" s="28" t="str">
        <x:v>Ürün kimliği korundu; eksik alanlar erişilemedi olarak işaretlenecek.</x:v>
      </x:c>
    </x:row>
    <x:row r="456">
      <x:c r="A456" t="str">
        <x:v>Kaave Roastery</x:v>
      </x:c>
      <x:c r="B456" t="str">
        <x:v>Ürün kaydı</x:v>
      </x:c>
      <x:c r="C456" t="str">
        <x:v>Colombia Peaks 250 gr</x:v>
      </x:c>
      <x:c r="D456" t="str">
        <x:v>Kolombiya</x:v>
      </x:c>
      <x:c r="E456" s="1" t="n">
        <x:v>250</x:v>
      </x:c>
      <x:c r="F456" s="2" t="str">
        <x:v>Erişilemedi</x:v>
      </x:c>
      <x:c r="G456" t="str">
        <x:v>Fiyat</x:v>
      </x:c>
      <x:c r="H456" t="str">
        <x:v>Site haritası ürün sayfası</x:v>
      </x:c>
      <x:c r="I456" s="28" t="str">
        <x:v>https://www.kaave.com.tr/colombia-peaks-cekirdek-kahve-250-gr</x:v>
      </x:c>
      <x:c r="J456" s="28" t="str">
        <x:v>Ürün kimliği korundu; eksik alanlar erişilemedi olarak işaretlenecek.</x:v>
      </x:c>
    </x:row>
    <x:row r="457">
      <x:c r="A457" t="str">
        <x:v>Kaave Roastery</x:v>
      </x:c>
      <x:c r="B457" t="str">
        <x:v>Ürün kaydı</x:v>
      </x:c>
      <x:c r="C457" t="str">
        <x:v>Colombia Peaks Çekirdek 250 Gr (2 Adet) + Guatemala Peaks Çekirdek 250 Gr (2 Adet) 4'lü Tanışma Paketi</x:v>
      </x:c>
      <x:c r="D457" t="str">
        <x:v>Kolombiya | Guatemala</x:v>
      </x:c>
      <x:c r="E457" s="1" t="n">
        <x:v>250</x:v>
      </x:c>
      <x:c r="F457" s="2" t="str">
        <x:v>Erişilemedi</x:v>
      </x:c>
      <x:c r="G457" t="str">
        <x:v>Fiyat</x:v>
      </x:c>
      <x:c r="H457" t="str">
        <x:v>Site haritası ürün sayfası</x:v>
      </x:c>
      <x:c r="I457" s="28" t="str">
        <x:v>https://www.kaave.com.tr/colombia-guatemala-single-origin-kahve-tanisma-paketi-250-gr-4-adet</x:v>
      </x:c>
      <x:c r="J457" s="28" t="str">
        <x:v>Ürün kimliği korundu; eksik alanlar erişilemedi olarak işaretlenecek.</x:v>
      </x:c>
    </x:row>
    <x:row r="458">
      <x:c r="A458" t="str">
        <x:v>Kaave Roastery</x:v>
      </x:c>
      <x:c r="B458" t="str">
        <x:v>Ürün kaydı</x:v>
      </x:c>
      <x:c r="C458" t="str">
        <x:v>Colombia Peaks Çekirdek 250 Gr + Guatemala Peaks Çekirdek 250 Gr 2'li Tanışma Paketi</x:v>
      </x:c>
      <x:c r="D458" t="str">
        <x:v>Kolombiya | Guatemala</x:v>
      </x:c>
      <x:c r="E458" s="1" t="n">
        <x:v>250</x:v>
      </x:c>
      <x:c r="F458" s="2" t="str">
        <x:v>Erişilemedi</x:v>
      </x:c>
      <x:c r="G458" t="str">
        <x:v>Fiyat</x:v>
      </x:c>
      <x:c r="H458" t="str">
        <x:v>Site haritası ürün sayfası</x:v>
      </x:c>
      <x:c r="I458" s="28" t="str">
        <x:v>https://www.kaave.com.tr/colombia-guatemala-single-origin-kahve-tanisma-paketi-250-gr-2-adet</x:v>
      </x:c>
      <x:c r="J458" s="28" t="str">
        <x:v>Ürün kimliği korundu; eksik alanlar erişilemedi olarak işaretlenecek.</x:v>
      </x:c>
    </x:row>
    <x:row r="459">
      <x:c r="A459" t="str">
        <x:v>Kaave Roastery</x:v>
      </x:c>
      <x:c r="B459" t="str">
        <x:v>Ürün kaydı</x:v>
      </x:c>
      <x:c r="C459" t="str">
        <x:v>Colombia Peaks Çekirdek 250 Gr*2'li Tanışma Paketi</x:v>
      </x:c>
      <x:c r="D459" t="str">
        <x:v>Kolombiya</x:v>
      </x:c>
      <x:c r="E459" s="1" t="n">
        <x:v>250</x:v>
      </x:c>
      <x:c r="F459" s="2" t="str">
        <x:v>Erişilemedi</x:v>
      </x:c>
      <x:c r="G459" t="str">
        <x:v>Fiyat</x:v>
      </x:c>
      <x:c r="H459" t="str">
        <x:v>Site haritası ürün sayfası</x:v>
      </x:c>
      <x:c r="I459" s="28" t="str">
        <x:v>https://www.kaave.com.tr/colombia-peaks-cekirdek-kahve-tanisma-paketi-250-gr-2-adet</x:v>
      </x:c>
      <x:c r="J459" s="28" t="str">
        <x:v>Ürün kimliği korundu; eksik alanlar erişilemedi olarak işaretlenecek.</x:v>
      </x:c>
    </x:row>
    <x:row r="460">
      <x:c r="A460" t="str">
        <x:v>Kaave Roastery</x:v>
      </x:c>
      <x:c r="B460" t="str">
        <x:v>Ürün kaydı</x:v>
      </x:c>
      <x:c r="C460" t="str">
        <x:v>Colombia Peaks Çekirdek 250 Gr*3'lü Tanışma Paketi</x:v>
      </x:c>
      <x:c r="D460" t="str">
        <x:v>Kolombiya</x:v>
      </x:c>
      <x:c r="E460" s="1" t="n">
        <x:v>250</x:v>
      </x:c>
      <x:c r="F460" s="2" t="str">
        <x:v>Erişilemedi</x:v>
      </x:c>
      <x:c r="G460" t="str">
        <x:v>Fiyat</x:v>
      </x:c>
      <x:c r="H460" t="str">
        <x:v>Site haritası ürün sayfası</x:v>
      </x:c>
      <x:c r="I460" s="28" t="str">
        <x:v>https://www.kaave.com.tr/colombia-peaks-cekirdek-kahve-tanisma-paketi-250-gr-3-adet</x:v>
      </x:c>
      <x:c r="J460" s="28" t="str">
        <x:v>Ürün kimliği korundu; eksik alanlar erişilemedi olarak işaretlenecek.</x:v>
      </x:c>
    </x:row>
    <x:row r="461">
      <x:c r="A461" t="str">
        <x:v>Kaave Roastery</x:v>
      </x:c>
      <x:c r="B461" t="str">
        <x:v>Ürün kaydı</x:v>
      </x:c>
      <x:c r="C461" t="str">
        <x:v>Colombia Peaks Çekirdek 250 Gr*4'lü Tanışma Paketi</x:v>
      </x:c>
      <x:c r="D461" t="str">
        <x:v>Kolombiya</x:v>
      </x:c>
      <x:c r="E461" s="1" t="n">
        <x:v>250</x:v>
      </x:c>
      <x:c r="F461" s="2" t="str">
        <x:v>Erişilemedi</x:v>
      </x:c>
      <x:c r="G461" t="str">
        <x:v>Fiyat</x:v>
      </x:c>
      <x:c r="H461" t="str">
        <x:v>Site haritası ürün sayfası</x:v>
      </x:c>
      <x:c r="I461" s="28" t="str">
        <x:v>https://www.kaave.com.tr/colombia-peaks-cekirdek-kahve-250-gr-4lu-tanisma-paketi</x:v>
      </x:c>
      <x:c r="J461" s="28" t="str">
        <x:v>Ürün kimliği korundu; eksik alanlar erişilemedi olarak işaretlenecek.</x:v>
      </x:c>
    </x:row>
    <x:row r="462">
      <x:c r="A462" t="str">
        <x:v>Kaave Roastery</x:v>
      </x:c>
      <x:c r="B462" t="str">
        <x:v>Ürün kaydı</x:v>
      </x:c>
      <x:c r="C462" t="str">
        <x:v>Crema Gusto Espresso Çekirdek 1000 Gr*2'li Tanışma Paketi</x:v>
      </x:c>
      <x:c r="D462" t="str">
        <x:v>Menşe belirtilmemiş</x:v>
      </x:c>
      <x:c r="E462" s="1" t="n">
        <x:v>1000</x:v>
      </x:c>
      <x:c r="F462" s="2" t="str">
        <x:v>Erişilemedi</x:v>
      </x:c>
      <x:c r="G462" t="str">
        <x:v>Fiyat</x:v>
      </x:c>
      <x:c r="H462" t="str">
        <x:v>Site haritası ürün sayfası</x:v>
      </x:c>
      <x:c r="I462" s="28" t="str">
        <x:v>https://www.kaave.com.tr/crema-gusto-espresso-cekirdek-kahve-1000-gr-2li-tanisma-paketi</x:v>
      </x:c>
      <x:c r="J462" s="28" t="str">
        <x:v>Ürün kimliği korundu; eksik alanlar erişilemedi olarak işaretlenecek.</x:v>
      </x:c>
    </x:row>
    <x:row r="463">
      <x:c r="A463" t="str">
        <x:v>Kaave Roastery</x:v>
      </x:c>
      <x:c r="B463" t="str">
        <x:v>Ürün kaydı</x:v>
      </x:c>
      <x:c r="C463" t="str">
        <x:v>Espresso Caffe Crema 250 gr</x:v>
      </x:c>
      <x:c r="D463" t="str">
        <x:v>Menşe belirtilmemiş</x:v>
      </x:c>
      <x:c r="E463" s="1" t="n">
        <x:v>250</x:v>
      </x:c>
      <x:c r="F463" s="2" t="str">
        <x:v>Erişilemedi</x:v>
      </x:c>
      <x:c r="G463" t="str">
        <x:v>Fiyat</x:v>
      </x:c>
      <x:c r="H463" t="str">
        <x:v>Site haritası ürün sayfası</x:v>
      </x:c>
      <x:c r="I463" s="28" t="str">
        <x:v>https://www.kaave.com.tr/espresso-caffe-crema-cekirdek-kahve-250-gr</x:v>
      </x:c>
      <x:c r="J463" s="28" t="str">
        <x:v>Ürün kimliği korundu; eksik alanlar erişilemedi olarak işaretlenecek.</x:v>
      </x:c>
    </x:row>
    <x:row r="464">
      <x:c r="A464" t="str">
        <x:v>Kaave Roastery</x:v>
      </x:c>
      <x:c r="B464" t="str">
        <x:v>Ürün kaydı</x:v>
      </x:c>
      <x:c r="C464" t="str">
        <x:v>ESPRESSO CREMA GUSTO 1000G</x:v>
      </x:c>
      <x:c r="D464" t="str">
        <x:v>Menşe belirtilmemiş</x:v>
      </x:c>
      <x:c r="E464" s="1" t="n">
        <x:v>1000</x:v>
      </x:c>
      <x:c r="F464" s="2" t="str">
        <x:v>Erişilemedi</x:v>
      </x:c>
      <x:c r="G464" t="str">
        <x:v>Fiyat</x:v>
      </x:c>
      <x:c r="H464" t="str">
        <x:v>Site haritası ürün sayfası</x:v>
      </x:c>
      <x:c r="I464" s="28" t="str">
        <x:v>https://www.kaave.com.tr/crema-gusto-espresso-cekirdek-kahve-1000-gr</x:v>
      </x:c>
      <x:c r="J464" s="28" t="str">
        <x:v>Ürün kimliği korundu; eksik alanlar erişilemedi olarak işaretlenecek.</x:v>
      </x:c>
    </x:row>
    <x:row r="465">
      <x:c r="A465" t="str">
        <x:v>Kaave Roastery</x:v>
      </x:c>
      <x:c r="B465" t="str">
        <x:v>Ürün kaydı</x:v>
      </x:c>
      <x:c r="C465" t="str">
        <x:v>ESPRESSO GRANDE GUSTO 1000G</x:v>
      </x:c>
      <x:c r="D465" t="str">
        <x:v>Menşe belirtilmemiş</x:v>
      </x:c>
      <x:c r="E465" s="1" t="n">
        <x:v>1000</x:v>
      </x:c>
      <x:c r="F465" s="2" t="str">
        <x:v>Erişilemedi</x:v>
      </x:c>
      <x:c r="G465" t="str">
        <x:v>Fiyat</x:v>
      </x:c>
      <x:c r="H465" t="str">
        <x:v>Site haritası ürün sayfası</x:v>
      </x:c>
      <x:c r="I465" s="28" t="str">
        <x:v>https://www.kaave.com.tr/grande-gusto-espresso-cekirdek-kahve-1000-gr</x:v>
      </x:c>
      <x:c r="J465" s="28" t="str">
        <x:v>Ürün kimliği korundu; eksik alanlar erişilemedi olarak işaretlenecek.</x:v>
      </x:c>
    </x:row>
    <x:row r="466">
      <x:c r="A466" t="str">
        <x:v>Kaave Roastery</x:v>
      </x:c>
      <x:c r="B466" t="str">
        <x:v>Ürün kaydı</x:v>
      </x:c>
      <x:c r="C466" t="str">
        <x:v>Espresso Ital'Bar 250 gr</x:v>
      </x:c>
      <x:c r="D466" t="str">
        <x:v>Menşe belirtilmemiş</x:v>
      </x:c>
      <x:c r="E466" s="1" t="n">
        <x:v>250</x:v>
      </x:c>
      <x:c r="F466" s="2" t="str">
        <x:v>Erişilemedi</x:v>
      </x:c>
      <x:c r="G466" t="str">
        <x:v>Fiyat</x:v>
      </x:c>
      <x:c r="H466" t="str">
        <x:v>Site haritası ürün sayfası</x:v>
      </x:c>
      <x:c r="I466" s="28" t="str">
        <x:v>https://www.kaave.com.tr/espresso-italbar-cekirdek-kahve-250-gr</x:v>
      </x:c>
      <x:c r="J466" s="28" t="str">
        <x:v>Ürün kimliği korundu; eksik alanlar erişilemedi olarak işaretlenecek.</x:v>
      </x:c>
    </x:row>
    <x:row r="467">
      <x:c r="A467" t="str">
        <x:v>Kaave Roastery</x:v>
      </x:c>
      <x:c r="B467" t="str">
        <x:v>Ürün kaydı</x:v>
      </x:c>
      <x:c r="C467" t="str">
        <x:v>FİLTRE BREAKFAST BLEND 500G</x:v>
      </x:c>
      <x:c r="D467" t="str">
        <x:v>Harman – menşe belirtilmemiş</x:v>
      </x:c>
      <x:c r="E467" s="1" t="n">
        <x:v>500</x:v>
      </x:c>
      <x:c r="F467" s="2" t="str">
        <x:v>Erişilemedi</x:v>
      </x:c>
      <x:c r="G467" t="str">
        <x:v>Fiyat</x:v>
      </x:c>
      <x:c r="H467" t="str">
        <x:v>Site haritası ürün sayfası</x:v>
      </x:c>
      <x:c r="I467" s="28" t="str">
        <x:v>https://www.kaave.com.tr/breakfast-blend-filtre-kahve-500-gr</x:v>
      </x:c>
      <x:c r="J467" s="28" t="str">
        <x:v>Ürün kimliği korundu; eksik alanlar erişilemedi olarak işaretlenecek.</x:v>
      </x:c>
    </x:row>
    <x:row r="468">
      <x:c r="A468" t="str">
        <x:v>Kaave Roastery</x:v>
      </x:c>
      <x:c r="B468" t="str">
        <x:v>Ürün kaydı</x:v>
      </x:c>
      <x:c r="C468" t="str">
        <x:v>Filtre Mare Blue Çekirdek 250 gr</x:v>
      </x:c>
      <x:c r="D468" t="str">
        <x:v>Menşe belirtilmemiş</x:v>
      </x:c>
      <x:c r="E468" s="1" t="n">
        <x:v>250</x:v>
      </x:c>
      <x:c r="F468" s="2" t="str">
        <x:v>Erişilemedi</x:v>
      </x:c>
      <x:c r="G468" t="str">
        <x:v>Fiyat</x:v>
      </x:c>
      <x:c r="H468" t="str">
        <x:v>Site haritası ürün sayfası</x:v>
      </x:c>
      <x:c r="I468" s="28" t="str">
        <x:v>https://www.kaave.com.tr/filtre-mare-blue-cekirdek-kahve-250-gr</x:v>
      </x:c>
      <x:c r="J468" s="28" t="str">
        <x:v>Ürün kimliği korundu; eksik alanlar erişilemedi olarak işaretlenecek.</x:v>
      </x:c>
    </x:row>
    <x:row r="469">
      <x:c r="A469" t="str">
        <x:v>Kaave Roastery</x:v>
      </x:c>
      <x:c r="B469" t="str">
        <x:v>Ürün kaydı</x:v>
      </x:c>
      <x:c r="C469" t="str">
        <x:v>FİLTRE MARE BLUE ÖĞÜTÜLMÜŞ 250G</x:v>
      </x:c>
      <x:c r="D469" t="str">
        <x:v>Menşe belirtilmemiş</x:v>
      </x:c>
      <x:c r="E469" s="1" t="n">
        <x:v>250</x:v>
      </x:c>
      <x:c r="F469" s="2" t="str">
        <x:v>Erişilemedi</x:v>
      </x:c>
      <x:c r="G469" t="str">
        <x:v>Fiyat</x:v>
      </x:c>
      <x:c r="H469" t="str">
        <x:v>Site haritası ürün sayfası</x:v>
      </x:c>
      <x:c r="I469" s="28" t="str">
        <x:v>https://www.kaave.com.tr/mare-blue-filtre-kahve-250-gr</x:v>
      </x:c>
      <x:c r="J469" s="28" t="str">
        <x:v>Ürün kimliği korundu; eksik alanlar erişilemedi olarak işaretlenecek.</x:v>
      </x:c>
    </x:row>
    <x:row r="470">
      <x:c r="A470" t="str">
        <x:v>Kaave Roastery</x:v>
      </x:c>
      <x:c r="B470" t="str">
        <x:v>Ürün kaydı</x:v>
      </x:c>
      <x:c r="C470" t="str">
        <x:v>FİLTRE PRESTİJ BLEND 500G</x:v>
      </x:c>
      <x:c r="D470" t="str">
        <x:v>Harman – menşe belirtilmemiş</x:v>
      </x:c>
      <x:c r="E470" s="1" t="n">
        <x:v>500</x:v>
      </x:c>
      <x:c r="F470" s="2" t="str">
        <x:v>Erişilemedi</x:v>
      </x:c>
      <x:c r="G470" t="str">
        <x:v>Fiyat</x:v>
      </x:c>
      <x:c r="H470" t="str">
        <x:v>Site haritası ürün sayfası</x:v>
      </x:c>
      <x:c r="I470" s="28" t="str">
        <x:v>https://www.kaave.com.tr/prestij-blend-filtre-kahve-500-gr</x:v>
      </x:c>
      <x:c r="J470" s="28" t="str">
        <x:v>Ürün kimliği korundu; eksik alanlar erişilemedi olarak işaretlenecek.</x:v>
      </x:c>
    </x:row>
    <x:row r="471">
      <x:c r="A471" t="str">
        <x:v>Kaave Roastery</x:v>
      </x:c>
      <x:c r="B471" t="str">
        <x:v>Ürün kaydı</x:v>
      </x:c>
      <x:c r="C471" t="str">
        <x:v>Grande Gusto Espresso Çekirdek 1000 Gr*2'li Tanışma Paketi</x:v>
      </x:c>
      <x:c r="D471" t="str">
        <x:v>Menşe belirtilmemiş</x:v>
      </x:c>
      <x:c r="E471" s="1" t="n">
        <x:v>1000</x:v>
      </x:c>
      <x:c r="F471" s="2" t="str">
        <x:v>Erişilemedi</x:v>
      </x:c>
      <x:c r="G471" t="str">
        <x:v>Fiyat</x:v>
      </x:c>
      <x:c r="H471" t="str">
        <x:v>Site haritası ürün sayfası</x:v>
      </x:c>
      <x:c r="I471" s="28" t="str">
        <x:v>https://www.kaave.com.tr/grande-gusto-espresso-cekirdek-kahve-1000-gr-2li-tanisma-paketi</x:v>
      </x:c>
      <x:c r="J471" s="28" t="str">
        <x:v>Ürün kimliği korundu; eksik alanlar erişilemedi olarak işaretlenecek.</x:v>
      </x:c>
    </x:row>
    <x:row r="472">
      <x:c r="A472" t="str">
        <x:v>Kaave Roastery</x:v>
      </x:c>
      <x:c r="B472" t="str">
        <x:v>Ürün kaydı</x:v>
      </x:c>
      <x:c r="C472" t="str">
        <x:v>Guatemala Peaks 250 gr</x:v>
      </x:c>
      <x:c r="D472" t="str">
        <x:v>Guatemala</x:v>
      </x:c>
      <x:c r="E472" s="1" t="n">
        <x:v>250</x:v>
      </x:c>
      <x:c r="F472" s="2" t="str">
        <x:v>Erişilemedi</x:v>
      </x:c>
      <x:c r="G472" t="str">
        <x:v>Fiyat</x:v>
      </x:c>
      <x:c r="H472" t="str">
        <x:v>Site haritası ürün sayfası</x:v>
      </x:c>
      <x:c r="I472" s="28" t="str">
        <x:v>https://www.kaave.com.tr/guatemala-peaks-cekirdek-kahve-250-gr</x:v>
      </x:c>
      <x:c r="J472" s="28" t="str">
        <x:v>Ürün kimliği korundu; eksik alanlar erişilemedi olarak işaretlenecek.</x:v>
      </x:c>
    </x:row>
    <x:row r="473">
      <x:c r="A473" t="str">
        <x:v>Kaave Roastery</x:v>
      </x:c>
      <x:c r="B473" t="str">
        <x:v>Ürün kaydı</x:v>
      </x:c>
      <x:c r="C473" t="str">
        <x:v>Guatemala Peaks Çekirdek 250 Gr*4'lü Tanışma Paketi</x:v>
      </x:c>
      <x:c r="D473" t="str">
        <x:v>Guatemala</x:v>
      </x:c>
      <x:c r="E473" s="1" t="n">
        <x:v>250</x:v>
      </x:c>
      <x:c r="F473" s="2" t="str">
        <x:v>Erişilemedi</x:v>
      </x:c>
      <x:c r="G473" t="str">
        <x:v>Fiyat</x:v>
      </x:c>
      <x:c r="H473" t="str">
        <x:v>Site haritası ürün sayfası</x:v>
      </x:c>
      <x:c r="I473" s="28" t="str">
        <x:v>https://www.kaave.com.tr/guatemala-peaks-cekirdek-kahve-250-gr-4lu-tanisma-paketi</x:v>
      </x:c>
      <x:c r="J473" s="28" t="str">
        <x:v>Ürün kimliği korundu; eksik alanlar erişilemedi olarak işaretlenecek.</x:v>
      </x:c>
    </x:row>
    <x:row r="474">
      <x:c r="A474" t="str">
        <x:v>Kaave Roastery</x:v>
      </x:c>
      <x:c r="B474" t="str">
        <x:v>Ürün kaydı</x:v>
      </x:c>
      <x:c r="C474" t="str">
        <x:v>KV-KAPSÜL CREMA GUSTO 5,5g x 10</x:v>
      </x:c>
      <x:c r="D474" t="str">
        <x:v>Menşe belirtilmemiş</x:v>
      </x:c>
      <x:c r="E474" s="1" t="str">
        <x:v>Erişilemedi</x:v>
      </x:c>
      <x:c r="F474" s="2" t="str">
        <x:v>Erişilemedi</x:v>
      </x:c>
      <x:c r="G474" t="str">
        <x:v>Gramaj + fiyat</x:v>
      </x:c>
      <x:c r="H474" t="str">
        <x:v>Site haritası ürün sayfası</x:v>
      </x:c>
      <x:c r="I474" s="28" t="str">
        <x:v>https://www.kaave.com.tr/crema-gusto-kapsul-kahve</x:v>
      </x:c>
      <x:c r="J474" s="28" t="str">
        <x:v>Ürün kimliği korundu; eksik alanlar erişilemedi olarak işaretlenecek.</x:v>
      </x:c>
    </x:row>
    <x:row r="475">
      <x:c r="A475" t="str">
        <x:v>Kaave Roastery</x:v>
      </x:c>
      <x:c r="B475" t="str">
        <x:v>Ürün kaydı</x:v>
      </x:c>
      <x:c r="C475" t="str">
        <x:v>KV-KAPSÜL GRANDE GUSTO 5,5g x 10</x:v>
      </x:c>
      <x:c r="D475" t="str">
        <x:v>Menşe belirtilmemiş</x:v>
      </x:c>
      <x:c r="E475" s="1" t="str">
        <x:v>Erişilemedi</x:v>
      </x:c>
      <x:c r="F475" s="2" t="str">
        <x:v>Erişilemedi</x:v>
      </x:c>
      <x:c r="G475" t="str">
        <x:v>Gramaj + fiyat</x:v>
      </x:c>
      <x:c r="H475" t="str">
        <x:v>Site haritası ürün sayfası</x:v>
      </x:c>
      <x:c r="I475" s="28" t="str">
        <x:v>https://www.kaave.com.tr/kaave-grande-gusto-kapsul-kahve</x:v>
      </x:c>
      <x:c r="J475" s="28" t="str">
        <x:v>Ürün kimliği korundu; eksik alanlar erişilemedi olarak işaretlenecek.</x:v>
      </x:c>
    </x:row>
    <x:row r="476">
      <x:c r="A476" t="str">
        <x:v>Kaave Roastery</x:v>
      </x:c>
      <x:c r="B476" t="str">
        <x:v>Ürün kaydı</x:v>
      </x:c>
      <x:c r="C476" t="str">
        <x:v>KV-KAPSÜL GUATEMALA 5,5g x 10</x:v>
      </x:c>
      <x:c r="D476" t="str">
        <x:v>Guatemala</x:v>
      </x:c>
      <x:c r="E476" s="1" t="str">
        <x:v>Erişilemedi</x:v>
      </x:c>
      <x:c r="F476" s="2" t="str">
        <x:v>Erişilemedi</x:v>
      </x:c>
      <x:c r="G476" t="str">
        <x:v>Gramaj + fiyat</x:v>
      </x:c>
      <x:c r="H476" t="str">
        <x:v>Site haritası ürün sayfası</x:v>
      </x:c>
      <x:c r="I476" s="28" t="str">
        <x:v>https://www.kaave.com.tr/guatemala-kapsul-kahve</x:v>
      </x:c>
      <x:c r="J476" s="28" t="str">
        <x:v>Ürün kimliği korundu; eksik alanlar erişilemedi olarak işaretlenecek.</x:v>
      </x:c>
    </x:row>
    <x:row r="477">
      <x:c r="A477" t="str">
        <x:v>Kaave Roastery</x:v>
      </x:c>
      <x:c r="B477" t="str">
        <x:v>Ürün kaydı</x:v>
      </x:c>
      <x:c r="C477" t="str">
        <x:v>KV-Türk Kahvesi İstanbul 1.000 Gr</x:v>
      </x:c>
      <x:c r="D477" t="str">
        <x:v>Menşe belirtilmemiş</x:v>
      </x:c>
      <x:c r="E477" s="1" t="n">
        <x:v>0</x:v>
      </x:c>
      <x:c r="F477" s="2" t="str">
        <x:v>Erişilemedi</x:v>
      </x:c>
      <x:c r="G477" t="str">
        <x:v>Gramaj + fiyat</x:v>
      </x:c>
      <x:c r="H477" t="str">
        <x:v>Site haritası ürün sayfası</x:v>
      </x:c>
      <x:c r="I477" s="28" t="str">
        <x:v>https://www.kaave.com.tr/turk-kahvesi-istanbul-1000-gr</x:v>
      </x:c>
      <x:c r="J477" s="28" t="str">
        <x:v>Ürün kimliği korundu; eksik alanlar erişilemedi olarak işaretlenecek.</x:v>
      </x:c>
    </x:row>
    <x:row r="478">
      <x:c r="A478" t="str">
        <x:v>Kaave Roastery</x:v>
      </x:c>
      <x:c r="B478" t="str">
        <x:v>Ürün kaydı</x:v>
      </x:c>
      <x:c r="C478" t="str">
        <x:v>KV-Türk Kahvesi Turkuaz 250 gr</x:v>
      </x:c>
      <x:c r="D478" t="str">
        <x:v>Harman – menşe belirtilmemiş</x:v>
      </x:c>
      <x:c r="E478" s="1" t="n">
        <x:v>250</x:v>
      </x:c>
      <x:c r="F478" s="2" t="str">
        <x:v>Erişilemedi</x:v>
      </x:c>
      <x:c r="G478" t="str">
        <x:v>Fiyat</x:v>
      </x:c>
      <x:c r="H478" t="str">
        <x:v>Site haritası ürün sayfası</x:v>
      </x:c>
      <x:c r="I478" s="28" t="str">
        <x:v>https://www.kaave.com.tr/turk-kahvesi-turkuaz-250-gr</x:v>
      </x:c>
      <x:c r="J478" s="28" t="str">
        <x:v>Ürün kimliği korundu; eksik alanlar erişilemedi olarak işaretlenecek.</x:v>
      </x:c>
    </x:row>
    <x:row r="479">
      <x:c r="A479" t="str">
        <x:v>Kaave Roastery</x:v>
      </x:c>
      <x:c r="B479" t="str">
        <x:v>Ürün kaydı</x:v>
      </x:c>
      <x:c r="C479" t="str">
        <x:v>Magnifico Blend Espresso Çekirdek Kahve 1.000 Gr|</x:v>
      </x:c>
      <x:c r="D479" t="str">
        <x:v>Harman – menşe belirtilmemiş</x:v>
      </x:c>
      <x:c r="E479" s="1" t="n">
        <x:v>0</x:v>
      </x:c>
      <x:c r="F479" s="2" t="str">
        <x:v>Erişilemedi</x:v>
      </x:c>
      <x:c r="G479" t="str">
        <x:v>Gramaj + fiyat</x:v>
      </x:c>
      <x:c r="H479" t="str">
        <x:v>Site haritası ürün sayfası</x:v>
      </x:c>
      <x:c r="I479" s="28" t="str">
        <x:v>https://www.kaave.com.tr/magnifico-blend-espresso-cekirdek-kahve-1000-gr</x:v>
      </x:c>
      <x:c r="J479" s="28" t="str">
        <x:v>Ürün kimliği korundu; eksik alanlar erişilemedi olarak işaretlenecek.</x:v>
      </x:c>
    </x:row>
    <x:row r="480">
      <x:c r="A480" t="str">
        <x:v>Kaave Roastery</x:v>
      </x:c>
      <x:c r="B480" t="str">
        <x:v>Ürün kaydı</x:v>
      </x:c>
      <x:c r="C480" t="str">
        <x:v>Mare Blue Çekirdek 250 Gr*2'li Tanışma Paketi</x:v>
      </x:c>
      <x:c r="D480" t="str">
        <x:v>Menşe belirtilmemiş</x:v>
      </x:c>
      <x:c r="E480" s="1" t="n">
        <x:v>250</x:v>
      </x:c>
      <x:c r="F480" s="2" t="str">
        <x:v>Erişilemedi</x:v>
      </x:c>
      <x:c r="G480" t="str">
        <x:v>Fiyat</x:v>
      </x:c>
      <x:c r="H480" t="str">
        <x:v>Site haritası ürün sayfası</x:v>
      </x:c>
      <x:c r="I480" s="28" t="str">
        <x:v>https://www.kaave.com.tr/filtre-mare-blue-cekirdek-kahve-tanisma-paketi-250-gr-2-adet</x:v>
      </x:c>
      <x:c r="J480" s="28" t="str">
        <x:v>Ürün kimliği korundu; eksik alanlar erişilemedi olarak işaretlenecek.</x:v>
      </x:c>
    </x:row>
    <x:row r="481">
      <x:c r="A481" t="str">
        <x:v>Kaave Roastery</x:v>
      </x:c>
      <x:c r="B481" t="str">
        <x:v>Ürün kaydı</x:v>
      </x:c>
      <x:c r="C481" t="str">
        <x:v>Mare Blue Çekirdek 250 Gr*4'lü Tanışma Paketi</x:v>
      </x:c>
      <x:c r="D481" t="str">
        <x:v>Menşe belirtilmemiş</x:v>
      </x:c>
      <x:c r="E481" s="1" t="n">
        <x:v>250</x:v>
      </x:c>
      <x:c r="F481" s="2" t="str">
        <x:v>Erişilemedi</x:v>
      </x:c>
      <x:c r="G481" t="str">
        <x:v>Fiyat</x:v>
      </x:c>
      <x:c r="H481" t="str">
        <x:v>Site haritası ürün sayfası</x:v>
      </x:c>
      <x:c r="I481" s="28" t="str">
        <x:v>https://www.kaave.com.tr/filtre-mare-blue-cekirdek-kahve-250-gr-4lu-tanisma-paketi</x:v>
      </x:c>
      <x:c r="J481" s="28" t="str">
        <x:v>Ürün kimliği korundu; eksik alanlar erişilemedi olarak işaretlenecek.</x:v>
      </x:c>
    </x:row>
    <x:row r="482">
      <x:c r="A482" t="str">
        <x:v>Kaave Roastery</x:v>
      </x:c>
      <x:c r="B482" t="str">
        <x:v>Ürün kaydı</x:v>
      </x:c>
      <x:c r="C482" t="str">
        <x:v>Mare Blue Öğütülmüş 250 Gr*4'lü Tanışma Paketi</x:v>
      </x:c>
      <x:c r="D482" t="str">
        <x:v>Menşe belirtilmemiş</x:v>
      </x:c>
      <x:c r="E482" s="1" t="n">
        <x:v>250</x:v>
      </x:c>
      <x:c r="F482" s="2" t="str">
        <x:v>Erişilemedi</x:v>
      </x:c>
      <x:c r="G482" t="str">
        <x:v>Fiyat</x:v>
      </x:c>
      <x:c r="H482" t="str">
        <x:v>Site haritası ürün sayfası</x:v>
      </x:c>
      <x:c r="I482" s="28" t="str">
        <x:v>https://www.kaave.com.tr/filtre-mare-blue-ogutulmus-kahve-250-gr-4lu-tanisma-paketi</x:v>
      </x:c>
      <x:c r="J482" s="28" t="str">
        <x:v>Ürün kimliği korundu; eksik alanlar erişilemedi olarak işaretlenecek.</x:v>
      </x:c>
    </x:row>
    <x:row r="483">
      <x:c r="A483" t="str">
        <x:v>Kaave Roastery</x:v>
      </x:c>
      <x:c r="B483" t="str">
        <x:v>Ürün kaydı</x:v>
      </x:c>
      <x:c r="C483" t="str">
        <x:v>Mare Blue Öğütülmüş 250G*2'li Tanışma Paketi</x:v>
      </x:c>
      <x:c r="D483" t="str">
        <x:v>Menşe belirtilmemiş</x:v>
      </x:c>
      <x:c r="E483" s="1" t="n">
        <x:v>250</x:v>
      </x:c>
      <x:c r="F483" s="2" t="str">
        <x:v>Erişilemedi</x:v>
      </x:c>
      <x:c r="G483" t="str">
        <x:v>Fiyat</x:v>
      </x:c>
      <x:c r="H483" t="str">
        <x:v>Site haritası ürün sayfası</x:v>
      </x:c>
      <x:c r="I483" s="28" t="str">
        <x:v>https://www.kaave.com.tr/mare-blue-filtre-kahve-tanisma-paketi-250-gr-2-adet</x:v>
      </x:c>
      <x:c r="J483" s="28" t="str">
        <x:v>Ürün kimliği korundu; eksik alanlar erişilemedi olarak işaretlenecek.</x:v>
      </x:c>
    </x:row>
    <x:row r="484">
      <x:c r="A484" t="str">
        <x:v>Kaave Roastery</x:v>
      </x:c>
      <x:c r="B484" t="str">
        <x:v>Ürün kaydı</x:v>
      </x:c>
      <x:c r="C484" t="str">
        <x:v>Prestij Blend Filtre 500 Gr*2'li Tanışma Paketi</x:v>
      </x:c>
      <x:c r="D484" t="str">
        <x:v>Harman – menşe belirtilmemiş</x:v>
      </x:c>
      <x:c r="E484" s="1" t="n">
        <x:v>500</x:v>
      </x:c>
      <x:c r="F484" s="2" t="str">
        <x:v>Erişilemedi</x:v>
      </x:c>
      <x:c r="G484" t="str">
        <x:v>Fiyat</x:v>
      </x:c>
      <x:c r="H484" t="str">
        <x:v>Site haritası ürün sayfası</x:v>
      </x:c>
      <x:c r="I484" s="28" t="str">
        <x:v>https://www.kaave.com.tr/prestij-blend-filtre-kahve-tanisma-paketi-500-gr-2-adet</x:v>
      </x:c>
      <x:c r="J484" s="28" t="str">
        <x:v>Ürün kimliği korundu; eksik alanlar erişilemedi olarak işaretlenecek.</x:v>
      </x:c>
    </x:row>
    <x:row r="485">
      <x:c r="A485" t="str">
        <x:v>Kaave Roastery</x:v>
      </x:c>
      <x:c r="B485" t="str">
        <x:v>Ürün kaydı</x:v>
      </x:c>
      <x:c r="C485" t="str">
        <x:v>Prestij Blend Filtre 500 Gr*3'lü Tanışma Paketi</x:v>
      </x:c>
      <x:c r="D485" t="str">
        <x:v>Harman – menşe belirtilmemiş</x:v>
      </x:c>
      <x:c r="E485" s="1" t="n">
        <x:v>500</x:v>
      </x:c>
      <x:c r="F485" s="2" t="str">
        <x:v>Erişilemedi</x:v>
      </x:c>
      <x:c r="G485" t="str">
        <x:v>Fiyat</x:v>
      </x:c>
      <x:c r="H485" t="str">
        <x:v>Site haritası ürün sayfası</x:v>
      </x:c>
      <x:c r="I485" s="28" t="str">
        <x:v>https://www.kaave.com.tr/prestij-blend-filtre-kahve-500-gr-3lu-tanisma-paketi</x:v>
      </x:c>
      <x:c r="J485" s="28" t="str">
        <x:v>Ürün kimliği korundu; eksik alanlar erişilemedi olarak işaretlenecek.</x:v>
      </x:c>
    </x:row>
    <x:row r="486">
      <x:c r="A486" t="str">
        <x:v>Kaave Roastery</x:v>
      </x:c>
      <x:c r="B486" t="str">
        <x:v>Ürün kaydı</x:v>
      </x:c>
      <x:c r="C486" t="str">
        <x:v>Prestij Blend Filtre 500 Gr*4'lü Tanışma Paketi</x:v>
      </x:c>
      <x:c r="D486" t="str">
        <x:v>Harman – menşe belirtilmemiş</x:v>
      </x:c>
      <x:c r="E486" s="1" t="n">
        <x:v>500</x:v>
      </x:c>
      <x:c r="F486" s="2" t="str">
        <x:v>Erişilemedi</x:v>
      </x:c>
      <x:c r="G486" t="str">
        <x:v>Fiyat</x:v>
      </x:c>
      <x:c r="H486" t="str">
        <x:v>Site haritası ürün sayfası</x:v>
      </x:c>
      <x:c r="I486" s="28" t="str">
        <x:v>https://www.kaave.com.tr/prestij-blend-filtre-kahve-tanisma-paketi-500-gr-4-adet</x:v>
      </x:c>
      <x:c r="J486" s="28" t="str">
        <x:v>Ürün kimliği korundu; eksik alanlar erişilemedi olarak işaretlenecek.</x:v>
      </x:c>
    </x:row>
    <x:row r="487">
      <x:c r="A487" t="str">
        <x:v>Kaave Roastery</x:v>
      </x:c>
      <x:c r="B487" t="str">
        <x:v>Ürün kaydı</x:v>
      </x:c>
      <x:c r="C487" t="str">
        <x:v>Prestij Blend Filtre Kahve 250 Gr|</x:v>
      </x:c>
      <x:c r="D487" t="str">
        <x:v>Harman – menşe belirtilmemiş</x:v>
      </x:c>
      <x:c r="E487" s="1" t="n">
        <x:v>250</x:v>
      </x:c>
      <x:c r="F487" s="2" t="str">
        <x:v>Erişilemedi</x:v>
      </x:c>
      <x:c r="G487" t="str">
        <x:v>Fiyat</x:v>
      </x:c>
      <x:c r="H487" t="str">
        <x:v>Site haritası ürün sayfası</x:v>
      </x:c>
      <x:c r="I487" s="28" t="str">
        <x:v>https://www.kaave.com.tr/prestij-blend-filtre-kahve-250-gr</x:v>
      </x:c>
      <x:c r="J487" s="28" t="str">
        <x:v>Ürün kimliği korundu; eksik alanlar erişilemedi olarak işaretlenecek.</x:v>
      </x:c>
    </x:row>
    <x:row r="488">
      <x:c r="A488" t="str">
        <x:v>Kaave Roastery</x:v>
      </x:c>
      <x:c r="B488" t="str">
        <x:v>Ürün kaydı</x:v>
      </x:c>
      <x:c r="C488" t="str">
        <x:v>Türk Kahvesi İstanbul 250 Gr*2'li Tanışma Paketi</x:v>
      </x:c>
      <x:c r="D488" t="str">
        <x:v>Menşe belirtilmemiş</x:v>
      </x:c>
      <x:c r="E488" s="1" t="n">
        <x:v>250</x:v>
      </x:c>
      <x:c r="F488" s="2" t="str">
        <x:v>Erişilemedi</x:v>
      </x:c>
      <x:c r="G488" t="str">
        <x:v>Fiyat</x:v>
      </x:c>
      <x:c r="H488" t="str">
        <x:v>Site haritası ürün sayfası</x:v>
      </x:c>
      <x:c r="I488" s="28" t="str">
        <x:v>https://www.kaave.com.tr/turk-kahvesi-istanbul-tanisma-paketi-250-gr-2-adet</x:v>
      </x:c>
      <x:c r="J488" s="28" t="str">
        <x:v>Ürün kimliği korundu; eksik alanlar erişilemedi olarak işaretlenecek.</x:v>
      </x:c>
    </x:row>
    <x:row r="489">
      <x:c r="A489" t="str">
        <x:v>Kaave Roastery</x:v>
      </x:c>
      <x:c r="B489" t="str">
        <x:v>Ürün kaydı</x:v>
      </x:c>
      <x:c r="C489" t="str">
        <x:v>Türk Kahvesi İstanbul 250 Gr*4'lü Tanışma Paketi</x:v>
      </x:c>
      <x:c r="D489" t="str">
        <x:v>Menşe belirtilmemiş</x:v>
      </x:c>
      <x:c r="E489" s="1" t="n">
        <x:v>250</x:v>
      </x:c>
      <x:c r="F489" s="2" t="str">
        <x:v>Erişilemedi</x:v>
      </x:c>
      <x:c r="G489" t="str">
        <x:v>Fiyat</x:v>
      </x:c>
      <x:c r="H489" t="str">
        <x:v>Site haritası ürün sayfası</x:v>
      </x:c>
      <x:c r="I489" s="28" t="str">
        <x:v>https://www.kaave.com.tr/turk-kahvesi-istanbul-tanisma-paketi-250-gr-4-adet</x:v>
      </x:c>
      <x:c r="J489" s="28" t="str">
        <x:v>Ürün kimliği korundu; eksik alanlar erişilemedi olarak işaretlenecek.</x:v>
      </x:c>
    </x:row>
    <x:row r="490">
      <x:c r="A490" t="str">
        <x:v>Kaave Roastery</x:v>
      </x:c>
      <x:c r="B490" t="str">
        <x:v>Ürün kaydı</x:v>
      </x:c>
      <x:c r="C490" t="str">
        <x:v>TÜRK KAHVESİ İSTANBUL 250G</x:v>
      </x:c>
      <x:c r="D490" t="str">
        <x:v>Menşe belirtilmemiş</x:v>
      </x:c>
      <x:c r="E490" s="1" t="n">
        <x:v>250</x:v>
      </x:c>
      <x:c r="F490" s="2" t="str">
        <x:v>Erişilemedi</x:v>
      </x:c>
      <x:c r="G490" t="str">
        <x:v>Fiyat</x:v>
      </x:c>
      <x:c r="H490" t="str">
        <x:v>Site haritası ürün sayfası</x:v>
      </x:c>
      <x:c r="I490" s="28" t="str">
        <x:v>https://www.kaave.com.tr/turk-kahvesi-istanbul-250-gr</x:v>
      </x:c>
      <x:c r="J490" s="28" t="str">
        <x:v>Ürün kimliği korundu; eksik alanlar erişilemedi olarak işaretlenecek.</x:v>
      </x:c>
    </x:row>
    <x:row r="491">
      <x:c r="A491" t="str">
        <x:v>Kaave Roastery</x:v>
      </x:c>
      <x:c r="B491" t="str">
        <x:v>Ürün kaydı</x:v>
      </x:c>
      <x:c r="C491" t="str">
        <x:v>Türk Kahvesi Turkuaz 250 Gr + Türk Kahvesi İstanbul 250 Gr 2'li Tanışma Paketi</x:v>
      </x:c>
      <x:c r="D491" t="str">
        <x:v>Menşe belirtilmemiş</x:v>
      </x:c>
      <x:c r="E491" s="1" t="n">
        <x:v>250</x:v>
      </x:c>
      <x:c r="F491" s="2" t="str">
        <x:v>Erişilemedi</x:v>
      </x:c>
      <x:c r="G491" t="str">
        <x:v>Fiyat</x:v>
      </x:c>
      <x:c r="H491" t="str">
        <x:v>Site haritası ürün sayfası</x:v>
      </x:c>
      <x:c r="I491" s="28" t="str">
        <x:v>https://www.kaave.com.tr/turkuaz-istanbul-turk-kahvesi-tanisma-paketi-250-gr-2-adet</x:v>
      </x:c>
      <x:c r="J491" s="28" t="str">
        <x:v>Ürün kimliği korundu; eksik alanlar erişilemedi olarak işaretlenecek.</x:v>
      </x:c>
    </x:row>
    <x:row r="492">
      <x:c r="A492" t="str">
        <x:v>Kaave Roastery</x:v>
      </x:c>
      <x:c r="B492" t="str">
        <x:v>Ürün kaydı</x:v>
      </x:c>
      <x:c r="C492" t="str">
        <x:v>Türk Kahvesi Turkuaz 250 Gr*2'li Tanışma Paketi</x:v>
      </x:c>
      <x:c r="D492" t="str">
        <x:v>Menşe belirtilmemiş</x:v>
      </x:c>
      <x:c r="E492" s="1" t="n">
        <x:v>250</x:v>
      </x:c>
      <x:c r="F492" s="2" t="str">
        <x:v>Erişilemedi</x:v>
      </x:c>
      <x:c r="G492" t="str">
        <x:v>Fiyat</x:v>
      </x:c>
      <x:c r="H492" t="str">
        <x:v>Site haritası ürün sayfası</x:v>
      </x:c>
      <x:c r="I492" s="28" t="str">
        <x:v>https://www.kaave.com.tr/turk-kahvesi-turkuaz-tanisma-paketi-250-gr-2-adet</x:v>
      </x:c>
      <x:c r="J492" s="28" t="str">
        <x:v>Ürün kimliği korundu; eksik alanlar erişilemedi olarak işaretlenecek.</x:v>
      </x:c>
    </x:row>
    <x:row r="493">
      <x:c r="A493" t="str">
        <x:v>Kaave Roastery</x:v>
      </x:c>
      <x:c r="B493" t="str">
        <x:v>Ürün kaydı</x:v>
      </x:c>
      <x:c r="C493" t="str">
        <x:v>Türk Kahvesi Turkuaz 250 Gr*4'lü Tanışma Paketi</x:v>
      </x:c>
      <x:c r="D493" t="str">
        <x:v>Menşe belirtilmemiş</x:v>
      </x:c>
      <x:c r="E493" s="1" t="n">
        <x:v>250</x:v>
      </x:c>
      <x:c r="F493" s="2" t="str">
        <x:v>Erişilemedi</x:v>
      </x:c>
      <x:c r="G493" t="str">
        <x:v>Fiyat</x:v>
      </x:c>
      <x:c r="H493" t="str">
        <x:v>Site haritası ürün sayfası</x:v>
      </x:c>
      <x:c r="I493" s="28" t="str">
        <x:v>https://www.kaave.com.tr/turk-kahvesi-turkuaz-tanisma-paketi-250-gr-4-adet</x:v>
      </x:c>
      <x:c r="J493" s="28" t="str">
        <x:v>Ürün kimliği korundu; eksik alanlar erişilemedi olarak işaretlenecek.</x:v>
      </x:c>
    </x:row>
    <x:row r="494">
      <x:c r="A494" t="str">
        <x:v>Kafein Kültür</x:v>
      </x:c>
      <x:c r="B494" t="str">
        <x:v>Katalog takip kaydı</x:v>
      </x:c>
      <x:c r="C494" t="str">
        <x:v>Ürün kataloğu — ayrıntılı ürün verisine erişilemedi</x:v>
      </x:c>
      <x:c r="D494" t="str">
        <x:v>Erişilemedi</x:v>
      </x:c>
      <x:c r="E494" s="1" t="str">
        <x:v>Erişilemedi</x:v>
      </x:c>
      <x:c r="F494" s="2" t="str">
        <x:v>Erişilemedi</x:v>
      </x:c>
      <x:c r="G494" t="str">
        <x:v>Gramaj + fiyat</x:v>
      </x:c>
      <x:c r="H494" t="str">
        <x:v>Instagram veya mevcut kaynak</x:v>
      </x:c>
      <x:c r="I494" s="28" t="str">
        <x:v>Erişilemedi</x:v>
      </x:c>
      <x:c r="J494" s="28" t="str">
        <x:v>Ürün adı, gramaj ve fiyat birlikte çıkarılamadı. Bağlantı manuel inceleme için korundu.</x:v>
      </x:c>
    </x:row>
    <x:row r="495">
      <x:c r="A495" t="str">
        <x:v>Kafeingo</x:v>
      </x:c>
      <x:c r="B495" t="str">
        <x:v>Katalog takip kaydı</x:v>
      </x:c>
      <x:c r="C495" t="str">
        <x:v>Ürün kataloğu — ayrıntılı ürün verisine erişilemedi</x:v>
      </x:c>
      <x:c r="D495" t="str">
        <x:v>Erişilemedi</x:v>
      </x:c>
      <x:c r="E495" s="1" t="str">
        <x:v>Erişilemedi</x:v>
      </x:c>
      <x:c r="F495" s="2" t="str">
        <x:v>Erişilemedi</x:v>
      </x:c>
      <x:c r="G495" t="str">
        <x:v>Gramaj + fiyat</x:v>
      </x:c>
      <x:c r="H495" t="str">
        <x:v>Mağaza/katalog bağlantısı</x:v>
      </x:c>
      <x:c r="I495" s="28" t="str">
        <x:v>https://kafeingo.com/</x:v>
      </x:c>
      <x:c r="J495" s="28" t="str">
        <x:v>Ürün adı, gramaj ve fiyat birlikte çıkarılamadı. Bağlantı manuel inceleme için korundu.</x:v>
      </x:c>
    </x:row>
    <x:row r="496">
      <x:c r="A496" t="str">
        <x:v>Kahve Diyarı</x:v>
      </x:c>
      <x:c r="B496" t="str">
        <x:v>Katalog takip kaydı</x:v>
      </x:c>
      <x:c r="C496" t="str">
        <x:v>Ürün kataloğu — ayrıntılı ürün verisine erişilemedi</x:v>
      </x:c>
      <x:c r="D496" t="str">
        <x:v>Erişilemedi</x:v>
      </x:c>
      <x:c r="E496" s="1" t="str">
        <x:v>Erişilemedi</x:v>
      </x:c>
      <x:c r="F496" s="2" t="str">
        <x:v>Erişilemedi</x:v>
      </x:c>
      <x:c r="G496" t="str">
        <x:v>Gramaj + fiyat</x:v>
      </x:c>
      <x:c r="H496" t="str">
        <x:v>Instagram veya mevcut kaynak</x:v>
      </x:c>
      <x:c r="I496" s="28" t="str">
        <x:v>Erişilemedi</x:v>
      </x:c>
      <x:c r="J496" s="28" t="str">
        <x:v>Ürün adı, gramaj ve fiyat birlikte çıkarılamadı. Bağlantı manuel inceleme için korundu.</x:v>
      </x:c>
    </x:row>
    <x:row r="497">
      <x:c r="A497" t="str">
        <x:v>Kahve Dünyası</x:v>
      </x:c>
      <x:c r="B497" t="str">
        <x:v>Ürün kaydı</x:v>
      </x:c>
      <x:c r="C497" t="str">
        <x:v>3&amp;#x27;&amp;#x27;ü 1 Arada Klasik Hazır Kahve 8&amp;#x27;li Paket</x:v>
      </x:c>
      <x:c r="D497" t="str">
        <x:v>Menşe belirtilmemiş</x:v>
      </x:c>
      <x:c r="E497" s="1" t="str">
        <x:v>Erişilemedi</x:v>
      </x:c>
      <x:c r="F497" s="2" t="n">
        <x:v>1250</x:v>
      </x:c>
      <x:c r="G497" t="str">
        <x:v>Gramaj</x:v>
      </x:c>
      <x:c r="H497" t="str">
        <x:v>Site haritası ürün sayfası</x:v>
      </x:c>
      <x:c r="I497" s="28" t="str">
        <x:v>https://www.kahvedunyasi.com/urun/3u-1-arada-klasik-hazir-kahve-8li-paket-p-263</x:v>
      </x:c>
      <x:c r="J497" s="28" t="str">
        <x:v>Ürün kimliği korundu; eksik alanlar erişilemedi olarak işaretlenecek.</x:v>
      </x:c>
    </x:row>
    <x:row r="498">
      <x:c r="A498" t="str">
        <x:v>Kahve Dünyası</x:v>
      </x:c>
      <x:c r="B498" t="str">
        <x:v>Ürün kaydı</x:v>
      </x:c>
      <x:c r="C498" t="str">
        <x:v>5&amp;#x27;li Sütlü Gofrik</x:v>
      </x:c>
      <x:c r="D498" t="str">
        <x:v>Menşe belirtilmemiş</x:v>
      </x:c>
      <x:c r="E498" s="1" t="str">
        <x:v>Erişilemedi</x:v>
      </x:c>
      <x:c r="F498" s="2" t="n">
        <x:v>1250</x:v>
      </x:c>
      <x:c r="G498" t="str">
        <x:v>Gramaj</x:v>
      </x:c>
      <x:c r="H498" t="str">
        <x:v>Site haritası ürün sayfası</x:v>
      </x:c>
      <x:c r="I498" s="28" t="str">
        <x:v>https://www.kahvedunyasi.com/urun/5li-sutlu-gofrik-p-101</x:v>
      </x:c>
      <x:c r="J498" s="28" t="str">
        <x:v>Ürün kimliği korundu; eksik alanlar erişilemedi olarak işaretlenecek.</x:v>
      </x:c>
    </x:row>
    <x:row r="499">
      <x:c r="A499" t="str">
        <x:v>Kahve Dünyası</x:v>
      </x:c>
      <x:c r="B499" t="str">
        <x:v>Ürün kaydı</x:v>
      </x:c>
      <x:c r="C499" t="str">
        <x:v>80&amp;#x27;li Filtre Kahve Kağıdı</x:v>
      </x:c>
      <x:c r="D499" t="str">
        <x:v>Menşe belirtilmemiş</x:v>
      </x:c>
      <x:c r="E499" s="1" t="str">
        <x:v>Erişilemedi</x:v>
      </x:c>
      <x:c r="F499" s="2" t="n">
        <x:v>1250</x:v>
      </x:c>
      <x:c r="G499" t="str">
        <x:v>Gramaj</x:v>
      </x:c>
      <x:c r="H499" t="str">
        <x:v>Site haritası ürün sayfası</x:v>
      </x:c>
      <x:c r="I499" s="28" t="str">
        <x:v>https://www.kahvedunyasi.com/urun/80li-filtre-kahve-kagidi-p-3</x:v>
      </x:c>
      <x:c r="J499" s="28" t="str">
        <x:v>Ürün kimliği korundu; eksik alanlar erişilemedi olarak işaretlenecek.</x:v>
      </x:c>
    </x:row>
    <x:row r="500">
      <x:c r="A500" t="str">
        <x:v>Kahve Dünyası</x:v>
      </x:c>
      <x:c r="B500" t="str">
        <x:v>Ürün kaydı</x:v>
      </x:c>
      <x:c r="C500" t="str">
        <x:v>Etiyopya Kapsül Kahve 10&amp;#x27;&amp;#x27;lu Kutu</x:v>
      </x:c>
      <x:c r="D500" t="str">
        <x:v>Etiyopya</x:v>
      </x:c>
      <x:c r="E500" s="1" t="str">
        <x:v>Erişilemedi</x:v>
      </x:c>
      <x:c r="F500" s="2" t="n">
        <x:v>1250</x:v>
      </x:c>
      <x:c r="G500" t="str">
        <x:v>Gramaj</x:v>
      </x:c>
      <x:c r="H500" t="str">
        <x:v>Site haritası ürün sayfası</x:v>
      </x:c>
      <x:c r="I500" s="28" t="str">
        <x:v>https://www.kahvedunyasi.com/urun/etiyopya-kapsul-kahve-10lu-kutu-p-295</x:v>
      </x:c>
      <x:c r="J500" s="28" t="str">
        <x:v>Ürün kimliği korundu; eksik alanlar erişilemedi olarak işaretlenecek.</x:v>
      </x:c>
    </x:row>
    <x:row r="501">
      <x:c r="A501" t="str">
        <x:v>Kahve Dünyası</x:v>
      </x:c>
      <x:c r="B501" t="str">
        <x:v>Ürün kaydı</x:v>
      </x:c>
      <x:c r="C501" t="str">
        <x:v>Fındık Aromalı Kapsül Kahve 10&amp;#x27;&amp;#x27;lu Kutu</x:v>
      </x:c>
      <x:c r="D501" t="str">
        <x:v>Menşe belirtilmemiş</x:v>
      </x:c>
      <x:c r="E501" s="1" t="str">
        <x:v>Erişilemedi</x:v>
      </x:c>
      <x:c r="F501" s="2" t="n">
        <x:v>1250</x:v>
      </x:c>
      <x:c r="G501" t="str">
        <x:v>Gramaj</x:v>
      </x:c>
      <x:c r="H501" t="str">
        <x:v>Site haritası ürün sayfası</x:v>
      </x:c>
      <x:c r="I501" s="28" t="str">
        <x:v>https://www.kahvedunyasi.com/urun/findik-aromali-kapsul-kahve-10lu-kutu-p-261</x:v>
      </x:c>
      <x:c r="J501" s="28" t="str">
        <x:v>Ürün kimliği korundu; eksik alanlar erişilemedi olarak işaretlenecek.</x:v>
      </x:c>
    </x:row>
    <x:row r="502">
      <x:c r="A502" t="str">
        <x:v>Kahve Dünyası</x:v>
      </x:c>
      <x:c r="B502" t="str">
        <x:v>Ürün kaydı</x:v>
      </x:c>
      <x:c r="C502" t="str">
        <x:v>Karamel Aromalı Kapsül Kahve 10&amp;#x27;&amp;#x27;lu Kutu</x:v>
      </x:c>
      <x:c r="D502" t="str">
        <x:v>Menşe belirtilmemiş</x:v>
      </x:c>
      <x:c r="E502" s="1" t="str">
        <x:v>Erişilemedi</x:v>
      </x:c>
      <x:c r="F502" s="2" t="n">
        <x:v>1250</x:v>
      </x:c>
      <x:c r="G502" t="str">
        <x:v>Gramaj</x:v>
      </x:c>
      <x:c r="H502" t="str">
        <x:v>Site haritası ürün sayfası</x:v>
      </x:c>
      <x:c r="I502" s="28" t="str">
        <x:v>https://www.kahvedunyasi.com/urun/karamel-aromali-kapsul-kahve-10lu-kutu-p-267</x:v>
      </x:c>
      <x:c r="J502" s="28" t="str">
        <x:v>Ürün kimliği korundu; eksik alanlar erişilemedi olarak işaretlenecek.</x:v>
      </x:c>
    </x:row>
    <x:row r="503">
      <x:c r="A503" t="str">
        <x:v>Kahve Dünyası</x:v>
      </x:c>
      <x:c r="B503" t="str">
        <x:v>Ürün kaydı</x:v>
      </x:c>
      <x:c r="C503" t="str">
        <x:v>Sürpriz Kahverengi Hediye Kutusu</x:v>
      </x:c>
      <x:c r="D503" t="str">
        <x:v>Menşe belirtilmemiş</x:v>
      </x:c>
      <x:c r="E503" s="1" t="str">
        <x:v>Erişilemedi</x:v>
      </x:c>
      <x:c r="F503" s="2" t="n">
        <x:v>1250</x:v>
      </x:c>
      <x:c r="G503" t="str">
        <x:v>Gramaj</x:v>
      </x:c>
      <x:c r="H503" t="str">
        <x:v>Site haritası ürün sayfası</x:v>
      </x:c>
      <x:c r="I503" s="28" t="str">
        <x:v>https://www.kahvedunyasi.com/urun/surpriz-kahverengi-hediye-kutusu-p-10</x:v>
      </x:c>
      <x:c r="J503" s="28" t="str">
        <x:v>Ürün kimliği korundu; eksik alanlar erişilemedi olarak işaretlenecek.</x:v>
      </x:c>
    </x:row>
    <x:row r="504">
      <x:c r="A504" t="str">
        <x:v>Kahve Dünyası</x:v>
      </x:c>
      <x:c r="B504" t="str">
        <x:v>Ürün kaydı</x:v>
      </x:c>
      <x:c r="C504" t="str">
        <x:v>Vanilya Aromalı Kapsül Kahve 10&amp;#x27;&amp;#x27;lu Kutu</x:v>
      </x:c>
      <x:c r="D504" t="str">
        <x:v>Menşe belirtilmemiş</x:v>
      </x:c>
      <x:c r="E504" s="1" t="str">
        <x:v>Erişilemedi</x:v>
      </x:c>
      <x:c r="F504" s="2" t="n">
        <x:v>1250</x:v>
      </x:c>
      <x:c r="G504" t="str">
        <x:v>Gramaj</x:v>
      </x:c>
      <x:c r="H504" t="str">
        <x:v>Site haritası ürün sayfası</x:v>
      </x:c>
      <x:c r="I504" s="28" t="str">
        <x:v>https://www.kahvedunyasi.com/urun/vanilya-aromali-kapsul-kahve-10lu-kutu-p-268</x:v>
      </x:c>
      <x:c r="J504" s="28" t="str">
        <x:v>Ürün kimliği korundu; eksik alanlar erişilemedi olarak işaretlenecek.</x:v>
      </x:c>
    </x:row>
    <x:row r="505">
      <x:c r="A505" t="str">
        <x:v>Kahve Fabrikası</x:v>
      </x:c>
      <x:c r="B505" t="str">
        <x:v>Katalog takip kaydı</x:v>
      </x:c>
      <x:c r="C505" t="str">
        <x:v>Ürün kataloğu — ayrıntılı ürün verisine erişilemedi</x:v>
      </x:c>
      <x:c r="D505" t="str">
        <x:v>Erişilemedi</x:v>
      </x:c>
      <x:c r="E505" s="1" t="str">
        <x:v>Erişilemedi</x:v>
      </x:c>
      <x:c r="F505" s="2" t="str">
        <x:v>Erişilemedi</x:v>
      </x:c>
      <x:c r="G505" t="str">
        <x:v>Gramaj + fiyat</x:v>
      </x:c>
      <x:c r="H505" t="str">
        <x:v>Mağaza/katalog bağlantısı</x:v>
      </x:c>
      <x:c r="I505" s="28" t="str">
        <x:v>https://www.kahvefabrikasi.com/kahve</x:v>
      </x:c>
      <x:c r="J505" s="28" t="str">
        <x:v>Ürün adı, gramaj ve fiyat birlikte çıkarılamadı. Bağlantı manuel inceleme için korundu.</x:v>
      </x:c>
    </x:row>
    <x:row r="506">
      <x:c r="A506" t="str">
        <x:v>Kahve.com / Moliendo</x:v>
      </x:c>
      <x:c r="B506" t="str">
        <x:v>Ürün kaydı</x:v>
      </x:c>
      <x:c r="C506" t="str">
        <x:v>Hario Soğuk Demleme Filtreli Şişe Mocca</x:v>
      </x:c>
      <x:c r="D506" t="str">
        <x:v>Menşe belirtilmemiş</x:v>
      </x:c>
      <x:c r="E506" s="1" t="str">
        <x:v>Erişilemedi</x:v>
      </x:c>
      <x:c r="F506" s="2" t="n">
        <x:v>131</x:v>
      </x:c>
      <x:c r="G506" t="str">
        <x:v>Gramaj</x:v>
      </x:c>
      <x:c r="H506" t="str">
        <x:v>Site haritası ürün sayfası</x:v>
      </x:c>
      <x:c r="I506" s="28" t="str">
        <x:v>https://www.kahve.com/urun/hario-soguk-demleme-filtreli-sise-mocca</x:v>
      </x:c>
      <x:c r="J506" s="28" t="str">
        <x:v>Ürün kimliği korundu; eksik alanlar erişilemedi olarak işaretlenecek.</x:v>
      </x:c>
    </x:row>
    <x:row r="507">
      <x:c r="A507" t="str">
        <x:v>Kahve.com / Moliendo</x:v>
      </x:c>
      <x:c r="B507" t="str">
        <x:v>Ürün kaydı</x:v>
      </x:c>
      <x:c r="C507" t="str">
        <x:v>Moliendo Australia Skybury Yöresel Kahve</x:v>
      </x:c>
      <x:c r="D507" t="str">
        <x:v>Menşe belirtilmemiş</x:v>
      </x:c>
      <x:c r="E507" s="1" t="str">
        <x:v>Erişilemedi</x:v>
      </x:c>
      <x:c r="F507" s="2" t="n">
        <x:v>131</x:v>
      </x:c>
      <x:c r="G507" t="str">
        <x:v>Gramaj</x:v>
      </x:c>
      <x:c r="H507" t="str">
        <x:v>Site haritası ürün sayfası</x:v>
      </x:c>
      <x:c r="I507" s="28" t="str">
        <x:v>https://www.kahve.com/urun/moliendo-australia-skybury-yoresel-kahve</x:v>
      </x:c>
      <x:c r="J507" s="28" t="str">
        <x:v>Ürün kimliği korundu; eksik alanlar erişilemedi olarak işaretlenecek.</x:v>
      </x:c>
    </x:row>
    <x:row r="508">
      <x:c r="A508" t="str">
        <x:v>Kahve.com / Moliendo</x:v>
      </x:c>
      <x:c r="B508" t="str">
        <x:v>Ürün kaydı</x:v>
      </x:c>
      <x:c r="C508" t="str">
        <x:v>Moliendo Brasil Bossa Nova Yöresel Kahve</x:v>
      </x:c>
      <x:c r="D508" t="str">
        <x:v>Brezilya</x:v>
      </x:c>
      <x:c r="E508" s="1" t="str">
        <x:v>Erişilemedi</x:v>
      </x:c>
      <x:c r="F508" s="2" t="n">
        <x:v>131</x:v>
      </x:c>
      <x:c r="G508" t="str">
        <x:v>Gramaj</x:v>
      </x:c>
      <x:c r="H508" t="str">
        <x:v>Site haritası ürün sayfası</x:v>
      </x:c>
      <x:c r="I508" s="28" t="str">
        <x:v>https://www.kahve.com/urun/moliendo-brasil-bossa-nova-yoresel-kahve</x:v>
      </x:c>
      <x:c r="J508" s="28" t="str">
        <x:v>Ürün kimliği korundu; eksik alanlar erişilemedi olarak işaretlenecek.</x:v>
      </x:c>
    </x:row>
    <x:row r="509">
      <x:c r="A509" t="str">
        <x:v>Kahve.com / Moliendo</x:v>
      </x:c>
      <x:c r="B509" t="str">
        <x:v>Ürün kaydı</x:v>
      </x:c>
      <x:c r="C509" t="str">
        <x:v>Moliendo Brasil Cerrado Yöresel Kahve</x:v>
      </x:c>
      <x:c r="D509" t="str">
        <x:v>Brezilya</x:v>
      </x:c>
      <x:c r="E509" s="1" t="str">
        <x:v>Erişilemedi</x:v>
      </x:c>
      <x:c r="F509" s="2" t="n">
        <x:v>131</x:v>
      </x:c>
      <x:c r="G509" t="str">
        <x:v>Gramaj</x:v>
      </x:c>
      <x:c r="H509" t="str">
        <x:v>Site haritası ürün sayfası</x:v>
      </x:c>
      <x:c r="I509" s="28" t="str">
        <x:v>https://www.kahve.com/urun/moliendo-brasil-cerrado-yoresel-kahve</x:v>
      </x:c>
      <x:c r="J509" s="28" t="str">
        <x:v>Ürün kimliği korundu; eksik alanlar erişilemedi olarak işaretlenecek.</x:v>
      </x:c>
    </x:row>
    <x:row r="510">
      <x:c r="A510" t="str">
        <x:v>Kahve.com / Moliendo</x:v>
      </x:c>
      <x:c r="B510" t="str">
        <x:v>Ürün kaydı</x:v>
      </x:c>
      <x:c r="C510" t="str">
        <x:v>Moliendo Brasil Fazenda Yellow Bourbon Yöresel Kahve</x:v>
      </x:c>
      <x:c r="D510" t="str">
        <x:v>Brezilya</x:v>
      </x:c>
      <x:c r="E510" s="1" t="str">
        <x:v>Erişilemedi</x:v>
      </x:c>
      <x:c r="F510" s="2" t="n">
        <x:v>131</x:v>
      </x:c>
      <x:c r="G510" t="str">
        <x:v>Gramaj</x:v>
      </x:c>
      <x:c r="H510" t="str">
        <x:v>Site haritası ürün sayfası</x:v>
      </x:c>
      <x:c r="I510" s="28" t="str">
        <x:v>https://www.kahve.com/urun/moliendo-brasil-fazenda-yellow-bourbon-yoresel-kahve</x:v>
      </x:c>
      <x:c r="J510" s="28" t="str">
        <x:v>Ürün kimliği korundu; eksik alanlar erişilemedi olarak işaretlenecek.</x:v>
      </x:c>
    </x:row>
    <x:row r="511">
      <x:c r="A511" t="str">
        <x:v>Kahve.com / Moliendo</x:v>
      </x:c>
      <x:c r="B511" t="str">
        <x:v>Ürün kaydı</x:v>
      </x:c>
      <x:c r="C511" t="str">
        <x:v>Moliendo Burundi Yöresel Kahve</x:v>
      </x:c>
      <x:c r="D511" t="str">
        <x:v>Burundi</x:v>
      </x:c>
      <x:c r="E511" s="1" t="str">
        <x:v>Erişilemedi</x:v>
      </x:c>
      <x:c r="F511" s="2" t="n">
        <x:v>131</x:v>
      </x:c>
      <x:c r="G511" t="str">
        <x:v>Gramaj</x:v>
      </x:c>
      <x:c r="H511" t="str">
        <x:v>Site haritası ürün sayfası</x:v>
      </x:c>
      <x:c r="I511" s="28" t="str">
        <x:v>https://www.kahve.com/urun/moliendo-burundi-yoresel-kahve</x:v>
      </x:c>
      <x:c r="J511" s="28" t="str">
        <x:v>Ürün kimliği korundu; eksik alanlar erişilemedi olarak işaretlenecek.</x:v>
      </x:c>
    </x:row>
    <x:row r="512">
      <x:c r="A512" t="str">
        <x:v>Kahve.com / Moliendo</x:v>
      </x:c>
      <x:c r="B512" t="str">
        <x:v>Ürün kaydı</x:v>
      </x:c>
      <x:c r="C512" t="str">
        <x:v>Moliendo Colombia Altamira Excelso Yöresel Kahve</x:v>
      </x:c>
      <x:c r="D512" t="str">
        <x:v>Kolombiya</x:v>
      </x:c>
      <x:c r="E512" s="1" t="str">
        <x:v>Erişilemedi</x:v>
      </x:c>
      <x:c r="F512" s="2" t="n">
        <x:v>131</x:v>
      </x:c>
      <x:c r="G512" t="str">
        <x:v>Gramaj</x:v>
      </x:c>
      <x:c r="H512" t="str">
        <x:v>Site haritası ürün sayfası</x:v>
      </x:c>
      <x:c r="I512" s="28" t="str">
        <x:v>https://www.kahve.com/urun/moliendo-colombia-altamira-excelso-yoresel-kahve</x:v>
      </x:c>
      <x:c r="J512" s="28" t="str">
        <x:v>Ürün kimliği korundu; eksik alanlar erişilemedi olarak işaretlenecek.</x:v>
      </x:c>
    </x:row>
    <x:row r="513">
      <x:c r="A513" t="str">
        <x:v>Kahve.com / Moliendo</x:v>
      </x:c>
      <x:c r="B513" t="str">
        <x:v>Ürün kaydı</x:v>
      </x:c>
      <x:c r="C513" t="str">
        <x:v>Moliendo Colombia Supremo Huila Yöresel Kahve</x:v>
      </x:c>
      <x:c r="D513" t="str">
        <x:v>Kolombiya</x:v>
      </x:c>
      <x:c r="E513" s="1" t="str">
        <x:v>Erişilemedi</x:v>
      </x:c>
      <x:c r="F513" s="2" t="n">
        <x:v>131</x:v>
      </x:c>
      <x:c r="G513" t="str">
        <x:v>Gramaj</x:v>
      </x:c>
      <x:c r="H513" t="str">
        <x:v>Site haritası ürün sayfası</x:v>
      </x:c>
      <x:c r="I513" s="28" t="str">
        <x:v>https://www.kahve.com/urun/moliendo-colombia-supremo-huila-yoresel-kahve</x:v>
      </x:c>
      <x:c r="J513" s="28" t="str">
        <x:v>Ürün kimliği korundu; eksik alanlar erişilemedi olarak işaretlenecek.</x:v>
      </x:c>
    </x:row>
    <x:row r="514">
      <x:c r="A514" t="str">
        <x:v>Kahve.com / Moliendo</x:v>
      </x:c>
      <x:c r="B514" t="str">
        <x:v>Ürün kaydı</x:v>
      </x:c>
      <x:c r="C514" t="str">
        <x:v>Moliendo Costa Rica Tarrazu Yöresel Kahve</x:v>
      </x:c>
      <x:c r="D514" t="str">
        <x:v>Kosta Rika</x:v>
      </x:c>
      <x:c r="E514" s="1" t="str">
        <x:v>Erişilemedi</x:v>
      </x:c>
      <x:c r="F514" s="2" t="n">
        <x:v>131</x:v>
      </x:c>
      <x:c r="G514" t="str">
        <x:v>Gramaj</x:v>
      </x:c>
      <x:c r="H514" t="str">
        <x:v>Site haritası ürün sayfası</x:v>
      </x:c>
      <x:c r="I514" s="28" t="str">
        <x:v>https://www.kahve.com/urun/moliendo-costa-rica-tarrazu-yoresel-kahve</x:v>
      </x:c>
      <x:c r="J514" s="28" t="str">
        <x:v>Ürün kimliği korundu; eksik alanlar erişilemedi olarak işaretlenecek.</x:v>
      </x:c>
    </x:row>
    <x:row r="515">
      <x:c r="A515" t="str">
        <x:v>Kahve.com / Moliendo</x:v>
      </x:c>
      <x:c r="B515" t="str">
        <x:v>Ürün kaydı</x:v>
      </x:c>
      <x:c r="C515" t="str">
        <x:v>Moliendo Ecuador Loja Yöresel Kahve</x:v>
      </x:c>
      <x:c r="D515" t="str">
        <x:v>Menşe belirtilmemiş</x:v>
      </x:c>
      <x:c r="E515" s="1" t="str">
        <x:v>Erişilemedi</x:v>
      </x:c>
      <x:c r="F515" s="2" t="n">
        <x:v>131</x:v>
      </x:c>
      <x:c r="G515" t="str">
        <x:v>Gramaj</x:v>
      </x:c>
      <x:c r="H515" t="str">
        <x:v>Site haritası ürün sayfası</x:v>
      </x:c>
      <x:c r="I515" s="28" t="str">
        <x:v>https://www.kahve.com/urun/moliendo-ecuador-loja-yoresel-kahve</x:v>
      </x:c>
      <x:c r="J515" s="28" t="str">
        <x:v>Ürün kimliği korundu; eksik alanlar erişilemedi olarak işaretlenecek.</x:v>
      </x:c>
    </x:row>
    <x:row r="516">
      <x:c r="A516" t="str">
        <x:v>Kahve.com / Moliendo</x:v>
      </x:c>
      <x:c r="B516" t="str">
        <x:v>Ürün kaydı</x:v>
      </x:c>
      <x:c r="C516" t="str">
        <x:v>Moliendo El Salvador SGH Finca La Joya Yöresel Kahve</x:v>
      </x:c>
      <x:c r="D516" t="str">
        <x:v>El Salvador</x:v>
      </x:c>
      <x:c r="E516" s="1" t="str">
        <x:v>Erişilemedi</x:v>
      </x:c>
      <x:c r="F516" s="2" t="n">
        <x:v>131</x:v>
      </x:c>
      <x:c r="G516" t="str">
        <x:v>Gramaj</x:v>
      </x:c>
      <x:c r="H516" t="str">
        <x:v>Site haritası ürün sayfası</x:v>
      </x:c>
      <x:c r="I516" s="28" t="str">
        <x:v>https://www.kahve.com/urun/moliendo-el-salvador-sgh-finca-la-joya-yoresel-kahve</x:v>
      </x:c>
      <x:c r="J516" s="28" t="str">
        <x:v>Ürün kimliği korundu; eksik alanlar erişilemedi olarak işaretlenecek.</x:v>
      </x:c>
    </x:row>
    <x:row r="517">
      <x:c r="A517" t="str">
        <x:v>Kahve.com / Moliendo</x:v>
      </x:c>
      <x:c r="B517" t="str">
        <x:v>Ürün kaydı</x:v>
      </x:c>
      <x:c r="C517" t="str">
        <x:v>Moliendo Ethiopia Djimmah Yöresel Kahve</x:v>
      </x:c>
      <x:c r="D517" t="str">
        <x:v>Etiyopya</x:v>
      </x:c>
      <x:c r="E517" s="1" t="str">
        <x:v>Erişilemedi</x:v>
      </x:c>
      <x:c r="F517" s="2" t="n">
        <x:v>131</x:v>
      </x:c>
      <x:c r="G517" t="str">
        <x:v>Gramaj</x:v>
      </x:c>
      <x:c r="H517" t="str">
        <x:v>Site haritası ürün sayfası</x:v>
      </x:c>
      <x:c r="I517" s="28" t="str">
        <x:v>https://www.kahve.com/urun/moliendo-ethiopia-djimmah-yoresel-kahve</x:v>
      </x:c>
      <x:c r="J517" s="28" t="str">
        <x:v>Ürün kimliği korundu; eksik alanlar erişilemedi olarak işaretlenecek.</x:v>
      </x:c>
    </x:row>
    <x:row r="518">
      <x:c r="A518" t="str">
        <x:v>Kahve.com / Moliendo</x:v>
      </x:c>
      <x:c r="B518" t="str">
        <x:v>Ürün kaydı</x:v>
      </x:c>
      <x:c r="C518" t="str">
        <x:v>Moliendo Ethiopia Harrar Yöresel Kahve</x:v>
      </x:c>
      <x:c r="D518" t="str">
        <x:v>Etiyopya</x:v>
      </x:c>
      <x:c r="E518" s="1" t="str">
        <x:v>Erişilemedi</x:v>
      </x:c>
      <x:c r="F518" s="2" t="n">
        <x:v>131</x:v>
      </x:c>
      <x:c r="G518" t="str">
        <x:v>Gramaj</x:v>
      </x:c>
      <x:c r="H518" t="str">
        <x:v>Site haritası ürün sayfası</x:v>
      </x:c>
      <x:c r="I518" s="28" t="str">
        <x:v>https://www.kahve.com/urun/moliendo-ethiopia-harrar-yoresel-kahve</x:v>
      </x:c>
      <x:c r="J518" s="28" t="str">
        <x:v>Ürün kimliği korundu; eksik alanlar erişilemedi olarak işaretlenecek.</x:v>
      </x:c>
    </x:row>
    <x:row r="519">
      <x:c r="A519" t="str">
        <x:v>Kahve.com / Moliendo</x:v>
      </x:c>
      <x:c r="B519" t="str">
        <x:v>Ürün kaydı</x:v>
      </x:c>
      <x:c r="C519" t="str">
        <x:v>Moliendo Ethiopia Sidamo Gr 2 Yıkanmış Yöresel Kahve</x:v>
      </x:c>
      <x:c r="D519" t="str">
        <x:v>Etiyopya</x:v>
      </x:c>
      <x:c r="E519" s="1" t="str">
        <x:v>Erişilemedi</x:v>
      </x:c>
      <x:c r="F519" s="2" t="n">
        <x:v>131</x:v>
      </x:c>
      <x:c r="G519" t="str">
        <x:v>Gramaj</x:v>
      </x:c>
      <x:c r="H519" t="str">
        <x:v>Site haritası ürün sayfası</x:v>
      </x:c>
      <x:c r="I519" s="28" t="str">
        <x:v>https://www.kahve.com/urun/moliendo-ethiopia-sidamo-gr-2-yikanmis-yoresel-kahve</x:v>
      </x:c>
      <x:c r="J519" s="28" t="str">
        <x:v>Ürün kimliği korundu; eksik alanlar erişilemedi olarak işaretlenecek.</x:v>
      </x:c>
    </x:row>
    <x:row r="520">
      <x:c r="A520" t="str">
        <x:v>Kahve.com / Moliendo</x:v>
      </x:c>
      <x:c r="B520" t="str">
        <x:v>Ürün kaydı</x:v>
      </x:c>
      <x:c r="C520" t="str">
        <x:v>Moliendo Ethiopia Sidamo Gr 4 Kuru İşleme Yöresel Kahve</x:v>
      </x:c>
      <x:c r="D520" t="str">
        <x:v>Etiyopya</x:v>
      </x:c>
      <x:c r="E520" s="1" t="str">
        <x:v>Erişilemedi</x:v>
      </x:c>
      <x:c r="F520" s="2" t="n">
        <x:v>131</x:v>
      </x:c>
      <x:c r="G520" t="str">
        <x:v>Gramaj</x:v>
      </x:c>
      <x:c r="H520" t="str">
        <x:v>Site haritası ürün sayfası</x:v>
      </x:c>
      <x:c r="I520" s="28" t="str">
        <x:v>https://www.kahve.com/urun/moliendo-ethiopia-sidamo-gr-4-kuru-isleme-yoresel-kahve</x:v>
      </x:c>
      <x:c r="J520" s="28" t="str">
        <x:v>Ürün kimliği korundu; eksik alanlar erişilemedi olarak işaretlenecek.</x:v>
      </x:c>
    </x:row>
    <x:row r="521">
      <x:c r="A521" t="str">
        <x:v>Kahve.com / Moliendo</x:v>
      </x:c>
      <x:c r="B521" t="str">
        <x:v>Ürün kaydı</x:v>
      </x:c>
      <x:c r="C521" t="str">
        <x:v>Moliendo Ethiopia Yirgacheffe Yöresel Kahve</x:v>
      </x:c>
      <x:c r="D521" t="str">
        <x:v>Etiyopya</x:v>
      </x:c>
      <x:c r="E521" s="1" t="str">
        <x:v>Erişilemedi</x:v>
      </x:c>
      <x:c r="F521" s="2" t="n">
        <x:v>131</x:v>
      </x:c>
      <x:c r="G521" t="str">
        <x:v>Gramaj</x:v>
      </x:c>
      <x:c r="H521" t="str">
        <x:v>Site haritası ürün sayfası</x:v>
      </x:c>
      <x:c r="I521" s="28" t="str">
        <x:v>https://www.kahve.com/urun/moliendo-ethiopia-yirgacheffe-yoresel-kahve</x:v>
      </x:c>
      <x:c r="J521" s="28" t="str">
        <x:v>Ürün kimliği korundu; eksik alanlar erişilemedi olarak işaretlenecek.</x:v>
      </x:c>
    </x:row>
    <x:row r="522">
      <x:c r="A522" t="str">
        <x:v>Kahve.com / Moliendo</x:v>
      </x:c>
      <x:c r="B522" t="str">
        <x:v>Ürün kaydı</x:v>
      </x:c>
      <x:c r="C522" t="str">
        <x:v>Moliendo Guatemala Antigua Yöresel Kahve</x:v>
      </x:c>
      <x:c r="D522" t="str">
        <x:v>Guatemala</x:v>
      </x:c>
      <x:c r="E522" s="1" t="str">
        <x:v>Erişilemedi</x:v>
      </x:c>
      <x:c r="F522" s="2" t="n">
        <x:v>131</x:v>
      </x:c>
      <x:c r="G522" t="str">
        <x:v>Gramaj</x:v>
      </x:c>
      <x:c r="H522" t="str">
        <x:v>Site haritası ürün sayfası</x:v>
      </x:c>
      <x:c r="I522" s="28" t="str">
        <x:v>https://www.kahve.com/urun/moliendo-guatemala-antigua-yoresel-kahve</x:v>
      </x:c>
      <x:c r="J522" s="28" t="str">
        <x:v>Ürün kimliği korundu; eksik alanlar erişilemedi olarak işaretlenecek.</x:v>
      </x:c>
    </x:row>
    <x:row r="523">
      <x:c r="A523" t="str">
        <x:v>Kahve.com / Moliendo</x:v>
      </x:c>
      <x:c r="B523" t="str">
        <x:v>Ürün kaydı</x:v>
      </x:c>
      <x:c r="C523" t="str">
        <x:v>Moliendo Hawaii Kona Prime Yöresel Kahve</x:v>
      </x:c>
      <x:c r="D523" t="str">
        <x:v>Menşe belirtilmemiş</x:v>
      </x:c>
      <x:c r="E523" s="1" t="str">
        <x:v>Erişilemedi</x:v>
      </x:c>
      <x:c r="F523" s="2" t="n">
        <x:v>131</x:v>
      </x:c>
      <x:c r="G523" t="str">
        <x:v>Gramaj</x:v>
      </x:c>
      <x:c r="H523" t="str">
        <x:v>Site haritası ürün sayfası</x:v>
      </x:c>
      <x:c r="I523" s="28" t="str">
        <x:v>https://www.kahve.com/urun/moliendo-hawaii-kona-prime-yoresel-kahve</x:v>
      </x:c>
      <x:c r="J523" s="28" t="str">
        <x:v>Ürün kimliği korundu; eksik alanlar erişilemedi olarak işaretlenecek.</x:v>
      </x:c>
    </x:row>
    <x:row r="524">
      <x:c r="A524" t="str">
        <x:v>Kahve.com / Moliendo</x:v>
      </x:c>
      <x:c r="B524" t="str">
        <x:v>Ürün kaydı</x:v>
      </x:c>
      <x:c r="C524" t="str">
        <x:v>Moliendo Honduras Finca Beatrice Micro-Lot Yöresel Kahve</x:v>
      </x:c>
      <x:c r="D524" t="str">
        <x:v>Honduras</x:v>
      </x:c>
      <x:c r="E524" s="1" t="str">
        <x:v>Erişilemedi</x:v>
      </x:c>
      <x:c r="F524" s="2" t="n">
        <x:v>131</x:v>
      </x:c>
      <x:c r="G524" t="str">
        <x:v>Gramaj</x:v>
      </x:c>
      <x:c r="H524" t="str">
        <x:v>Site haritası ürün sayfası</x:v>
      </x:c>
      <x:c r="I524" s="28" t="str">
        <x:v>https://www.kahve.com/urun/moliendo-honduras-finca-beatrice-micro-lot-yoresel-kahve</x:v>
      </x:c>
      <x:c r="J524" s="28" t="str">
        <x:v>Ürün kimliği korundu; eksik alanlar erişilemedi olarak işaretlenecek.</x:v>
      </x:c>
    </x:row>
    <x:row r="525">
      <x:c r="A525" t="str">
        <x:v>Kahve.com / Moliendo</x:v>
      </x:c>
      <x:c r="B525" t="str">
        <x:v>Ürün kaydı</x:v>
      </x:c>
      <x:c r="C525" t="str">
        <x:v>Moliendo Honduras Finca Cerro Azul Yöresel Kahve</x:v>
      </x:c>
      <x:c r="D525" t="str">
        <x:v>Honduras</x:v>
      </x:c>
      <x:c r="E525" s="1" t="str">
        <x:v>Erişilemedi</x:v>
      </x:c>
      <x:c r="F525" s="2" t="n">
        <x:v>131</x:v>
      </x:c>
      <x:c r="G525" t="str">
        <x:v>Gramaj</x:v>
      </x:c>
      <x:c r="H525" t="str">
        <x:v>Site haritası ürün sayfası</x:v>
      </x:c>
      <x:c r="I525" s="28" t="str">
        <x:v>https://www.kahve.com/urun/moliendo-honduras-finca-cerro-azul-yoresel-kahve</x:v>
      </x:c>
      <x:c r="J525" s="28" t="str">
        <x:v>Ürün kimliği korundu; eksik alanlar erişilemedi olarak işaretlenecek.</x:v>
      </x:c>
    </x:row>
    <x:row r="526">
      <x:c r="A526" t="str">
        <x:v>Kahve.com / Moliendo</x:v>
      </x:c>
      <x:c r="B526" t="str">
        <x:v>Ürün kaydı</x:v>
      </x:c>
      <x:c r="C526" t="str">
        <x:v>Moliendo Honduras Pacamara Finca Monte Cristo Yöresel Kahve</x:v>
      </x:c>
      <x:c r="D526" t="str">
        <x:v>Honduras</x:v>
      </x:c>
      <x:c r="E526" s="1" t="str">
        <x:v>Erişilemedi</x:v>
      </x:c>
      <x:c r="F526" s="2" t="n">
        <x:v>131</x:v>
      </x:c>
      <x:c r="G526" t="str">
        <x:v>Gramaj</x:v>
      </x:c>
      <x:c r="H526" t="str">
        <x:v>Site haritası ürün sayfası</x:v>
      </x:c>
      <x:c r="I526" s="28" t="str">
        <x:v>https://www.kahve.com/urun/moliendo-honduras-pacamara-finca-monte-cristo-yoresel-kahve</x:v>
      </x:c>
      <x:c r="J526" s="28" t="str">
        <x:v>Ürün kimliği korundu; eksik alanlar erişilemedi olarak işaretlenecek.</x:v>
      </x:c>
    </x:row>
    <x:row r="527">
      <x:c r="A527" t="str">
        <x:v>Kahve.com / Moliendo</x:v>
      </x:c>
      <x:c r="B527" t="str">
        <x:v>Ürün kaydı</x:v>
      </x:c>
      <x:c r="C527" t="str">
        <x:v>Moliendo Honduras San Marcos SHG Yöresel Kahve</x:v>
      </x:c>
      <x:c r="D527" t="str">
        <x:v>Honduras</x:v>
      </x:c>
      <x:c r="E527" s="1" t="str">
        <x:v>Erişilemedi</x:v>
      </x:c>
      <x:c r="F527" s="2" t="n">
        <x:v>131</x:v>
      </x:c>
      <x:c r="G527" t="str">
        <x:v>Gramaj</x:v>
      </x:c>
      <x:c r="H527" t="str">
        <x:v>Site haritası ürün sayfası</x:v>
      </x:c>
      <x:c r="I527" s="28" t="str">
        <x:v>https://www.kahve.com/urun/moliendo-honduras-san-marcos-shg-yoresel-kahve</x:v>
      </x:c>
      <x:c r="J527" s="28" t="str">
        <x:v>Ürün kimliği korundu; eksik alanlar erişilemedi olarak işaretlenecek.</x:v>
      </x:c>
    </x:row>
    <x:row r="528">
      <x:c r="A528" t="str">
        <x:v>Kahve.com / Moliendo</x:v>
      </x:c>
      <x:c r="B528" t="str">
        <x:v>Ürün kaydı</x:v>
      </x:c>
      <x:c r="C528" t="str">
        <x:v>Moliendo Honduras SHB Honey Micro-Lot Yöresel Kahve</x:v>
      </x:c>
      <x:c r="D528" t="str">
        <x:v>Honduras</x:v>
      </x:c>
      <x:c r="E528" s="1" t="str">
        <x:v>Erişilemedi</x:v>
      </x:c>
      <x:c r="F528" s="2" t="n">
        <x:v>131</x:v>
      </x:c>
      <x:c r="G528" t="str">
        <x:v>Gramaj</x:v>
      </x:c>
      <x:c r="H528" t="str">
        <x:v>Site haritası ürün sayfası</x:v>
      </x:c>
      <x:c r="I528" s="28" t="str">
        <x:v>https://www.kahve.com/urun/moliendo-honduras-shb-honey-micro-lot-yoresel-kahve</x:v>
      </x:c>
      <x:c r="J528" s="28" t="str">
        <x:v>Ürün kimliği korundu; eksik alanlar erişilemedi olarak işaretlenecek.</x:v>
      </x:c>
    </x:row>
    <x:row r="529">
      <x:c r="A529" t="str">
        <x:v>Kahve.com / Moliendo</x:v>
      </x:c>
      <x:c r="B529" t="str">
        <x:v>Ürün kaydı</x:v>
      </x:c>
      <x:c r="C529" t="str">
        <x:v>Moliendo Indonesia Java Pancoer Yöresel Kahve</x:v>
      </x:c>
      <x:c r="D529" t="str">
        <x:v>Endonezya</x:v>
      </x:c>
      <x:c r="E529" s="1" t="str">
        <x:v>Erişilemedi</x:v>
      </x:c>
      <x:c r="F529" s="2" t="n">
        <x:v>131</x:v>
      </x:c>
      <x:c r="G529" t="str">
        <x:v>Gramaj</x:v>
      </x:c>
      <x:c r="H529" t="str">
        <x:v>Site haritası ürün sayfası</x:v>
      </x:c>
      <x:c r="I529" s="28" t="str">
        <x:v>https://www.kahve.com/urun/moliendo-indonesia-java-pancoer-yoresel-kahve</x:v>
      </x:c>
      <x:c r="J529" s="28" t="str">
        <x:v>Ürün kimliği korundu; eksik alanlar erişilemedi olarak işaretlenecek.</x:v>
      </x:c>
    </x:row>
    <x:row r="530">
      <x:c r="A530" t="str">
        <x:v>Kahve.com / Moliendo</x:v>
      </x:c>
      <x:c r="B530" t="str">
        <x:v>Ürün kaydı</x:v>
      </x:c>
      <x:c r="C530" t="str">
        <x:v>Moliendo Mexico Esmeralda Yöresel Kahve</x:v>
      </x:c>
      <x:c r="D530" t="str">
        <x:v>Meksika</x:v>
      </x:c>
      <x:c r="E530" s="1" t="str">
        <x:v>Erişilemedi</x:v>
      </x:c>
      <x:c r="F530" s="2" t="n">
        <x:v>131</x:v>
      </x:c>
      <x:c r="G530" t="str">
        <x:v>Gramaj</x:v>
      </x:c>
      <x:c r="H530" t="str">
        <x:v>Site haritası ürün sayfası</x:v>
      </x:c>
      <x:c r="I530" s="28" t="str">
        <x:v>https://www.kahve.com/urun/moliendo-mexico-esmeralda-yoresel-kahve</x:v>
      </x:c>
      <x:c r="J530" s="28" t="str">
        <x:v>Ürün kimliği korundu; eksik alanlar erişilemedi olarak işaretlenecek.</x:v>
      </x:c>
    </x:row>
    <x:row r="531">
      <x:c r="A531" t="str">
        <x:v>Kahve.com / Moliendo</x:v>
      </x:c>
      <x:c r="B531" t="str">
        <x:v>Ürün kaydı</x:v>
      </x:c>
      <x:c r="C531" t="str">
        <x:v>Moliendo Papua New Guinea Sigri AA Yöresel Kahve</x:v>
      </x:c>
      <x:c r="D531" t="str">
        <x:v>Menşe belirtilmemiş</x:v>
      </x:c>
      <x:c r="E531" s="1" t="str">
        <x:v>Erişilemedi</x:v>
      </x:c>
      <x:c r="F531" s="2" t="n">
        <x:v>131</x:v>
      </x:c>
      <x:c r="G531" t="str">
        <x:v>Gramaj</x:v>
      </x:c>
      <x:c r="H531" t="str">
        <x:v>Site haritası ürün sayfası</x:v>
      </x:c>
      <x:c r="I531" s="28" t="str">
        <x:v>https://www.kahve.com/urun/moliendo-papua-new-guinea-sigri-aa-yoresel-kahve</x:v>
      </x:c>
      <x:c r="J531" s="28" t="str">
        <x:v>Ürün kimliği korundu; eksik alanlar erişilemedi olarak işaretlenecek.</x:v>
      </x:c>
    </x:row>
    <x:row r="532">
      <x:c r="A532" t="str">
        <x:v>Kahve.com / Moliendo</x:v>
      </x:c>
      <x:c r="B532" t="str">
        <x:v>Ürün kaydı</x:v>
      </x:c>
      <x:c r="C532" t="str">
        <x:v>Moliendo Peru Chanchamayo Yöresel Kahve</x:v>
      </x:c>
      <x:c r="D532" t="str">
        <x:v>Peru</x:v>
      </x:c>
      <x:c r="E532" s="1" t="str">
        <x:v>Erişilemedi</x:v>
      </x:c>
      <x:c r="F532" s="2" t="n">
        <x:v>131</x:v>
      </x:c>
      <x:c r="G532" t="str">
        <x:v>Gramaj</x:v>
      </x:c>
      <x:c r="H532" t="str">
        <x:v>Site haritası ürün sayfası</x:v>
      </x:c>
      <x:c r="I532" s="28" t="str">
        <x:v>https://www.kahve.com/urun/moliendo-peru-chanchamayo-yoresel-kahve</x:v>
      </x:c>
      <x:c r="J532" s="28" t="str">
        <x:v>Ürün kimliği korundu; eksik alanlar erişilemedi olarak işaretlenecek.</x:v>
      </x:c>
    </x:row>
    <x:row r="533">
      <x:c r="A533" t="str">
        <x:v>Kahve.com / Moliendo</x:v>
      </x:c>
      <x:c r="B533" t="str">
        <x:v>Ürün kaydı</x:v>
      </x:c>
      <x:c r="C533" t="str">
        <x:v>Moliendo Positano Espresso Blend Kahve</x:v>
      </x:c>
      <x:c r="D533" t="str">
        <x:v>Harman – menşe belirtilmemiş</x:v>
      </x:c>
      <x:c r="E533" s="1" t="str">
        <x:v>Erişilemedi</x:v>
      </x:c>
      <x:c r="F533" s="2" t="n">
        <x:v>131</x:v>
      </x:c>
      <x:c r="G533" t="str">
        <x:v>Gramaj</x:v>
      </x:c>
      <x:c r="H533" t="str">
        <x:v>Site haritası ürün sayfası</x:v>
      </x:c>
      <x:c r="I533" s="28" t="str">
        <x:v>https://www.kahve.com/urun/moliendo-positano-espresso-blend-kahve</x:v>
      </x:c>
      <x:c r="J533" s="28" t="str">
        <x:v>Ürün kimliği korundu; eksik alanlar erişilemedi olarak işaretlenecek.</x:v>
      </x:c>
    </x:row>
    <x:row r="534">
      <x:c r="A534" t="str">
        <x:v>Kahve.com / Moliendo</x:v>
      </x:c>
      <x:c r="B534" t="str">
        <x:v>Ürün kaydı</x:v>
      </x:c>
      <x:c r="C534" t="str">
        <x:v>Moliendo Salerno Espresso Blend Kahve</x:v>
      </x:c>
      <x:c r="D534" t="str">
        <x:v>Harman – menşe belirtilmemiş</x:v>
      </x:c>
      <x:c r="E534" s="1" t="str">
        <x:v>Erişilemedi</x:v>
      </x:c>
      <x:c r="F534" s="2" t="n">
        <x:v>131</x:v>
      </x:c>
      <x:c r="G534" t="str">
        <x:v>Gramaj</x:v>
      </x:c>
      <x:c r="H534" t="str">
        <x:v>Site haritası ürün sayfası</x:v>
      </x:c>
      <x:c r="I534" s="28" t="str">
        <x:v>https://www.kahve.com/urun/moliendo-salerno-espresso-blend-kahve</x:v>
      </x:c>
      <x:c r="J534" s="28" t="str">
        <x:v>Ürün kimliği korundu; eksik alanlar erişilemedi olarak işaretlenecek.</x:v>
      </x:c>
    </x:row>
    <x:row r="535">
      <x:c r="A535" t="str">
        <x:v>Kahve.com / Moliendo</x:v>
      </x:c>
      <x:c r="B535" t="str">
        <x:v>Ürün kaydı</x:v>
      </x:c>
      <x:c r="C535" t="str">
        <x:v>Moliendo Yemen Mocha Yöresel Kahve</x:v>
      </x:c>
      <x:c r="D535" t="str">
        <x:v>Yemen</x:v>
      </x:c>
      <x:c r="E535" s="1" t="str">
        <x:v>Erişilemedi</x:v>
      </x:c>
      <x:c r="F535" s="2" t="n">
        <x:v>131</x:v>
      </x:c>
      <x:c r="G535" t="str">
        <x:v>Gramaj</x:v>
      </x:c>
      <x:c r="H535" t="str">
        <x:v>Site haritası ürün sayfası</x:v>
      </x:c>
      <x:c r="I535" s="28" t="str">
        <x:v>https://www.kahve.com/urun/moliendo-yemen-mocha-yoresel-kahve</x:v>
      </x:c>
      <x:c r="J535" s="28" t="str">
        <x:v>Ürün kimliği korundu; eksik alanlar erişilemedi olarak işaretlenecek.</x:v>
      </x:c>
    </x:row>
    <x:row r="536">
      <x:c r="A536" t="str">
        <x:v>Kakule Kahve</x:v>
      </x:c>
      <x:c r="B536" t="str">
        <x:v>Katalog takip kaydı</x:v>
      </x:c>
      <x:c r="C536" t="str">
        <x:v>Ürün kataloğu — ayrıntılı ürün verisine erişilemedi</x:v>
      </x:c>
      <x:c r="D536" t="str">
        <x:v>Erişilemedi</x:v>
      </x:c>
      <x:c r="E536" s="1" t="str">
        <x:v>Erişilemedi</x:v>
      </x:c>
      <x:c r="F536" s="2" t="str">
        <x:v>Erişilemedi</x:v>
      </x:c>
      <x:c r="G536" t="str">
        <x:v>Gramaj + fiyat</x:v>
      </x:c>
      <x:c r="H536" t="str">
        <x:v>Instagram veya mevcut kaynak</x:v>
      </x:c>
      <x:c r="I536" s="28" t="str">
        <x:v>Erişilemedi</x:v>
      </x:c>
      <x:c r="J536" s="28" t="str">
        <x:v>Ürün adı, gramaj ve fiyat birlikte çıkarılamadı. Bağlantı manuel inceleme için korundu.</x:v>
      </x:c>
    </x:row>
    <x:row r="537">
      <x:c r="A537" t="str">
        <x:v>Kava Coffee</x:v>
      </x:c>
      <x:c r="B537" t="str">
        <x:v>Katalog takip kaydı</x:v>
      </x:c>
      <x:c r="C537" t="str">
        <x:v>Ürün kataloğu — ayrıntılı ürün verisine erişilemedi</x:v>
      </x:c>
      <x:c r="D537" t="str">
        <x:v>Erişilemedi</x:v>
      </x:c>
      <x:c r="E537" s="1" t="str">
        <x:v>Erişilemedi</x:v>
      </x:c>
      <x:c r="F537" s="2" t="str">
        <x:v>Erişilemedi</x:v>
      </x:c>
      <x:c r="G537" t="str">
        <x:v>Gramaj + fiyat</x:v>
      </x:c>
      <x:c r="H537" t="str">
        <x:v>Instagram veya mevcut kaynak</x:v>
      </x:c>
      <x:c r="I537" s="28" t="str">
        <x:v>Erişilemedi</x:v>
      </x:c>
      <x:c r="J537" s="28" t="str">
        <x:v>Ürün adı, gramaj ve fiyat birlikte çıkarılamadı. Bağlantı manuel inceleme için korundu.</x:v>
      </x:c>
    </x:row>
    <x:row r="538">
      <x:c r="A538" t="str">
        <x:v>Keçi Coffee Roastery</x:v>
      </x:c>
      <x:c r="B538" t="str">
        <x:v>Katalog takip kaydı</x:v>
      </x:c>
      <x:c r="C538" t="str">
        <x:v>Ürün kataloğu — ayrıntılı ürün verisine erişilemedi</x:v>
      </x:c>
      <x:c r="D538" t="str">
        <x:v>Erişilemedi</x:v>
      </x:c>
      <x:c r="E538" s="1" t="str">
        <x:v>Erişilemedi</x:v>
      </x:c>
      <x:c r="F538" s="2" t="str">
        <x:v>Erişilemedi</x:v>
      </x:c>
      <x:c r="G538" t="str">
        <x:v>Gramaj + fiyat</x:v>
      </x:c>
      <x:c r="H538" t="str">
        <x:v>Instagram veya mevcut kaynak</x:v>
      </x:c>
      <x:c r="I538" s="28" t="str">
        <x:v>Erişilemedi</x:v>
      </x:c>
      <x:c r="J538" s="28" t="str">
        <x:v>Ürün adı, gramaj ve fiyat birlikte çıkarılamadı. Bağlantı manuel inceleme için korundu.</x:v>
      </x:c>
    </x:row>
    <x:row r="539">
      <x:c r="A539" t="str">
        <x:v>Keobs Coffee Roastery</x:v>
      </x:c>
      <x:c r="B539" t="str">
        <x:v>Ürün kaydı</x:v>
      </x:c>
      <x:c r="C539" t="str">
        <x:v>Brezilya · Mogiana</x:v>
      </x:c>
      <x:c r="D539" t="str">
        <x:v>Brezilya</x:v>
      </x:c>
      <x:c r="E539" s="1" t="str">
        <x:v>Erişilemedi</x:v>
      </x:c>
      <x:c r="F539" s="2" t="n">
        <x:v>400</x:v>
      </x:c>
      <x:c r="G539" t="str">
        <x:v>Gramaj</x:v>
      </x:c>
      <x:c r="H539" t="str">
        <x:v>Site haritası ürün sayfası</x:v>
      </x:c>
      <x:c r="I539" s="28" t="str">
        <x:v>https://keobs.com.tr/urun/brezilya-mogiana</x:v>
      </x:c>
      <x:c r="J539" s="28" t="str">
        <x:v>Ürün kimliği korundu; eksik alanlar erişilemedi olarak işaretlenecek.</x:v>
      </x:c>
    </x:row>
    <x:row r="540">
      <x:c r="A540" t="str">
        <x:v>Keobs Coffee Roastery</x:v>
      </x:c>
      <x:c r="B540" t="str">
        <x:v>Ürün kaydı</x:v>
      </x:c>
      <x:c r="C540" t="str">
        <x:v>Cold Brew: Yaz Aylarının Kahvesi</x:v>
      </x:c>
      <x:c r="D540" t="str">
        <x:v>Menşe belirtilmemiş</x:v>
      </x:c>
      <x:c r="E540" s="1" t="str">
        <x:v>Erişilemedi</x:v>
      </x:c>
      <x:c r="F540" s="2" t="str">
        <x:v>Erişilemedi</x:v>
      </x:c>
      <x:c r="G540" t="str">
        <x:v>Gramaj + fiyat</x:v>
      </x:c>
      <x:c r="H540" t="str">
        <x:v>Site haritası ürün sayfası</x:v>
      </x:c>
      <x:c r="I540" s="28" t="str">
        <x:v>https://keobs.com.tr/blog/cold-brew-yaz-aylarinin-kahvesi</x:v>
      </x:c>
      <x:c r="J540" s="28" t="str">
        <x:v>Ürün kimliği korundu; eksik alanlar erişilemedi olarak işaretlenecek.</x:v>
      </x:c>
    </x:row>
    <x:row r="541">
      <x:c r="A541" t="str">
        <x:v>Keobs Coffee Roastery</x:v>
      </x:c>
      <x:c r="B541" t="str">
        <x:v>Ürün kaydı</x:v>
      </x:c>
      <x:c r="C541" t="str">
        <x:v>Çekirdeği Saklamanın Doğru Yolu</x:v>
      </x:c>
      <x:c r="D541" t="str">
        <x:v>Menşe belirtilmemiş</x:v>
      </x:c>
      <x:c r="E541" s="1" t="str">
        <x:v>Erişilemedi</x:v>
      </x:c>
      <x:c r="F541" s="2" t="str">
        <x:v>Erişilemedi</x:v>
      </x:c>
      <x:c r="G541" t="str">
        <x:v>Gramaj + fiyat</x:v>
      </x:c>
      <x:c r="H541" t="str">
        <x:v>Site haritası ürün sayfası</x:v>
      </x:c>
      <x:c r="I541" s="28" t="str">
        <x:v>https://keobs.com.tr/blog/kahve-saklama-tazeligi-korumak</x:v>
      </x:c>
      <x:c r="J541" s="28" t="str">
        <x:v>Ürün kimliği korundu; eksik alanlar erişilemedi olarak işaretlenecek.</x:v>
      </x:c>
    </x:row>
    <x:row r="542">
      <x:c r="A542" t="str">
        <x:v>Keobs Coffee Roastery</x:v>
      </x:c>
      <x:c r="B542" t="str">
        <x:v>Ürün kaydı</x:v>
      </x:c>
      <x:c r="C542" t="str">
        <x:v>El Salvador · Shasta EP</x:v>
      </x:c>
      <x:c r="D542" t="str">
        <x:v>El Salvador</x:v>
      </x:c>
      <x:c r="E542" s="1" t="str">
        <x:v>Erişilemedi</x:v>
      </x:c>
      <x:c r="F542" s="2" t="n">
        <x:v>430</x:v>
      </x:c>
      <x:c r="G542" t="str">
        <x:v>Gramaj</x:v>
      </x:c>
      <x:c r="H542" t="str">
        <x:v>Site haritası ürün sayfası</x:v>
      </x:c>
      <x:c r="I542" s="28" t="str">
        <x:v>https://keobs.com.tr/urun/el-salvador-shasta-ep</x:v>
      </x:c>
      <x:c r="J542" s="28" t="str">
        <x:v>Ürün kimliği korundu; eksik alanlar erişilemedi olarak işaretlenecek.</x:v>
      </x:c>
    </x:row>
    <x:row r="543">
      <x:c r="A543" t="str">
        <x:v>Keobs Coffee Roastery</x:v>
      </x:c>
      <x:c r="B543" t="str">
        <x:v>Ürün kaydı</x:v>
      </x:c>
      <x:c r="C543" t="str">
        <x:v>Etiyopya · Sidamo</x:v>
      </x:c>
      <x:c r="D543" t="str">
        <x:v>Etiyopya</x:v>
      </x:c>
      <x:c r="E543" s="1" t="str">
        <x:v>Erişilemedi</x:v>
      </x:c>
      <x:c r="F543" s="2" t="n">
        <x:v>490</x:v>
      </x:c>
      <x:c r="G543" t="str">
        <x:v>Gramaj</x:v>
      </x:c>
      <x:c r="H543" t="str">
        <x:v>Site haritası ürün sayfası</x:v>
      </x:c>
      <x:c r="I543" s="28" t="str">
        <x:v>https://keobs.com.tr/urun/etiyopya-sidamo</x:v>
      </x:c>
      <x:c r="J543" s="28" t="str">
        <x:v>Ürün kimliği korundu; eksik alanlar erişilemedi olarak işaretlenecek.</x:v>
      </x:c>
    </x:row>
    <x:row r="544">
      <x:c r="A544" t="str">
        <x:v>Keobs Coffee Roastery</x:v>
      </x:c>
      <x:c r="B544" t="str">
        <x:v>Ürün kaydı</x:v>
      </x:c>
      <x:c r="C544" t="str">
        <x:v>Etiyopya Sidamo · Specialty</x:v>
      </x:c>
      <x:c r="D544" t="str">
        <x:v>Etiyopya</x:v>
      </x:c>
      <x:c r="E544" s="1" t="str">
        <x:v>Erişilemedi</x:v>
      </x:c>
      <x:c r="F544" s="2" t="n">
        <x:v>490</x:v>
      </x:c>
      <x:c r="G544" t="str">
        <x:v>Gramaj</x:v>
      </x:c>
      <x:c r="H544" t="str">
        <x:v>Site haritası ürün sayfası</x:v>
      </x:c>
      <x:c r="I544" s="28" t="str">
        <x:v>https://keobs.com.tr/urun/etiyopya-sidamo-specialty</x:v>
      </x:c>
      <x:c r="J544" s="28" t="str">
        <x:v>Ürün kimliği korundu; eksik alanlar erişilemedi olarak işaretlenecek.</x:v>
      </x:c>
    </x:row>
    <x:row r="545">
      <x:c r="A545" t="str">
        <x:v>Keobs Coffee Roastery</x:v>
      </x:c>
      <x:c r="B545" t="str">
        <x:v>Ürün kaydı</x:v>
      </x:c>
      <x:c r="C545" t="str">
        <x:v>Filtre Blend</x:v>
      </x:c>
      <x:c r="D545" t="str">
        <x:v>Harman – menşe belirtilmemiş</x:v>
      </x:c>
      <x:c r="E545" s="1" t="str">
        <x:v>Erişilemedi</x:v>
      </x:c>
      <x:c r="F545" s="2" t="n">
        <x:v>350</x:v>
      </x:c>
      <x:c r="G545" t="str">
        <x:v>Gramaj</x:v>
      </x:c>
      <x:c r="H545" t="str">
        <x:v>Site haritası ürün sayfası</x:v>
      </x:c>
      <x:c r="I545" s="28" t="str">
        <x:v>https://keobs.com.tr/urun/filtre-blend</x:v>
      </x:c>
      <x:c r="J545" s="28" t="str">
        <x:v>Ürün kimliği korundu; eksik alanlar erişilemedi olarak işaretlenecek.</x:v>
      </x:c>
    </x:row>
    <x:row r="546">
      <x:c r="A546" t="str">
        <x:v>Keobs Coffee Roastery</x:v>
      </x:c>
      <x:c r="B546" t="str">
        <x:v>Ürün kaydı</x:v>
      </x:c>
      <x:c r="C546" t="str">
        <x:v>Guatemala · El Jaguar</x:v>
      </x:c>
      <x:c r="D546" t="str">
        <x:v>Guatemala</x:v>
      </x:c>
      <x:c r="E546" s="1" t="str">
        <x:v>Erişilemedi</x:v>
      </x:c>
      <x:c r="F546" s="2" t="n">
        <x:v>400</x:v>
      </x:c>
      <x:c r="G546" t="str">
        <x:v>Gramaj</x:v>
      </x:c>
      <x:c r="H546" t="str">
        <x:v>Site haritası ürün sayfası</x:v>
      </x:c>
      <x:c r="I546" s="28" t="str">
        <x:v>https://keobs.com.tr/urun/guatemala-el-jaguar</x:v>
      </x:c>
      <x:c r="J546" s="28" t="str">
        <x:v>Ürün kimliği korundu; eksik alanlar erişilemedi olarak işaretlenecek.</x:v>
      </x:c>
    </x:row>
    <x:row r="547">
      <x:c r="A547" t="str">
        <x:v>Keobs Coffee Roastery</x:v>
      </x:c>
      <x:c r="B547" t="str">
        <x:v>Ürün kaydı</x:v>
      </x:c>
      <x:c r="C547" t="str">
        <x:v>Honduras · Marcala</x:v>
      </x:c>
      <x:c r="D547" t="str">
        <x:v>Honduras</x:v>
      </x:c>
      <x:c r="E547" s="1" t="str">
        <x:v>Erişilemedi</x:v>
      </x:c>
      <x:c r="F547" s="2" t="n">
        <x:v>350</x:v>
      </x:c>
      <x:c r="G547" t="str">
        <x:v>Gramaj</x:v>
      </x:c>
      <x:c r="H547" t="str">
        <x:v>Site haritası ürün sayfası</x:v>
      </x:c>
      <x:c r="I547" s="28" t="str">
        <x:v>https://keobs.com.tr/urun/honduras-marcala</x:v>
      </x:c>
      <x:c r="J547" s="28" t="str">
        <x:v>Ürün kimliği korundu; eksik alanlar erişilemedi olarak işaretlenecek.</x:v>
      </x:c>
    </x:row>
    <x:row r="548">
      <x:c r="A548" t="str">
        <x:v>Keobs Coffee Roastery</x:v>
      </x:c>
      <x:c r="B548" t="str">
        <x:v>Ürün kaydı</x:v>
      </x:c>
      <x:c r="C548" t="str">
        <x:v>Kenya Nyeri FAQ AA</x:v>
      </x:c>
      <x:c r="D548" t="str">
        <x:v>Kenya</x:v>
      </x:c>
      <x:c r="E548" s="1" t="str">
        <x:v>Erişilemedi</x:v>
      </x:c>
      <x:c r="F548" s="2" t="n">
        <x:v>490</x:v>
      </x:c>
      <x:c r="G548" t="str">
        <x:v>Gramaj</x:v>
      </x:c>
      <x:c r="H548" t="str">
        <x:v>Site haritası ürün sayfası</x:v>
      </x:c>
      <x:c r="I548" s="28" t="str">
        <x:v>https://keobs.com.tr/urun/kenya-nyeri-faq-aa</x:v>
      </x:c>
      <x:c r="J548" s="28" t="str">
        <x:v>Ürün kimliği korundu; eksik alanlar erişilemedi olarak işaretlenecek.</x:v>
      </x:c>
    </x:row>
    <x:row r="549">
      <x:c r="A549" t="str">
        <x:v>Keobs Coffee Roastery</x:v>
      </x:c>
      <x:c r="B549" t="str">
        <x:v>Ürün kaydı</x:v>
      </x:c>
      <x:c r="C549" t="str">
        <x:v>Kolombiya · Huila</x:v>
      </x:c>
      <x:c r="D549" t="str">
        <x:v>Kolombiya</x:v>
      </x:c>
      <x:c r="E549" s="1" t="str">
        <x:v>Erişilemedi</x:v>
      </x:c>
      <x:c r="F549" s="2" t="n">
        <x:v>350</x:v>
      </x:c>
      <x:c r="G549" t="str">
        <x:v>Gramaj</x:v>
      </x:c>
      <x:c r="H549" t="str">
        <x:v>Site haritası ürün sayfası</x:v>
      </x:c>
      <x:c r="I549" s="28" t="str">
        <x:v>https://keobs.com.tr/urun/colombia-huila</x:v>
      </x:c>
      <x:c r="J549" s="28" t="str">
        <x:v>Ürün kimliği korundu; eksik alanlar erişilemedi olarak işaretlenecek.</x:v>
      </x:c>
    </x:row>
    <x:row r="550">
      <x:c r="A550" t="str">
        <x:v>Keobs Coffee Roastery</x:v>
      </x:c>
      <x:c r="B550" t="str">
        <x:v>Ürün kaydı</x:v>
      </x:c>
      <x:c r="C550" t="str">
        <x:v>Puly Caff Powder · Temizleme Tozu</x:v>
      </x:c>
      <x:c r="D550" t="str">
        <x:v>Menşe belirtilmemiş</x:v>
      </x:c>
      <x:c r="E550" s="1" t="str">
        <x:v>Erişilemedi</x:v>
      </x:c>
      <x:c r="F550" s="2" t="n">
        <x:v>700</x:v>
      </x:c>
      <x:c r="G550" t="str">
        <x:v>Gramaj</x:v>
      </x:c>
      <x:c r="H550" t="str">
        <x:v>Site haritası ürün sayfası</x:v>
      </x:c>
      <x:c r="I550" s="28" t="str">
        <x:v>https://keobs.com.tr/urun/puly-caff-powder-900gr</x:v>
      </x:c>
      <x:c r="J550" s="28" t="str">
        <x:v>Ürün kimliği korundu; eksik alanlar erişilemedi olarak işaretlenecek.</x:v>
      </x:c>
    </x:row>
    <x:row r="551">
      <x:c r="A551" t="str">
        <x:v>Keobs Coffee Roastery</x:v>
      </x:c>
      <x:c r="B551" t="str">
        <x:v>Ürün kaydı</x:v>
      </x:c>
      <x:c r="C551" t="str">
        <x:v>Sfenks Espresso Blend</x:v>
      </x:c>
      <x:c r="D551" t="str">
        <x:v>Harman – menşe belirtilmemiş</x:v>
      </x:c>
      <x:c r="E551" s="1" t="str">
        <x:v>Erişilemedi</x:v>
      </x:c>
      <x:c r="F551" s="2" t="n">
        <x:v>350</x:v>
      </x:c>
      <x:c r="G551" t="str">
        <x:v>Gramaj</x:v>
      </x:c>
      <x:c r="H551" t="str">
        <x:v>Site haritası ürün sayfası</x:v>
      </x:c>
      <x:c r="I551" s="28" t="str">
        <x:v>https://keobs.com.tr/urun/sfenks-espresso-blend</x:v>
      </x:c>
      <x:c r="J551" s="28" t="str">
        <x:v>Ürün kimliği korundu; eksik alanlar erişilemedi olarak işaretlenecek.</x:v>
      </x:c>
    </x:row>
    <x:row r="552">
      <x:c r="A552" t="str">
        <x:v>Keobs Coffee Roastery</x:v>
      </x:c>
      <x:c r="B552" t="str">
        <x:v>Ürün kaydı</x:v>
      </x:c>
      <x:c r="C552" t="str">
        <x:v>Su Kalitesi: Kahvenin Gizli Karakteri</x:v>
      </x:c>
      <x:c r="D552" t="str">
        <x:v>Menşe belirtilmemiş</x:v>
      </x:c>
      <x:c r="E552" s="1" t="str">
        <x:v>Erişilemedi</x:v>
      </x:c>
      <x:c r="F552" s="2" t="str">
        <x:v>Erişilemedi</x:v>
      </x:c>
      <x:c r="G552" t="str">
        <x:v>Gramaj + fiyat</x:v>
      </x:c>
      <x:c r="H552" t="str">
        <x:v>Site haritası ürün sayfası</x:v>
      </x:c>
      <x:c r="I552" s="28" t="str">
        <x:v>https://keobs.com.tr/blog/su-kalitesi-kahvenin-gizli-karakteri</x:v>
      </x:c>
      <x:c r="J552" s="28" t="str">
        <x:v>Ürün kimliği korundu; eksik alanlar erişilemedi olarak işaretlenecek.</x:v>
      </x:c>
    </x:row>
    <x:row r="553">
      <x:c r="A553" t="str">
        <x:v>Keobs Coffee Roastery</x:v>
      </x:c>
      <x:c r="B553" t="str">
        <x:v>Ürün kaydı</x:v>
      </x:c>
      <x:c r="C553" t="str">
        <x:v>Tek Köken Kahve: Bir Coğrafyanın İmzası</x:v>
      </x:c>
      <x:c r="D553" t="str">
        <x:v>Menşe belirtilmemiş</x:v>
      </x:c>
      <x:c r="E553" s="1" t="str">
        <x:v>Erişilemedi</x:v>
      </x:c>
      <x:c r="F553" s="2" t="str">
        <x:v>Erişilemedi</x:v>
      </x:c>
      <x:c r="G553" t="str">
        <x:v>Gramaj + fiyat</x:v>
      </x:c>
      <x:c r="H553" t="str">
        <x:v>Site haritası ürün sayfası</x:v>
      </x:c>
      <x:c r="I553" s="28" t="str">
        <x:v>https://keobs.com.tr/blog/tek-koken-kahve-nedir</x:v>
      </x:c>
      <x:c r="J553" s="28" t="str">
        <x:v>Ürün kimliği korundu; eksik alanlar erişilemedi olarak işaretlenecek.</x:v>
      </x:c>
    </x:row>
    <x:row r="554">
      <x:c r="A554" t="str">
        <x:v>Keobs Coffee Roastery</x:v>
      </x:c>
      <x:c r="B554" t="str">
        <x:v>Ürün kaydı</x:v>
      </x:c>
      <x:c r="C554" t="str">
        <x:v>Tüm Kahveler · Koleksiyon · Keobs</x:v>
      </x:c>
      <x:c r="D554" t="str">
        <x:v>Menşe belirtilmemiş</x:v>
      </x:c>
      <x:c r="E554" s="1" t="str">
        <x:v>Erişilemedi</x:v>
      </x:c>
      <x:c r="F554" s="2" t="str">
        <x:v>Erişilemedi</x:v>
      </x:c>
      <x:c r="G554" t="str">
        <x:v>Gramaj + fiyat</x:v>
      </x:c>
      <x:c r="H554" t="str">
        <x:v>Site haritası ürün sayfası</x:v>
      </x:c>
      <x:c r="I554" s="28" t="str">
        <x:v>https://keobs.com.tr/urunler?kategori=cleaning</x:v>
      </x:c>
      <x:c r="J554" s="28" t="str">
        <x:v>Ürün kimliği korundu; eksik alanlar erişilemedi olarak işaretlenecek.</x:v>
      </x:c>
    </x:row>
    <x:row r="555">
      <x:c r="A555" t="str">
        <x:v>Kernel Coffee</x:v>
      </x:c>
      <x:c r="B555" t="str">
        <x:v>Ürün kaydı</x:v>
      </x:c>
      <x:c r="C555" t="str">
        <x:v>Brezilya Morango</x:v>
      </x:c>
      <x:c r="D555" t="str">
        <x:v>Brezilya</x:v>
      </x:c>
      <x:c r="E555" s="1" t="str">
        <x:v>Erişilemedi</x:v>
      </x:c>
      <x:c r="F555" s="2" t="n">
        <x:v>1000</x:v>
      </x:c>
      <x:c r="G555" t="str">
        <x:v>Gramaj</x:v>
      </x:c>
      <x:c r="H555" t="str">
        <x:v>Site haritası ürün sayfası</x:v>
      </x:c>
      <x:c r="I555" s="28" t="str">
        <x:v>https://kernelcoffee.co/brezilya-morango</x:v>
      </x:c>
      <x:c r="J555" s="28" t="str">
        <x:v>Ürün kimliği korundu; eksik alanlar erişilemedi olarak işaretlenecek.</x:v>
      </x:c>
    </x:row>
    <x:row r="556">
      <x:c r="A556" t="str">
        <x:v>Kernel Coffee</x:v>
      </x:c>
      <x:c r="B556" t="str">
        <x:v>Ürün kaydı</x:v>
      </x:c>
      <x:c r="C556" t="str">
        <x:v>Brezilya Toucan</x:v>
      </x:c>
      <x:c r="D556" t="str">
        <x:v>Brezilya</x:v>
      </x:c>
      <x:c r="E556" s="1" t="str">
        <x:v>Erişilemedi</x:v>
      </x:c>
      <x:c r="F556" s="2" t="n">
        <x:v>1000</x:v>
      </x:c>
      <x:c r="G556" t="str">
        <x:v>Gramaj</x:v>
      </x:c>
      <x:c r="H556" t="str">
        <x:v>Site haritası ürün sayfası</x:v>
      </x:c>
      <x:c r="I556" s="28" t="str">
        <x:v>https://kernelcoffee.co/brezilya-toucan</x:v>
      </x:c>
      <x:c r="J556" s="28" t="str">
        <x:v>Ürün kimliği korundu; eksik alanlar erişilemedi olarak işaretlenecek.</x:v>
      </x:c>
    </x:row>
    <x:row r="557">
      <x:c r="A557" t="str">
        <x:v>Kernel Coffee</x:v>
      </x:c>
      <x:c r="B557" t="str">
        <x:v>Ürün kaydı</x:v>
      </x:c>
      <x:c r="C557" t="str">
        <x:v>CAFEC TH-1</x:v>
      </x:c>
      <x:c r="D557" t="str">
        <x:v>Menşe belirtilmemiş</x:v>
      </x:c>
      <x:c r="E557" s="1" t="str">
        <x:v>Erişilemedi</x:v>
      </x:c>
      <x:c r="F557" s="2" t="n">
        <x:v>1000</x:v>
      </x:c>
      <x:c r="G557" t="str">
        <x:v>Gramaj</x:v>
      </x:c>
      <x:c r="H557" t="str">
        <x:v>Site haritası ürün sayfası</x:v>
      </x:c>
      <x:c r="I557" s="28" t="str">
        <x:v>https://kernelcoffee.co/cafec-th-1</x:v>
      </x:c>
      <x:c r="J557" s="28" t="str">
        <x:v>Ürün kimliği korundu; eksik alanlar erişilemedi olarak işaretlenecek.</x:v>
      </x:c>
    </x:row>
    <x:row r="558">
      <x:c r="A558" t="str">
        <x:v>Kernel Coffee</x:v>
      </x:c>
      <x:c r="B558" t="str">
        <x:v>Ürün kaydı</x:v>
      </x:c>
      <x:c r="C558" t="str">
        <x:v>El Salvador Altamira</x:v>
      </x:c>
      <x:c r="D558" t="str">
        <x:v>El Salvador</x:v>
      </x:c>
      <x:c r="E558" s="1" t="str">
        <x:v>Erişilemedi</x:v>
      </x:c>
      <x:c r="F558" s="2" t="n">
        <x:v>1000</x:v>
      </x:c>
      <x:c r="G558" t="str">
        <x:v>Gramaj</x:v>
      </x:c>
      <x:c r="H558" t="str">
        <x:v>Site haritası ürün sayfası</x:v>
      </x:c>
      <x:c r="I558" s="28" t="str">
        <x:v>https://kernelcoffee.co/el-salvador-altamira</x:v>
      </x:c>
      <x:c r="J558" s="28" t="str">
        <x:v>Ürün kimliği korundu; eksik alanlar erişilemedi olarak işaretlenecek.</x:v>
      </x:c>
    </x:row>
    <x:row r="559">
      <x:c r="A559" t="str">
        <x:v>Kernel Coffee</x:v>
      </x:c>
      <x:c r="B559" t="str">
        <x:v>Ürün kaydı</x:v>
      </x:c>
      <x:c r="C559" t="str">
        <x:v>Etiyopya Konga</x:v>
      </x:c>
      <x:c r="D559" t="str">
        <x:v>Etiyopya</x:v>
      </x:c>
      <x:c r="E559" s="1" t="str">
        <x:v>Erişilemedi</x:v>
      </x:c>
      <x:c r="F559" s="2" t="n">
        <x:v>1000</x:v>
      </x:c>
      <x:c r="G559" t="str">
        <x:v>Gramaj</x:v>
      </x:c>
      <x:c r="H559" t="str">
        <x:v>Site haritası ürün sayfası</x:v>
      </x:c>
      <x:c r="I559" s="28" t="str">
        <x:v>https://kernelcoffee.co/etiyopya-konga</x:v>
      </x:c>
      <x:c r="J559" s="28" t="str">
        <x:v>Ürün kimliği korundu; eksik alanlar erişilemedi olarak işaretlenecek.</x:v>
      </x:c>
    </x:row>
    <x:row r="560">
      <x:c r="A560" t="str">
        <x:v>Kernel Coffee</x:v>
      </x:c>
      <x:c r="B560" t="str">
        <x:v>Ürün kaydı</x:v>
      </x:c>
      <x:c r="C560" t="str">
        <x:v>Kolombiya Carambolo</x:v>
      </x:c>
      <x:c r="D560" t="str">
        <x:v>Kolombiya</x:v>
      </x:c>
      <x:c r="E560" s="1" t="str">
        <x:v>Erişilemedi</x:v>
      </x:c>
      <x:c r="F560" s="2" t="n">
        <x:v>1000</x:v>
      </x:c>
      <x:c r="G560" t="str">
        <x:v>Gramaj</x:v>
      </x:c>
      <x:c r="H560" t="str">
        <x:v>Site haritası ürün sayfası</x:v>
      </x:c>
      <x:c r="I560" s="28" t="str">
        <x:v>https://kernelcoffee.co/kolombiya-carambolo</x:v>
      </x:c>
      <x:c r="J560" s="28" t="str">
        <x:v>Ürün kimliği korundu; eksik alanlar erişilemedi olarak işaretlenecek.</x:v>
      </x:c>
    </x:row>
    <x:row r="561">
      <x:c r="A561" t="str">
        <x:v>Kernel Coffee</x:v>
      </x:c>
      <x:c r="B561" t="str">
        <x:v>Ürün kaydı</x:v>
      </x:c>
      <x:c r="C561" t="str">
        <x:v>Kolombiya Galeras</x:v>
      </x:c>
      <x:c r="D561" t="str">
        <x:v>Kolombiya</x:v>
      </x:c>
      <x:c r="E561" s="1" t="str">
        <x:v>Erişilemedi</x:v>
      </x:c>
      <x:c r="F561" s="2" t="n">
        <x:v>1000</x:v>
      </x:c>
      <x:c r="G561" t="str">
        <x:v>Gramaj</x:v>
      </x:c>
      <x:c r="H561" t="str">
        <x:v>Site haritası ürün sayfası</x:v>
      </x:c>
      <x:c r="I561" s="28" t="str">
        <x:v>https://kernelcoffee.co/kolombiya-garelas</x:v>
      </x:c>
      <x:c r="J561" s="28" t="str">
        <x:v>Ürün kimliği korundu; eksik alanlar erişilemedi olarak işaretlenecek.</x:v>
      </x:c>
    </x:row>
    <x:row r="562">
      <x:c r="A562" t="str">
        <x:v>Kernel Coffee</x:v>
      </x:c>
      <x:c r="B562" t="str">
        <x:v>Ürün kaydı</x:v>
      </x:c>
      <x:c r="C562" t="str">
        <x:v>Kolombiya Opal Geisha</x:v>
      </x:c>
      <x:c r="D562" t="str">
        <x:v>Kolombiya</x:v>
      </x:c>
      <x:c r="E562" s="1" t="str">
        <x:v>Erişilemedi</x:v>
      </x:c>
      <x:c r="F562" s="2" t="n">
        <x:v>1000</x:v>
      </x:c>
      <x:c r="G562" t="str">
        <x:v>Gramaj</x:v>
      </x:c>
      <x:c r="H562" t="str">
        <x:v>Site haritası ürün sayfası</x:v>
      </x:c>
      <x:c r="I562" s="28" t="str">
        <x:v>https://kernelcoffee.co/kolombiya-opal-geisha</x:v>
      </x:c>
      <x:c r="J562" s="28" t="str">
        <x:v>Ürün kimliği korundu; eksik alanlar erişilemedi olarak işaretlenecek.</x:v>
      </x:c>
    </x:row>
    <x:row r="563">
      <x:c r="A563" t="str">
        <x:v>Khaldi Coffee</x:v>
      </x:c>
      <x:c r="B563" t="str">
        <x:v>Katalog takip kaydı</x:v>
      </x:c>
      <x:c r="C563" t="str">
        <x:v>Ürün kataloğu — ayrıntılı ürün verisine erişilemedi</x:v>
      </x:c>
      <x:c r="D563" t="str">
        <x:v>Erişilemedi</x:v>
      </x:c>
      <x:c r="E563" s="1" t="str">
        <x:v>Erişilemedi</x:v>
      </x:c>
      <x:c r="F563" s="2" t="str">
        <x:v>Erişilemedi</x:v>
      </x:c>
      <x:c r="G563" t="str">
        <x:v>Gramaj + fiyat</x:v>
      </x:c>
      <x:c r="H563" t="str">
        <x:v>Instagram veya mevcut kaynak</x:v>
      </x:c>
      <x:c r="I563" s="28" t="str">
        <x:v>Erişilemedi</x:v>
      </x:c>
      <x:c r="J563" s="28" t="str">
        <x:v>Ürün adı, gramaj ve fiyat birlikte çıkarılamadı. Bağlantı manuel inceleme için korundu.</x:v>
      </x:c>
    </x:row>
    <x:row r="564">
      <x:c r="A564" t="str">
        <x:v>Kilin Coffee</x:v>
      </x:c>
      <x:c r="B564" t="str">
        <x:v>Katalog takip kaydı</x:v>
      </x:c>
      <x:c r="C564" t="str">
        <x:v>Ürün kataloğu — ayrıntılı ürün verisine erişilemedi</x:v>
      </x:c>
      <x:c r="D564" t="str">
        <x:v>Erişilemedi</x:v>
      </x:c>
      <x:c r="E564" s="1" t="str">
        <x:v>Erişilemedi</x:v>
      </x:c>
      <x:c r="F564" s="2" t="str">
        <x:v>Erişilemedi</x:v>
      </x:c>
      <x:c r="G564" t="str">
        <x:v>Gramaj + fiyat</x:v>
      </x:c>
      <x:c r="H564" t="str">
        <x:v>Instagram veya mevcut kaynak</x:v>
      </x:c>
      <x:c r="I564" s="28" t="str">
        <x:v>Erişilemedi</x:v>
      </x:c>
      <x:c r="J564" s="28" t="str">
        <x:v>Ürün adı, gramaj ve fiyat birlikte çıkarılamadı. Bağlantı manuel inceleme için korundu.</x:v>
      </x:c>
    </x:row>
    <x:row r="565">
      <x:c r="A565" t="str">
        <x:v>Kocatepe Kahve Evi</x:v>
      </x:c>
      <x:c r="B565" t="str">
        <x:v>Ürün kaydı</x:v>
      </x:c>
      <x:c r="C565" t="str">
        <x:v>Brasil Santos Kahve 250 Gr</x:v>
      </x:c>
      <x:c r="D565" t="str">
        <x:v>Brezilya</x:v>
      </x:c>
      <x:c r="E565" s="1" t="n">
        <x:v>250</x:v>
      </x:c>
      <x:c r="F565" s="2" t="n">
        <x:v>0</x:v>
      </x:c>
      <x:c r="G565" t="str">
        <x:v>Fiyat</x:v>
      </x:c>
      <x:c r="H565" t="str">
        <x:v>Site haritası ürün sayfası</x:v>
      </x:c>
      <x:c r="I565" s="28" t="str">
        <x:v>https://www.kocatepekahveevi.com.tr/brasil-santos-kahve-250-gr</x:v>
      </x:c>
      <x:c r="J565" s="28" t="str">
        <x:v>Ürün kimliği korundu; eksik alanlar erişilemedi olarak işaretlenecek.</x:v>
      </x:c>
    </x:row>
    <x:row r="566">
      <x:c r="A566" t="str">
        <x:v>Kocatepe Kahve Evi</x:v>
      </x:c>
      <x:c r="B566" t="str">
        <x:v>Ürün kaydı</x:v>
      </x:c>
      <x:c r="C566" t="str">
        <x:v>Colombia Hulia Kahve 250 Gr</x:v>
      </x:c>
      <x:c r="D566" t="str">
        <x:v>Kolombiya</x:v>
      </x:c>
      <x:c r="E566" s="1" t="n">
        <x:v>250</x:v>
      </x:c>
      <x:c r="F566" s="2" t="n">
        <x:v>0</x:v>
      </x:c>
      <x:c r="G566" t="str">
        <x:v>Fiyat</x:v>
      </x:c>
      <x:c r="H566" t="str">
        <x:v>Site haritası ürün sayfası</x:v>
      </x:c>
      <x:c r="I566" s="28" t="str">
        <x:v>https://www.kocatepekahveevi.com.tr/colombia-hulia-kahve-250-gr</x:v>
      </x:c>
      <x:c r="J566" s="28" t="str">
        <x:v>Ürün kimliği korundu; eksik alanlar erişilemedi olarak işaretlenecek.</x:v>
      </x:c>
    </x:row>
    <x:row r="567">
      <x:c r="A567" t="str">
        <x:v>Kocatepe Kahve Evi</x:v>
      </x:c>
      <x:c r="B567" t="str">
        <x:v>Ürün kaydı</x:v>
      </x:c>
      <x:c r="C567" t="str">
        <x:v>CR Espresso Blend 1000 Gr (Horeca)</x:v>
      </x:c>
      <x:c r="D567" t="str">
        <x:v>Harman – menşe belirtilmemiş</x:v>
      </x:c>
      <x:c r="E567" s="1" t="n">
        <x:v>1000</x:v>
      </x:c>
      <x:c r="F567" s="2" t="n">
        <x:v>0</x:v>
      </x:c>
      <x:c r="G567" t="str">
        <x:v>Fiyat</x:v>
      </x:c>
      <x:c r="H567" t="str">
        <x:v>Site haritası ürün sayfası</x:v>
      </x:c>
      <x:c r="I567" s="28" t="str">
        <x:v>https://www.kocatepekahveevi.com.tr/cekirdek-kahve-espresso-blend-1000-gr-horeca</x:v>
      </x:c>
      <x:c r="J567" s="28" t="str">
        <x:v>Ürün kimliği korundu; eksik alanlar erişilemedi olarak işaretlenecek.</x:v>
      </x:c>
    </x:row>
    <x:row r="568">
      <x:c r="A568" t="str">
        <x:v>Kocatepe Kahve Evi</x:v>
      </x:c>
      <x:c r="B568" t="str">
        <x:v>Ürün kaydı</x:v>
      </x:c>
      <x:c r="C568" t="str">
        <x:v>CR Espresso Premium 1 Kg</x:v>
      </x:c>
      <x:c r="D568" t="str">
        <x:v>Menşe belirtilmemiş</x:v>
      </x:c>
      <x:c r="E568" s="1" t="n">
        <x:v>1000</x:v>
      </x:c>
      <x:c r="F568" s="2" t="n">
        <x:v>0</x:v>
      </x:c>
      <x:c r="G568" t="str">
        <x:v>Fiyat</x:v>
      </x:c>
      <x:c r="H568" t="str">
        <x:v>Site haritası ürün sayfası</x:v>
      </x:c>
      <x:c r="I568" s="28" t="str">
        <x:v>https://www.kocatepekahveevi.com.tr/cekirdek-kahve-espresso-premium-1-kg</x:v>
      </x:c>
      <x:c r="J568" s="28" t="str">
        <x:v>Ürün kimliği korundu; eksik alanlar erişilemedi olarak işaretlenecek.</x:v>
      </x:c>
    </x:row>
    <x:row r="569">
      <x:c r="A569" t="str">
        <x:v>Kocatepe Kahve Evi</x:v>
      </x:c>
      <x:c r="B569" t="str">
        <x:v>Ürün kaydı</x:v>
      </x:c>
      <x:c r="C569" t="str">
        <x:v>CR Özel Harman Filtre Kahve 1 Kg</x:v>
      </x:c>
      <x:c r="D569" t="str">
        <x:v>Harman – menşe belirtilmemiş</x:v>
      </x:c>
      <x:c r="E569" s="1" t="n">
        <x:v>1000</x:v>
      </x:c>
      <x:c r="F569" s="2" t="n">
        <x:v>0</x:v>
      </x:c>
      <x:c r="G569" t="str">
        <x:v>Fiyat</x:v>
      </x:c>
      <x:c r="H569" t="str">
        <x:v>Site haritası ürün sayfası</x:v>
      </x:c>
      <x:c r="I569" s="28" t="str">
        <x:v>https://www.kocatepekahveevi.com.tr/cekirdek-kahve-ozel-harman-filtre-kahve-1-kg</x:v>
      </x:c>
      <x:c r="J569" s="28" t="str">
        <x:v>Ürün kimliği korundu; eksik alanlar erişilemedi olarak işaretlenecek.</x:v>
      </x:c>
    </x:row>
    <x:row r="570">
      <x:c r="A570" t="str">
        <x:v>Kocatepe Kahve Evi</x:v>
      </x:c>
      <x:c r="B570" t="str">
        <x:v>Ürün kaydı</x:v>
      </x:c>
      <x:c r="C570" t="str">
        <x:v>CR Türk Kahvesi Geleneksel 5 Kg (Çekirdek)</x:v>
      </x:c>
      <x:c r="D570" t="str">
        <x:v>Menşe belirtilmemiş</x:v>
      </x:c>
      <x:c r="E570" s="1" t="n">
        <x:v>5000</x:v>
      </x:c>
      <x:c r="F570" s="2" t="n">
        <x:v>0</x:v>
      </x:c>
      <x:c r="G570" t="str">
        <x:v>Fiyat</x:v>
      </x:c>
      <x:c r="H570" t="str">
        <x:v>Site haritası ürün sayfası</x:v>
      </x:c>
      <x:c r="I570" s="28" t="str">
        <x:v>https://www.kocatepekahveevi.com.tr/turk-kahvesi-geleneksel-5-kg-cekirdek1</x:v>
      </x:c>
      <x:c r="J570" s="28" t="str">
        <x:v>Ürün kimliği korundu; eksik alanlar erişilemedi olarak işaretlenecek.</x:v>
      </x:c>
    </x:row>
    <x:row r="571">
      <x:c r="A571" t="str">
        <x:v>Kocatepe Kahve Evi</x:v>
      </x:c>
      <x:c r="B571" t="str">
        <x:v>Ürün kaydı</x:v>
      </x:c>
      <x:c r="C571" t="str">
        <x:v>Decaf(Kafeinsiz)-Filtre Kahve 250 gr</x:v>
      </x:c>
      <x:c r="D571" t="str">
        <x:v>Menşe belirtilmemiş</x:v>
      </x:c>
      <x:c r="E571" s="1" t="n">
        <x:v>250</x:v>
      </x:c>
      <x:c r="F571" s="2" t="n">
        <x:v>0</x:v>
      </x:c>
      <x:c r="G571" t="str">
        <x:v>Fiyat</x:v>
      </x:c>
      <x:c r="H571" t="str">
        <x:v>Site haritası ürün sayfası</x:v>
      </x:c>
      <x:c r="I571" s="28" t="str">
        <x:v>https://www.kocatepekahveevi.com.tr/decafkafeinsiz-filtre-kahve-250-gr</x:v>
      </x:c>
      <x:c r="J571" s="28" t="str">
        <x:v>Ürün kimliği korundu; eksik alanlar erişilemedi olarak işaretlenecek.</x:v>
      </x:c>
    </x:row>
    <x:row r="572">
      <x:c r="A572" t="str">
        <x:v>Kocatepe Kahve Evi</x:v>
      </x:c>
      <x:c r="B572" t="str">
        <x:v>Ürün kaydı</x:v>
      </x:c>
      <x:c r="C572" t="str">
        <x:v>Filtre Kahve 1000 Gr (HORECA)</x:v>
      </x:c>
      <x:c r="D572" t="str">
        <x:v>Menşe belirtilmemiş</x:v>
      </x:c>
      <x:c r="E572" s="1" t="n">
        <x:v>1000</x:v>
      </x:c>
      <x:c r="F572" s="2" t="n">
        <x:v>0</x:v>
      </x:c>
      <x:c r="G572" t="str">
        <x:v>Fiyat</x:v>
      </x:c>
      <x:c r="H572" t="str">
        <x:v>Site haritası ürün sayfası</x:v>
      </x:c>
      <x:c r="I572" s="28" t="str">
        <x:v>https://www.kocatepekahveevi.com.tr/filtre-kahve-1000-gr-horeca</x:v>
      </x:c>
      <x:c r="J572" s="28" t="str">
        <x:v>Ürün kimliği korundu; eksik alanlar erişilemedi olarak işaretlenecek.</x:v>
      </x:c>
    </x:row>
    <x:row r="573">
      <x:c r="A573" t="str">
        <x:v>Kocatepe Kahve Evi</x:v>
      </x:c>
      <x:c r="B573" t="str">
        <x:v>Ürün kaydı</x:v>
      </x:c>
      <x:c r="C573" t="str">
        <x:v>Guetemala Antigua Kahve 250 Gr</x:v>
      </x:c>
      <x:c r="D573" t="str">
        <x:v>Guatemala</x:v>
      </x:c>
      <x:c r="E573" s="1" t="n">
        <x:v>250</x:v>
      </x:c>
      <x:c r="F573" s="2" t="n">
        <x:v>0</x:v>
      </x:c>
      <x:c r="G573" t="str">
        <x:v>Fiyat</x:v>
      </x:c>
      <x:c r="H573" t="str">
        <x:v>Site haritası ürün sayfası</x:v>
      </x:c>
      <x:c r="I573" s="28" t="str">
        <x:v>https://www.kocatepekahveevi.com.tr/guetemala-antigua-kahve-250-gr</x:v>
      </x:c>
      <x:c r="J573" s="28" t="str">
        <x:v>Ürün kimliği korundu; eksik alanlar erişilemedi olarak işaretlenecek.</x:v>
      </x:c>
    </x:row>
    <x:row r="574">
      <x:c r="A574" t="str">
        <x:v>Kocatepe Kahve Evi</x:v>
      </x:c>
      <x:c r="B574" t="str">
        <x:v>Ürün kaydı</x:v>
      </x:c>
      <x:c r="C574" t="str">
        <x:v>KA BROWN MİX KAHVERENGİ MUKAVVA KUTU</x:v>
      </x:c>
      <x:c r="D574" t="str">
        <x:v>Menşe belirtilmemiş</x:v>
      </x:c>
      <x:c r="E574" s="1" t="str">
        <x:v>Erişilemedi</x:v>
      </x:c>
      <x:c r="F574" s="2" t="n">
        <x:v>0</x:v>
      </x:c>
      <x:c r="G574" t="str">
        <x:v>Gramaj + fiyat</x:v>
      </x:c>
      <x:c r="H574" t="str">
        <x:v>Site haritası ürün sayfası</x:v>
      </x:c>
      <x:c r="I574" s="28" t="str">
        <x:v>https://www.kocatepekahveevi.com.tr/22x17.5x4-ustten-gecme-mukavva-kutu</x:v>
      </x:c>
      <x:c r="J574" s="28" t="str">
        <x:v>Ürün kimliği korundu; eksik alanlar erişilemedi olarak işaretlenecek.</x:v>
      </x:c>
    </x:row>
    <x:row r="575">
      <x:c r="A575" t="str">
        <x:v>Kocatepe Kahve Evi</x:v>
      </x:c>
      <x:c r="B575" t="str">
        <x:v>Ürün kaydı</x:v>
      </x:c>
      <x:c r="C575" t="str">
        <x:v>Kenia AA Kahve 250 Gr</x:v>
      </x:c>
      <x:c r="D575" t="str">
        <x:v>Kenya</x:v>
      </x:c>
      <x:c r="E575" s="1" t="n">
        <x:v>250</x:v>
      </x:c>
      <x:c r="F575" s="2" t="n">
        <x:v>0</x:v>
      </x:c>
      <x:c r="G575" t="str">
        <x:v>Fiyat</x:v>
      </x:c>
      <x:c r="H575" t="str">
        <x:v>Site haritası ürün sayfası</x:v>
      </x:c>
      <x:c r="I575" s="28" t="str">
        <x:v>https://www.kocatepekahveevi.com.tr/kenia-aa-kahve-250-gr</x:v>
      </x:c>
      <x:c r="J575" s="28" t="str">
        <x:v>Ürün kimliği korundu; eksik alanlar erişilemedi olarak işaretlenecek.</x:v>
      </x:c>
    </x:row>
    <x:row r="576">
      <x:c r="A576" t="str">
        <x:v>Kocatepe Kahve Evi</x:v>
      </x:c>
      <x:c r="B576" t="str">
        <x:v>Ürün kaydı</x:v>
      </x:c>
      <x:c r="C576" t="str">
        <x:v>Sıcak Çikolata 350 Gr</x:v>
      </x:c>
      <x:c r="D576" t="str">
        <x:v>Menşe belirtilmemiş</x:v>
      </x:c>
      <x:c r="E576" s="1" t="n">
        <x:v>350</x:v>
      </x:c>
      <x:c r="F576" s="2" t="n">
        <x:v>0</x:v>
      </x:c>
      <x:c r="G576" t="str">
        <x:v>Fiyat</x:v>
      </x:c>
      <x:c r="H576" t="str">
        <x:v>Site haritası ürün sayfası</x:v>
      </x:c>
      <x:c r="I576" s="28" t="str">
        <x:v>https://www.kocatepekahveevi.com.tr/sicak-cikolata-350-gr</x:v>
      </x:c>
      <x:c r="J576" s="28" t="str">
        <x:v>Ürün kimliği korundu; eksik alanlar erişilemedi olarak işaretlenecek.</x:v>
      </x:c>
    </x:row>
    <x:row r="577">
      <x:c r="A577" t="str">
        <x:v>Kocatepe Kahve Evi</x:v>
      </x:c>
      <x:c r="B577" t="str">
        <x:v>Ürün kaydı</x:v>
      </x:c>
      <x:c r="C577" t="str">
        <x:v>Türk Kahvesi Damla Sakızlı 100 Gr</x:v>
      </x:c>
      <x:c r="D577" t="str">
        <x:v>Menşe belirtilmemiş</x:v>
      </x:c>
      <x:c r="E577" s="1" t="n">
        <x:v>100</x:v>
      </x:c>
      <x:c r="F577" s="2" t="n">
        <x:v>0</x:v>
      </x:c>
      <x:c r="G577" t="str">
        <x:v>Fiyat</x:v>
      </x:c>
      <x:c r="H577" t="str">
        <x:v>Site haritası ürün sayfası</x:v>
      </x:c>
      <x:c r="I577" s="28" t="str">
        <x:v>https://www.kocatepekahveevi.com.tr/turk-kahvesi-damla-sakizli-100-gr</x:v>
      </x:c>
      <x:c r="J577" s="28" t="str">
        <x:v>Ürün kimliği korundu; eksik alanlar erişilemedi olarak işaretlenecek.</x:v>
      </x:c>
    </x:row>
    <x:row r="578">
      <x:c r="A578" t="str">
        <x:v>Kocatepe Kahve Evi</x:v>
      </x:c>
      <x:c r="B578" t="str">
        <x:v>Ürün kaydı</x:v>
      </x:c>
      <x:c r="C578" t="str">
        <x:v>Türk Kahvesi Geleneksel 100 Gr</x:v>
      </x:c>
      <x:c r="D578" t="str">
        <x:v>Menşe belirtilmemiş</x:v>
      </x:c>
      <x:c r="E578" s="1" t="n">
        <x:v>100</x:v>
      </x:c>
      <x:c r="F578" s="2" t="n">
        <x:v>0</x:v>
      </x:c>
      <x:c r="G578" t="str">
        <x:v>Fiyat</x:v>
      </x:c>
      <x:c r="H578" t="str">
        <x:v>Site haritası ürün sayfası</x:v>
      </x:c>
      <x:c r="I578" s="28" t="str">
        <x:v>https://www.kocatepekahveevi.com.tr/turk-kahvesi-geleneksel-100-gr</x:v>
      </x:c>
      <x:c r="J578" s="28" t="str">
        <x:v>Ürün kimliği korundu; eksik alanlar erişilemedi olarak işaretlenecek.</x:v>
      </x:c>
    </x:row>
    <x:row r="579">
      <x:c r="A579" t="str">
        <x:v>Kocatepe Kahve Evi</x:v>
      </x:c>
      <x:c r="B579" t="str">
        <x:v>Ürün kaydı</x:v>
      </x:c>
      <x:c r="C579" t="str">
        <x:v>Türk Kahvesi Gurme 100 Gr</x:v>
      </x:c>
      <x:c r="D579" t="str">
        <x:v>Menşe belirtilmemiş</x:v>
      </x:c>
      <x:c r="E579" s="1" t="n">
        <x:v>100</x:v>
      </x:c>
      <x:c r="F579" s="2" t="n">
        <x:v>0</x:v>
      </x:c>
      <x:c r="G579" t="str">
        <x:v>Fiyat</x:v>
      </x:c>
      <x:c r="H579" t="str">
        <x:v>Site haritası ürün sayfası</x:v>
      </x:c>
      <x:c r="I579" s="28" t="str">
        <x:v>https://www.kocatepekahveevi.com.tr/turk-kahvesi-gurme-100-gr</x:v>
      </x:c>
      <x:c r="J579" s="28" t="str">
        <x:v>Ürün kimliği korundu; eksik alanlar erişilemedi olarak işaretlenecek.</x:v>
      </x:c>
    </x:row>
    <x:row r="580">
      <x:c r="A580" t="str">
        <x:v>Kocatepe Kahve Evi</x:v>
      </x:c>
      <x:c r="B580" t="str">
        <x:v>Ürün kaydı</x:v>
      </x:c>
      <x:c r="C580" t="str">
        <x:v>Türk Kahvesi HORECA 1 Kg (Öğütülmüş)</x:v>
      </x:c>
      <x:c r="D580" t="str">
        <x:v>Menşe belirtilmemiş</x:v>
      </x:c>
      <x:c r="E580" s="1" t="n">
        <x:v>1000</x:v>
      </x:c>
      <x:c r="F580" s="2" t="n">
        <x:v>0</x:v>
      </x:c>
      <x:c r="G580" t="str">
        <x:v>Fiyat</x:v>
      </x:c>
      <x:c r="H580" t="str">
        <x:v>Site haritası ürün sayfası</x:v>
      </x:c>
      <x:c r="I580" s="28" t="str">
        <x:v>https://www.kocatepekahveevi.com.tr/turk-kahvesi-horeca-1-kg-ogutulmus</x:v>
      </x:c>
      <x:c r="J580" s="28" t="str">
        <x:v>Ürün kimliği korundu; eksik alanlar erişilemedi olarak işaretlenecek.</x:v>
      </x:c>
    </x:row>
    <x:row r="581">
      <x:c r="A581" t="str">
        <x:v>Kocatepe Kahve Evi</x:v>
      </x:c>
      <x:c r="B581" t="str">
        <x:v>Ürün kaydı</x:v>
      </x:c>
      <x:c r="C581" t="str">
        <x:v>Türk Kahvesi Saraylı 250 Gr</x:v>
      </x:c>
      <x:c r="D581" t="str">
        <x:v>Menşe belirtilmemiş</x:v>
      </x:c>
      <x:c r="E581" s="1" t="n">
        <x:v>250</x:v>
      </x:c>
      <x:c r="F581" s="2" t="n">
        <x:v>0</x:v>
      </x:c>
      <x:c r="G581" t="str">
        <x:v>Fiyat</x:v>
      </x:c>
      <x:c r="H581" t="str">
        <x:v>Site haritası ürün sayfası</x:v>
      </x:c>
      <x:c r="I581" s="28" t="str">
        <x:v>https://www.kocatepekahveevi.com.tr/turk-kahvesi-sarayli-250-gr</x:v>
      </x:c>
      <x:c r="J581" s="28" t="str">
        <x:v>Ürün kimliği korundu; eksik alanlar erişilemedi olarak işaretlenecek.</x:v>
      </x:c>
    </x:row>
    <x:row r="582">
      <x:c r="A582" t="str">
        <x:v>KREA Kahve</x:v>
      </x:c>
      <x:c r="B582" t="str">
        <x:v>Katalog takip kaydı</x:v>
      </x:c>
      <x:c r="C582" t="str">
        <x:v>Ürün kataloğu — ayrıntılı ürün verisine erişilemedi</x:v>
      </x:c>
      <x:c r="D582" t="str">
        <x:v>Erişilemedi</x:v>
      </x:c>
      <x:c r="E582" s="1" t="str">
        <x:v>Erişilemedi</x:v>
      </x:c>
      <x:c r="F582" s="2" t="str">
        <x:v>Erişilemedi</x:v>
      </x:c>
      <x:c r="G582" t="str">
        <x:v>Gramaj + fiyat</x:v>
      </x:c>
      <x:c r="H582" t="str">
        <x:v>Instagram veya mevcut kaynak</x:v>
      </x:c>
      <x:c r="I582" s="28" t="str">
        <x:v>Erişilemedi</x:v>
      </x:c>
      <x:c r="J582" s="28" t="str">
        <x:v>Ürün adı, gramaj ve fiyat birlikte çıkarılamadı. Bağlantı manuel inceleme için korundu.</x:v>
      </x:c>
    </x:row>
    <x:row r="583">
      <x:c r="A583" t="str">
        <x:v>Kronotrop</x:v>
      </x:c>
      <x:c r="B583" t="str">
        <x:v>Katalog takip kaydı</x:v>
      </x:c>
      <x:c r="C583" t="str">
        <x:v>Ürün kataloğu — ayrıntılı ürün verisine erişilemedi</x:v>
      </x:c>
      <x:c r="D583" t="str">
        <x:v>Erişilemedi</x:v>
      </x:c>
      <x:c r="E583" s="1" t="str">
        <x:v>Erişilemedi</x:v>
      </x:c>
      <x:c r="F583" s="2" t="str">
        <x:v>Erişilemedi</x:v>
      </x:c>
      <x:c r="G583" t="str">
        <x:v>Gramaj + fiyat</x:v>
      </x:c>
      <x:c r="H583" t="str">
        <x:v>Mağaza/katalog bağlantısı</x:v>
      </x:c>
      <x:c r="I583" s="28" t="str">
        <x:v>https://www.kronotrop.com.tr/</x:v>
      </x:c>
      <x:c r="J583" s="28" t="str">
        <x:v>Ürün adı, gramaj ve fiyat birlikte çıkarılamadı. Bağlantı manuel inceleme için korundu.</x:v>
      </x:c>
    </x:row>
    <x:row r="584">
      <x:c r="A584" t="str">
        <x:v>Kumo Coffee</x:v>
      </x:c>
      <x:c r="B584" t="str">
        <x:v>Katalog takip kaydı</x:v>
      </x:c>
      <x:c r="C584" t="str">
        <x:v>Ürün kataloğu — ayrıntılı ürün verisine erişilemedi</x:v>
      </x:c>
      <x:c r="D584" t="str">
        <x:v>Erişilemedi</x:v>
      </x:c>
      <x:c r="E584" s="1" t="str">
        <x:v>Erişilemedi</x:v>
      </x:c>
      <x:c r="F584" s="2" t="str">
        <x:v>Erişilemedi</x:v>
      </x:c>
      <x:c r="G584" t="str">
        <x:v>Gramaj + fiyat</x:v>
      </x:c>
      <x:c r="H584" t="str">
        <x:v>Instagram veya mevcut kaynak</x:v>
      </x:c>
      <x:c r="I584" s="28" t="str">
        <x:v>Erişilemedi</x:v>
      </x:c>
      <x:c r="J584" s="28" t="str">
        <x:v>Ürün adı, gramaj ve fiyat birlikte çıkarılamadı. Bağlantı manuel inceleme için korundu.</x:v>
      </x:c>
    </x:row>
    <x:row r="585">
      <x:c r="A585" t="str">
        <x:v>Kurukahveci Mehmet Efendi</x:v>
      </x:c>
      <x:c r="B585" t="str">
        <x:v>Ürün kaydı</x:v>
      </x:c>
      <x:c r="C585" t="str">
        <x:v>ALMANYA’DA</x:v>
      </x:c>
      <x:c r="D585" t="str">
        <x:v>Menşe belirtilmemiş</x:v>
      </x:c>
      <x:c r="E585" s="1" t="str">
        <x:v>Erişilemedi</x:v>
      </x:c>
      <x:c r="F585" s="2" t="str">
        <x:v>Erişilemedi</x:v>
      </x:c>
      <x:c r="G585" t="str">
        <x:v>Gramaj + fiyat</x:v>
      </x:c>
      <x:c r="H585" t="str">
        <x:v>Site haritası ürün sayfası</x:v>
      </x:c>
      <x:c r="I585" s="28" t="str">
        <x:v>https://www.mehmetefendi.com/kahve-ve-tarihi/kahvenin-tarihsel-yolculugu/almanya-da</x:v>
      </x:c>
      <x:c r="J585" s="28" t="str">
        <x:v>Ürün kimliği korundu; eksik alanlar erişilemedi olarak işaretlenecek.</x:v>
      </x:c>
    </x:row>
    <x:row r="586">
      <x:c r="A586" t="str">
        <x:v>Kurukahveci Mehmet Efendi</x:v>
      </x:c>
      <x:c r="B586" t="str">
        <x:v>Ürün kaydı</x:v>
      </x:c>
      <x:c r="C586" t="str">
        <x:v>AMERİKA KITASI’NDA</x:v>
      </x:c>
      <x:c r="D586" t="str">
        <x:v>Brezilya</x:v>
      </x:c>
      <x:c r="E586" s="1" t="str">
        <x:v>Erişilemedi</x:v>
      </x:c>
      <x:c r="F586" s="2" t="str">
        <x:v>Erişilemedi</x:v>
      </x:c>
      <x:c r="G586" t="str">
        <x:v>Gramaj + fiyat</x:v>
      </x:c>
      <x:c r="H586" t="str">
        <x:v>Site haritası ürün sayfası</x:v>
      </x:c>
      <x:c r="I586" s="28" t="str">
        <x:v>https://www.mehmetefendi.com/kahve-ve-tarihi/kahvenin-tarihsel-yolculugu/amerika-kitasi-nda</x:v>
      </x:c>
      <x:c r="J586" s="28" t="str">
        <x:v>Ürün kimliği korundu; eksik alanlar erişilemedi olarak işaretlenecek.</x:v>
      </x:c>
    </x:row>
    <x:row r="587">
      <x:c r="A587" t="str">
        <x:v>Kurukahveci Mehmet Efendi</x:v>
      </x:c>
      <x:c r="B587" t="str">
        <x:v>Ürün kaydı</x:v>
      </x:c>
      <x:c r="C587" t="str">
        <x:v>COFFEE CULTURE</x:v>
      </x:c>
      <x:c r="D587" t="str">
        <x:v>Menşe belirtilmemiş</x:v>
      </x:c>
      <x:c r="E587" s="1" t="str">
        <x:v>Erişilemedi</x:v>
      </x:c>
      <x:c r="F587" s="2" t="str">
        <x:v>Erişilemedi</x:v>
      </x:c>
      <x:c r="G587" t="str">
        <x:v>Gramaj + fiyat</x:v>
      </x:c>
      <x:c r="H587" t="str">
        <x:v>Site haritası ürün sayfası</x:v>
      </x:c>
      <x:c r="I587" s="28" t="str">
        <x:v>https://www.mehmetefendi.com/eng/coffee-culture</x:v>
      </x:c>
      <x:c r="J587" s="28" t="str">
        <x:v>Ürün kimliği korundu; eksik alanlar erişilemedi olarak işaretlenecek.</x:v>
      </x:c>
    </x:row>
    <x:row r="588">
      <x:c r="A588" t="str">
        <x:v>Kurukahveci Mehmet Efendi</x:v>
      </x:c>
      <x:c r="B588" t="str">
        <x:v>Ürün kaydı</x:v>
      </x:c>
      <x:c r="C588" t="str">
        <x:v>ESPRESSO</x:v>
      </x:c>
      <x:c r="D588" t="str">
        <x:v>Harman – menşe belirtilmemiş</x:v>
      </x:c>
      <x:c r="E588" s="1" t="str">
        <x:v>Erişilemedi</x:v>
      </x:c>
      <x:c r="F588" s="2" t="str">
        <x:v>Erişilemedi</x:v>
      </x:c>
      <x:c r="G588" t="str">
        <x:v>Gramaj + fiyat</x:v>
      </x:c>
      <x:c r="H588" t="str">
        <x:v>Site haritası ürün sayfası</x:v>
      </x:c>
      <x:c r="I588" s="28" t="str">
        <x:v>https://www.mehmetefendi.com/urunler/espresso</x:v>
      </x:c>
      <x:c r="J588" s="28" t="str">
        <x:v>Ürün kimliği korundu; eksik alanlar erişilemedi olarak işaretlenecek.</x:v>
      </x:c>
    </x:row>
    <x:row r="589">
      <x:c r="A589" t="str">
        <x:v>Kurukahveci Mehmet Efendi</x:v>
      </x:c>
      <x:c r="B589" t="str">
        <x:v>Ürün kaydı</x:v>
      </x:c>
      <x:c r="C589" t="str">
        <x:v>EXPORT PACKS</x:v>
      </x:c>
      <x:c r="D589" t="str">
        <x:v>Menşe belirtilmemiş</x:v>
      </x:c>
      <x:c r="E589" s="1" t="str">
        <x:v>Erişilemedi</x:v>
      </x:c>
      <x:c r="F589" s="2" t="str">
        <x:v>Erişilemedi</x:v>
      </x:c>
      <x:c r="G589" t="str">
        <x:v>Gramaj + fiyat</x:v>
      </x:c>
      <x:c r="H589" t="str">
        <x:v>Site haritası ürün sayfası</x:v>
      </x:c>
      <x:c r="I589" s="28" t="str">
        <x:v>https://www.mehmetefendi.com/eng/products/export-packs</x:v>
      </x:c>
      <x:c r="J589" s="28" t="str">
        <x:v>Ürün kimliği korundu; eksik alanlar erişilemedi olarak işaretlenecek.</x:v>
      </x:c>
    </x:row>
    <x:row r="590">
      <x:c r="A590" t="str">
        <x:v>Kurukahveci Mehmet Efendi</x:v>
      </x:c>
      <x:c r="B590" t="str">
        <x:v>Ürün kaydı</x:v>
      </x:c>
      <x:c r="C590" t="str">
        <x:v>FILTER COFFEE</x:v>
      </x:c>
      <x:c r="D590" t="str">
        <x:v>Menşe belirtilmemiş</x:v>
      </x:c>
      <x:c r="E590" s="1" t="str">
        <x:v>Erişilemedi</x:v>
      </x:c>
      <x:c r="F590" s="2" t="str">
        <x:v>Erişilemedi</x:v>
      </x:c>
      <x:c r="G590" t="str">
        <x:v>Gramaj + fiyat</x:v>
      </x:c>
      <x:c r="H590" t="str">
        <x:v>Site haritası ürün sayfası</x:v>
      </x:c>
      <x:c r="I590" s="28" t="str">
        <x:v>https://www.mehmetefendi.com/eng/products/filter-coffee</x:v>
      </x:c>
      <x:c r="J590" s="28" t="str">
        <x:v>Ürün kimliği korundu; eksik alanlar erişilemedi olarak işaretlenecek.</x:v>
      </x:c>
    </x:row>
    <x:row r="591">
      <x:c r="A591" t="str">
        <x:v>Kurukahveci Mehmet Efendi</x:v>
      </x:c>
      <x:c r="B591" t="str">
        <x:v>Ürün kaydı</x:v>
      </x:c>
      <x:c r="C591" t="str">
        <x:v>FİLTRE KAHVE</x:v>
      </x:c>
      <x:c r="D591" t="str">
        <x:v>Menşe belirtilmemiş</x:v>
      </x:c>
      <x:c r="E591" s="1" t="str">
        <x:v>Erişilemedi</x:v>
      </x:c>
      <x:c r="F591" s="2" t="str">
        <x:v>Erişilemedi</x:v>
      </x:c>
      <x:c r="G591" t="str">
        <x:v>Gramaj + fiyat</x:v>
      </x:c>
      <x:c r="H591" t="str">
        <x:v>Site haritası ürün sayfası</x:v>
      </x:c>
      <x:c r="I591" s="28" t="str">
        <x:v>https://www.mehmetefendi.com/urunler/press-coffee</x:v>
      </x:c>
      <x:c r="J591" s="28" t="str">
        <x:v>Ürün kimliği korundu; eksik alanlar erişilemedi olarak işaretlenecek.</x:v>
      </x:c>
    </x:row>
    <x:row r="592">
      <x:c r="A592" t="str">
        <x:v>Kurukahveci Mehmet Efendi</x:v>
      </x:c>
      <x:c r="B592" t="str">
        <x:v>Ürün kaydı</x:v>
      </x:c>
      <x:c r="C592" t="str">
        <x:v>HISTORICAL JOURNEY</x:v>
      </x:c>
      <x:c r="D592" t="str">
        <x:v>Etiyopya</x:v>
      </x:c>
      <x:c r="E592" s="1" t="str">
        <x:v>Erişilemedi</x:v>
      </x:c>
      <x:c r="F592" s="2" t="str">
        <x:v>Erişilemedi</x:v>
      </x:c>
      <x:c r="G592" t="str">
        <x:v>Gramaj + fiyat</x:v>
      </x:c>
      <x:c r="H592" t="str">
        <x:v>Site haritası ürün sayfası</x:v>
      </x:c>
      <x:c r="I592" s="28" t="str">
        <x:v>https://www.mehmetefendi.com/eng/coffee-culture/historical-journey</x:v>
      </x:c>
      <x:c r="J592" s="28" t="str">
        <x:v>Ürün kimliği korundu; eksik alanlar erişilemedi olarak işaretlenecek.</x:v>
      </x:c>
    </x:row>
    <x:row r="593">
      <x:c r="A593" t="str">
        <x:v>Kurukahveci Mehmet Efendi</x:v>
      </x:c>
      <x:c r="B593" t="str">
        <x:v>Ürün kaydı</x:v>
      </x:c>
      <x:c r="C593" t="str">
        <x:v>HOLLANDA’DA</x:v>
      </x:c>
      <x:c r="D593" t="str">
        <x:v>Endonezya | Yemen</x:v>
      </x:c>
      <x:c r="E593" s="1" t="str">
        <x:v>Erişilemedi</x:v>
      </x:c>
      <x:c r="F593" s="2" t="str">
        <x:v>Erişilemedi</x:v>
      </x:c>
      <x:c r="G593" t="str">
        <x:v>Gramaj + fiyat</x:v>
      </x:c>
      <x:c r="H593" t="str">
        <x:v>Site haritası ürün sayfası</x:v>
      </x:c>
      <x:c r="I593" s="28" t="str">
        <x:v>https://www.mehmetefendi.com/kahve-ve-tarihi/kahvenin-tarihsel-yolculugu/hollanda-da</x:v>
      </x:c>
      <x:c r="J593" s="28" t="str">
        <x:v>Ürün kimliği korundu; eksik alanlar erişilemedi olarak işaretlenecek.</x:v>
      </x:c>
    </x:row>
    <x:row r="594">
      <x:c r="A594" t="str">
        <x:v>Kurukahveci Mehmet Efendi</x:v>
      </x:c>
      <x:c r="B594" t="str">
        <x:v>Ürün kaydı</x:v>
      </x:c>
      <x:c r="C594" t="str">
        <x:v>IN GERMANY</x:v>
      </x:c>
      <x:c r="D594" t="str">
        <x:v>Menşe belirtilmemiş</x:v>
      </x:c>
      <x:c r="E594" s="1" t="str">
        <x:v>Erişilemedi</x:v>
      </x:c>
      <x:c r="F594" s="2" t="str">
        <x:v>Erişilemedi</x:v>
      </x:c>
      <x:c r="G594" t="str">
        <x:v>Gramaj + fiyat</x:v>
      </x:c>
      <x:c r="H594" t="str">
        <x:v>Site haritası ürün sayfası</x:v>
      </x:c>
      <x:c r="I594" s="28" t="str">
        <x:v>https://www.mehmetefendi.com/eng/coffee-culture/historical-journey/in-germany</x:v>
      </x:c>
      <x:c r="J594" s="28" t="str">
        <x:v>Ürün kimliği korundu; eksik alanlar erişilemedi olarak işaretlenecek.</x:v>
      </x:c>
    </x:row>
    <x:row r="595">
      <x:c r="A595" t="str">
        <x:v>Kurukahveci Mehmet Efendi</x:v>
      </x:c>
      <x:c r="B595" t="str">
        <x:v>Ürün kaydı</x:v>
      </x:c>
      <x:c r="C595" t="str">
        <x:v>IN HOLLAND</x:v>
      </x:c>
      <x:c r="D595" t="str">
        <x:v>Endonezya | Yemen</x:v>
      </x:c>
      <x:c r="E595" s="1" t="str">
        <x:v>Erişilemedi</x:v>
      </x:c>
      <x:c r="F595" s="2" t="str">
        <x:v>Erişilemedi</x:v>
      </x:c>
      <x:c r="G595" t="str">
        <x:v>Gramaj + fiyat</x:v>
      </x:c>
      <x:c r="H595" t="str">
        <x:v>Site haritası ürün sayfası</x:v>
      </x:c>
      <x:c r="I595" s="28" t="str">
        <x:v>https://www.mehmetefendi.com/eng/coffee-culture/historical-journey/in-holland</x:v>
      </x:c>
      <x:c r="J595" s="28" t="str">
        <x:v>Ürün kimliği korundu; eksik alanlar erişilemedi olarak işaretlenecek.</x:v>
      </x:c>
    </x:row>
    <x:row r="596">
      <x:c r="A596" t="str">
        <x:v>Kurukahveci Mehmet Efendi</x:v>
      </x:c>
      <x:c r="B596" t="str">
        <x:v>Ürün kaydı</x:v>
      </x:c>
      <x:c r="C596" t="str">
        <x:v>IN MARSEILLES</x:v>
      </x:c>
      <x:c r="D596" t="str">
        <x:v>Menşe belirtilmemiş</x:v>
      </x:c>
      <x:c r="E596" s="1" t="str">
        <x:v>Erişilemedi</x:v>
      </x:c>
      <x:c r="F596" s="2" t="str">
        <x:v>Erişilemedi</x:v>
      </x:c>
      <x:c r="G596" t="str">
        <x:v>Gramaj + fiyat</x:v>
      </x:c>
      <x:c r="H596" t="str">
        <x:v>Site haritası ürün sayfası</x:v>
      </x:c>
      <x:c r="I596" s="28" t="str">
        <x:v>https://www.mehmetefendi.com/eng/coffee-culture/historical-journey/in-marseilles</x:v>
      </x:c>
      <x:c r="J596" s="28" t="str">
        <x:v>Ürün kimliği korundu; eksik alanlar erişilemedi olarak işaretlenecek.</x:v>
      </x:c>
    </x:row>
    <x:row r="597">
      <x:c r="A597" t="str">
        <x:v>Kurukahveci Mehmet Efendi</x:v>
      </x:c>
      <x:c r="B597" t="str">
        <x:v>Ürün kaydı</x:v>
      </x:c>
      <x:c r="C597" t="str">
        <x:v>IN THE AMERICAS</x:v>
      </x:c>
      <x:c r="D597" t="str">
        <x:v>Brezilya</x:v>
      </x:c>
      <x:c r="E597" s="1" t="str">
        <x:v>Erişilemedi</x:v>
      </x:c>
      <x:c r="F597" s="2" t="str">
        <x:v>Erişilemedi</x:v>
      </x:c>
      <x:c r="G597" t="str">
        <x:v>Gramaj + fiyat</x:v>
      </x:c>
      <x:c r="H597" t="str">
        <x:v>Site haritası ürün sayfası</x:v>
      </x:c>
      <x:c r="I597" s="28" t="str">
        <x:v>https://www.mehmetefendi.com/eng/coffee-culture/historical-journey/in-the-americas</x:v>
      </x:c>
      <x:c r="J597" s="28" t="str">
        <x:v>Ürün kimliği korundu; eksik alanlar erişilemedi olarak işaretlenecek.</x:v>
      </x:c>
    </x:row>
    <x:row r="598">
      <x:c r="A598" t="str">
        <x:v>Kurukahveci Mehmet Efendi</x:v>
      </x:c>
      <x:c r="B598" t="str">
        <x:v>Ürün kaydı</x:v>
      </x:c>
      <x:c r="C598" t="str">
        <x:v>IN VENICE</x:v>
      </x:c>
      <x:c r="D598" t="str">
        <x:v>Menşe belirtilmemiş</x:v>
      </x:c>
      <x:c r="E598" s="1" t="str">
        <x:v>Erişilemedi</x:v>
      </x:c>
      <x:c r="F598" s="2" t="str">
        <x:v>Erişilemedi</x:v>
      </x:c>
      <x:c r="G598" t="str">
        <x:v>Gramaj + fiyat</x:v>
      </x:c>
      <x:c r="H598" t="str">
        <x:v>Site haritası ürün sayfası</x:v>
      </x:c>
      <x:c r="I598" s="28" t="str">
        <x:v>https://www.mehmetefendi.com/eng/coffee-culture/historical-journey/in-venice</x:v>
      </x:c>
      <x:c r="J598" s="28" t="str">
        <x:v>Ürün kimliği korundu; eksik alanlar erişilemedi olarak işaretlenecek.</x:v>
      </x:c>
    </x:row>
    <x:row r="599">
      <x:c r="A599" t="str">
        <x:v>Kurukahveci Mehmet Efendi</x:v>
      </x:c>
      <x:c r="B599" t="str">
        <x:v>Ürün kaydı</x:v>
      </x:c>
      <x:c r="C599" t="str">
        <x:v>IN YEMEN</x:v>
      </x:c>
      <x:c r="D599" t="str">
        <x:v>Etiyopya | Yemen</x:v>
      </x:c>
      <x:c r="E599" s="1" t="str">
        <x:v>Erişilemedi</x:v>
      </x:c>
      <x:c r="F599" s="2" t="str">
        <x:v>Erişilemedi</x:v>
      </x:c>
      <x:c r="G599" t="str">
        <x:v>Gramaj + fiyat</x:v>
      </x:c>
      <x:c r="H599" t="str">
        <x:v>Site haritası ürün sayfası</x:v>
      </x:c>
      <x:c r="I599" s="28" t="str">
        <x:v>https://www.mehmetefendi.com/eng/coffee-culture/historical-journey/in-yemen</x:v>
      </x:c>
      <x:c r="J599" s="28" t="str">
        <x:v>Ürün kimliği korundu; eksik alanlar erişilemedi olarak işaretlenecek.</x:v>
      </x:c>
    </x:row>
    <x:row r="600">
      <x:c r="A600" t="str">
        <x:v>Kurukahveci Mehmet Efendi</x:v>
      </x:c>
      <x:c r="B600" t="str">
        <x:v>Ürün kaydı</x:v>
      </x:c>
      <x:c r="C600" t="str">
        <x:v>İHRACAT AMBALAJLARIMIZ</x:v>
      </x:c>
      <x:c r="D600" t="str">
        <x:v>Menşe belirtilmemiş</x:v>
      </x:c>
      <x:c r="E600" s="1" t="str">
        <x:v>Erişilemedi</x:v>
      </x:c>
      <x:c r="F600" s="2" t="str">
        <x:v>Erişilemedi</x:v>
      </x:c>
      <x:c r="G600" t="str">
        <x:v>Gramaj + fiyat</x:v>
      </x:c>
      <x:c r="H600" t="str">
        <x:v>Site haritası ürün sayfası</x:v>
      </x:c>
      <x:c r="I600" s="28" t="str">
        <x:v>https://www.mehmetefendi.com/urunler/ihracat-ambalajlarimiz</x:v>
      </x:c>
      <x:c r="J600" s="28" t="str">
        <x:v>Ürün kimliği korundu; eksik alanlar erişilemedi olarak işaretlenecek.</x:v>
      </x:c>
    </x:row>
    <x:row r="601">
      <x:c r="A601" t="str">
        <x:v>Kurukahveci Mehmet Efendi</x:v>
      </x:c>
      <x:c r="B601" t="str">
        <x:v>Ürün kaydı</x:v>
      </x:c>
      <x:c r="C601" t="str">
        <x:v>İSTANBUL’DA</x:v>
      </x:c>
      <x:c r="D601" t="str">
        <x:v>Yemen</x:v>
      </x:c>
      <x:c r="E601" s="1" t="str">
        <x:v>Erişilemedi</x:v>
      </x:c>
      <x:c r="F601" s="2" t="str">
        <x:v>Erişilemedi</x:v>
      </x:c>
      <x:c r="G601" t="str">
        <x:v>Gramaj + fiyat</x:v>
      </x:c>
      <x:c r="H601" t="str">
        <x:v>Site haritası ürün sayfası</x:v>
      </x:c>
      <x:c r="I601" s="28" t="str">
        <x:v>https://www.mehmetefendi.com/kahve-ve-tarihi/kahvenin-tarihsel-yolculugu/istanbul-da</x:v>
      </x:c>
      <x:c r="J601" s="28" t="str">
        <x:v>Ürün kimliği korundu; eksik alanlar erişilemedi olarak işaretlenecek.</x:v>
      </x:c>
    </x:row>
    <x:row r="602">
      <x:c r="A602" t="str">
        <x:v>Kurukahveci Mehmet Efendi</x:v>
      </x:c>
      <x:c r="B602" t="str">
        <x:v>Ürün kaydı</x:v>
      </x:c>
      <x:c r="C602" t="str">
        <x:v>KAHVE KÜLTÜRÜ VE TARİHİ</x:v>
      </x:c>
      <x:c r="D602" t="str">
        <x:v>Menşe belirtilmemiş</x:v>
      </x:c>
      <x:c r="E602" s="1" t="str">
        <x:v>Erişilemedi</x:v>
      </x:c>
      <x:c r="F602" s="2" t="str">
        <x:v>Erişilemedi</x:v>
      </x:c>
      <x:c r="G602" t="str">
        <x:v>Gramaj + fiyat</x:v>
      </x:c>
      <x:c r="H602" t="str">
        <x:v>Site haritası ürün sayfası</x:v>
      </x:c>
      <x:c r="I602" s="28" t="str">
        <x:v>https://www.mehmetefendi.com/kahve-ve-tarihi</x:v>
      </x:c>
      <x:c r="J602" s="28" t="str">
        <x:v>Ürün kimliği korundu; eksik alanlar erişilemedi olarak işaretlenecek.</x:v>
      </x:c>
    </x:row>
    <x:row r="603">
      <x:c r="A603" t="str">
        <x:v>Kurukahveci Mehmet Efendi</x:v>
      </x:c>
      <x:c r="B603" t="str">
        <x:v>Ürün kaydı</x:v>
      </x:c>
      <x:c r="C603" t="str">
        <x:v>KAHVENİN ANATOMİSİ</x:v>
      </x:c>
      <x:c r="D603" t="str">
        <x:v>Etiyopya | Brezilya | Endonezya | Hindistan</x:v>
      </x:c>
      <x:c r="E603" s="1" t="n">
        <x:v>5000</x:v>
      </x:c>
      <x:c r="F603" s="2" t="str">
        <x:v>Erişilemedi</x:v>
      </x:c>
      <x:c r="G603" t="str">
        <x:v>Fiyat</x:v>
      </x:c>
      <x:c r="H603" t="str">
        <x:v>Site haritası ürün sayfası</x:v>
      </x:c>
      <x:c r="I603" s="28" t="str">
        <x:v>https://www.mehmetefendi.com/kahve-ve-tarihi/kahve-nasil-yetistirilir/kahvenin-anatomisi</x:v>
      </x:c>
      <x:c r="J603" s="28" t="str">
        <x:v>Ürün kimliği korundu; eksik alanlar erişilemedi olarak işaretlenecek.</x:v>
      </x:c>
    </x:row>
    <x:row r="604">
      <x:c r="A604" t="str">
        <x:v>Kurukahveci Mehmet Efendi</x:v>
      </x:c>
      <x:c r="B604" t="str">
        <x:v>Ürün kaydı</x:v>
      </x:c>
      <x:c r="C604" t="str">
        <x:v>KAHVENİN TARİHSEL YOLCULUĞU</x:v>
      </x:c>
      <x:c r="D604" t="str">
        <x:v>Etiyopya</x:v>
      </x:c>
      <x:c r="E604" s="1" t="str">
        <x:v>Erişilemedi</x:v>
      </x:c>
      <x:c r="F604" s="2" t="str">
        <x:v>Erişilemedi</x:v>
      </x:c>
      <x:c r="G604" t="str">
        <x:v>Gramaj + fiyat</x:v>
      </x:c>
      <x:c r="H604" t="str">
        <x:v>Site haritası ürün sayfası</x:v>
      </x:c>
      <x:c r="I604" s="28" t="str">
        <x:v>https://www.mehmetefendi.com/kahve-ve-tarihi/kahvenin-tarihsel-yolculugu</x:v>
      </x:c>
      <x:c r="J604" s="28" t="str">
        <x:v>Ürün kimliği korundu; eksik alanlar erişilemedi olarak işaretlenecek.</x:v>
      </x:c>
    </x:row>
    <x:row r="605">
      <x:c r="A605" t="str">
        <x:v>Kurukahveci Mehmet Efendi</x:v>
      </x:c>
      <x:c r="B605" t="str">
        <x:v>Ürün kaydı</x:v>
      </x:c>
      <x:c r="C605" t="str">
        <x:v>KAVRULMUŞ ÇEKİRDEK KAHVE</x:v>
      </x:c>
      <x:c r="D605" t="str">
        <x:v>Menşe belirtilmemiş</x:v>
      </x:c>
      <x:c r="E605" s="1" t="str">
        <x:v>Erişilemedi</x:v>
      </x:c>
      <x:c r="F605" s="2" t="str">
        <x:v>Erişilemedi</x:v>
      </x:c>
      <x:c r="G605" t="str">
        <x:v>Gramaj + fiyat</x:v>
      </x:c>
      <x:c r="H605" t="str">
        <x:v>Site haritası ürün sayfası</x:v>
      </x:c>
      <x:c r="I605" s="28" t="str">
        <x:v>https://www.mehmetefendi.com/urunler/kavrulmus-cekirdek-kahve</x:v>
      </x:c>
      <x:c r="J605" s="28" t="str">
        <x:v>Ürün kimliği korundu; eksik alanlar erişilemedi olarak işaretlenecek.</x:v>
      </x:c>
    </x:row>
    <x:row r="606">
      <x:c r="A606" t="str">
        <x:v>Kurukahveci Mehmet Efendi</x:v>
      </x:c>
      <x:c r="B606" t="str">
        <x:v>Ürün kaydı</x:v>
      </x:c>
      <x:c r="C606" t="str">
        <x:v>LONDRA’DA</x:v>
      </x:c>
      <x:c r="D606" t="str">
        <x:v>Menşe belirtilmemiş</x:v>
      </x:c>
      <x:c r="E606" s="1" t="str">
        <x:v>Erişilemedi</x:v>
      </x:c>
      <x:c r="F606" s="2" t="str">
        <x:v>Erişilemedi</x:v>
      </x:c>
      <x:c r="G606" t="str">
        <x:v>Gramaj + fiyat</x:v>
      </x:c>
      <x:c r="H606" t="str">
        <x:v>Site haritası ürün sayfası</x:v>
      </x:c>
      <x:c r="I606" s="28" t="str">
        <x:v>https://www.mehmetefendi.com/kahve-ve-tarihi/kahvenin-tarihsel-yolculugu/londra-da</x:v>
      </x:c>
      <x:c r="J606" s="28" t="str">
        <x:v>Ürün kimliği korundu; eksik alanlar erişilemedi olarak işaretlenecek.</x:v>
      </x:c>
    </x:row>
    <x:row r="607">
      <x:c r="A607" t="str">
        <x:v>Kurukahveci Mehmet Efendi</x:v>
      </x:c>
      <x:c r="B607" t="str">
        <x:v>Ürün kaydı</x:v>
      </x:c>
      <x:c r="C607" t="str">
        <x:v>MARSİLYA’DA</x:v>
      </x:c>
      <x:c r="D607" t="str">
        <x:v>Menşe belirtilmemiş</x:v>
      </x:c>
      <x:c r="E607" s="1" t="str">
        <x:v>Erişilemedi</x:v>
      </x:c>
      <x:c r="F607" s="2" t="str">
        <x:v>Erişilemedi</x:v>
      </x:c>
      <x:c r="G607" t="str">
        <x:v>Gramaj + fiyat</x:v>
      </x:c>
      <x:c r="H607" t="str">
        <x:v>Site haritası ürün sayfası</x:v>
      </x:c>
      <x:c r="I607" s="28" t="str">
        <x:v>https://www.mehmetefendi.com/kahve-ve-tarihi/kahvenin-tarihsel-yolculugu/marsilya-da</x:v>
      </x:c>
      <x:c r="J607" s="28" t="str">
        <x:v>Ürün kimliği korundu; eksik alanlar erişilemedi olarak işaretlenecek.</x:v>
      </x:c>
    </x:row>
    <x:row r="608">
      <x:c r="A608" t="str">
        <x:v>Kurukahveci Mehmet Efendi</x:v>
      </x:c>
      <x:c r="B608" t="str">
        <x:v>Ürün kaydı</x:v>
      </x:c>
      <x:c r="C608" t="str">
        <x:v>MÜZİK VE KAHVE</x:v>
      </x:c>
      <x:c r="D608" t="str">
        <x:v>Menşe belirtilmemiş</x:v>
      </x:c>
      <x:c r="E608" s="1" t="str">
        <x:v>Erişilemedi</x:v>
      </x:c>
      <x:c r="F608" s="2" t="str">
        <x:v>Erişilemedi</x:v>
      </x:c>
      <x:c r="G608" t="str">
        <x:v>Gramaj + fiyat</x:v>
      </x:c>
      <x:c r="H608" t="str">
        <x:v>Site haritası ürün sayfası</x:v>
      </x:c>
      <x:c r="I608" s="28" t="str">
        <x:v>https://www.mehmetefendi.com/kahve-ve-tarihi/sanat-ve-kahve/muzik-ve-kahve</x:v>
      </x:c>
      <x:c r="J608" s="28" t="str">
        <x:v>Ürün kimliği korundu; eksik alanlar erişilemedi olarak işaretlenecek.</x:v>
      </x:c>
    </x:row>
    <x:row r="609">
      <x:c r="A609" t="str">
        <x:v>Kurukahveci Mehmet Efendi</x:v>
      </x:c>
      <x:c r="B609" t="str">
        <x:v>Ürün kaydı</x:v>
      </x:c>
      <x:c r="C609" t="str">
        <x:v>PARİS’TE</x:v>
      </x:c>
      <x:c r="D609" t="str">
        <x:v>Menşe belirtilmemiş</x:v>
      </x:c>
      <x:c r="E609" s="1" t="str">
        <x:v>Erişilemedi</x:v>
      </x:c>
      <x:c r="F609" s="2" t="str">
        <x:v>Erişilemedi</x:v>
      </x:c>
      <x:c r="G609" t="str">
        <x:v>Gramaj + fiyat</x:v>
      </x:c>
      <x:c r="H609" t="str">
        <x:v>Site haritası ürün sayfası</x:v>
      </x:c>
      <x:c r="I609" s="28" t="str">
        <x:v>https://www.mehmetefendi.com/kahve-ve-tarihi/kahvenin-tarihsel-yolculugu/paris-te</x:v>
      </x:c>
      <x:c r="J609" s="28" t="str">
        <x:v>Ürün kimliği korundu; eksik alanlar erişilemedi olarak işaretlenecek.</x:v>
      </x:c>
    </x:row>
    <x:row r="610">
      <x:c r="A610" t="str">
        <x:v>Kurukahveci Mehmet Efendi</x:v>
      </x:c>
      <x:c r="B610" t="str">
        <x:v>Ürün kaydı</x:v>
      </x:c>
      <x:c r="C610" t="str">
        <x:v>PRESS COFFEE</x:v>
      </x:c>
      <x:c r="D610" t="str">
        <x:v>Menşe belirtilmemiş</x:v>
      </x:c>
      <x:c r="E610" s="1" t="str">
        <x:v>Erişilemedi</x:v>
      </x:c>
      <x:c r="F610" s="2" t="str">
        <x:v>Erişilemedi</x:v>
      </x:c>
      <x:c r="G610" t="str">
        <x:v>Gramaj + fiyat</x:v>
      </x:c>
      <x:c r="H610" t="str">
        <x:v>Site haritası ürün sayfası</x:v>
      </x:c>
      <x:c r="I610" s="28" t="str">
        <x:v>https://www.mehmetefendi.com/eng/brew-guide/press-coffee</x:v>
      </x:c>
      <x:c r="J610" s="28" t="str">
        <x:v>Ürün kimliği korundu; eksik alanlar erişilemedi olarak işaretlenecek.</x:v>
      </x:c>
    </x:row>
    <x:row r="611">
      <x:c r="A611" t="str">
        <x:v>Kurukahveci Mehmet Efendi</x:v>
      </x:c>
      <x:c r="B611" t="str">
        <x:v>Ürün kaydı</x:v>
      </x:c>
      <x:c r="C611" t="str">
        <x:v>PRESS COFFEE</x:v>
      </x:c>
      <x:c r="D611" t="str">
        <x:v>Menşe belirtilmemiş</x:v>
      </x:c>
      <x:c r="E611" s="1" t="n">
        <x:v>350</x:v>
      </x:c>
      <x:c r="F611" s="2" t="str">
        <x:v>Erişilemedi</x:v>
      </x:c>
      <x:c r="G611" t="str">
        <x:v>Fiyat</x:v>
      </x:c>
      <x:c r="H611" t="str">
        <x:v>Site haritası ürün sayfası</x:v>
      </x:c>
      <x:c r="I611" s="28" t="str">
        <x:v>https://www.mehmetefendi.com/hazirlama/press-coffee</x:v>
      </x:c>
      <x:c r="J611" s="28" t="str">
        <x:v>Ürün kimliği korundu; eksik alanlar erişilemedi olarak işaretlenecek.</x:v>
      </x:c>
    </x:row>
    <x:row r="612">
      <x:c r="A612" t="str">
        <x:v>Kurukahveci Mehmet Efendi</x:v>
      </x:c>
      <x:c r="B612" t="str">
        <x:v>Ürün kaydı</x:v>
      </x:c>
      <x:c r="C612" t="str">
        <x:v>ROASTED COFFEE BEANS</x:v>
      </x:c>
      <x:c r="D612" t="str">
        <x:v>Menşe belirtilmemiş</x:v>
      </x:c>
      <x:c r="E612" s="1" t="str">
        <x:v>Erişilemedi</x:v>
      </x:c>
      <x:c r="F612" s="2" t="str">
        <x:v>Erişilemedi</x:v>
      </x:c>
      <x:c r="G612" t="str">
        <x:v>Gramaj + fiyat</x:v>
      </x:c>
      <x:c r="H612" t="str">
        <x:v>Site haritası ürün sayfası</x:v>
      </x:c>
      <x:c r="I612" s="28" t="str">
        <x:v>https://www.mehmetefendi.com/eng/products/roasted-coffee-beans</x:v>
      </x:c>
      <x:c r="J612" s="28" t="str">
        <x:v>Ürün kimliği korundu; eksik alanlar erişilemedi olarak işaretlenecek.</x:v>
      </x:c>
    </x:row>
    <x:row r="613">
      <x:c r="A613" t="str">
        <x:v>Kurukahveci Mehmet Efendi</x:v>
      </x:c>
      <x:c r="B613" t="str">
        <x:v>Ürün kaydı</x:v>
      </x:c>
      <x:c r="C613" t="str">
        <x:v>THE ANATOMY OF COFFEE</x:v>
      </x:c>
      <x:c r="D613" t="str">
        <x:v>Etiyopya | Brezilya | Endonezya | Hindistan</x:v>
      </x:c>
      <x:c r="E613" s="1" t="n">
        <x:v>5000</x:v>
      </x:c>
      <x:c r="F613" s="2" t="str">
        <x:v>Erişilemedi</x:v>
      </x:c>
      <x:c r="G613" t="str">
        <x:v>Fiyat</x:v>
      </x:c>
      <x:c r="H613" t="str">
        <x:v>Site haritası ürün sayfası</x:v>
      </x:c>
      <x:c r="I613" s="28" t="str">
        <x:v>https://www.mehmetefendi.com/eng/coffee-culture/how-coffee-is-cultivated/the-anatomy-of-coffee</x:v>
      </x:c>
      <x:c r="J613" s="28" t="str">
        <x:v>Ürün kimliği korundu; eksik alanlar erişilemedi olarak işaretlenecek.</x:v>
      </x:c>
    </x:row>
    <x:row r="614">
      <x:c r="A614" t="str">
        <x:v>Kurukahveci Mehmet Efendi</x:v>
      </x:c>
      <x:c r="B614" t="str">
        <x:v>Ürün kaydı</x:v>
      </x:c>
      <x:c r="C614" t="str">
        <x:v>TURKISH COFFEE</x:v>
      </x:c>
      <x:c r="D614" t="str">
        <x:v>Menşe belirtilmemiş</x:v>
      </x:c>
      <x:c r="E614" s="1" t="str">
        <x:v>Erişilemedi</x:v>
      </x:c>
      <x:c r="F614" s="2" t="str">
        <x:v>Erişilemedi</x:v>
      </x:c>
      <x:c r="G614" t="str">
        <x:v>Gramaj + fiyat</x:v>
      </x:c>
      <x:c r="H614" t="str">
        <x:v>Site haritası ürün sayfası</x:v>
      </x:c>
      <x:c r="I614" s="28" t="str">
        <x:v>https://www.mehmetefendi.com/eng/products/turkish-coffee</x:v>
      </x:c>
      <x:c r="J614" s="28" t="str">
        <x:v>Ürün kimliği korundu; eksik alanlar erişilemedi olarak işaretlenecek.</x:v>
      </x:c>
    </x:row>
    <x:row r="615">
      <x:c r="A615" t="str">
        <x:v>Kurukahveci Mehmet Efendi</x:v>
      </x:c>
      <x:c r="B615" t="str">
        <x:v>Ürün kaydı</x:v>
      </x:c>
      <x:c r="C615" t="str">
        <x:v>TÜRK KAHVESİ</x:v>
      </x:c>
      <x:c r="D615" t="str">
        <x:v>Menşe belirtilmemiş</x:v>
      </x:c>
      <x:c r="E615" s="1" t="str">
        <x:v>Erişilemedi</x:v>
      </x:c>
      <x:c r="F615" s="2" t="str">
        <x:v>Erişilemedi</x:v>
      </x:c>
      <x:c r="G615" t="str">
        <x:v>Gramaj + fiyat</x:v>
      </x:c>
      <x:c r="H615" t="str">
        <x:v>Site haritası ürün sayfası</x:v>
      </x:c>
      <x:c r="I615" s="28" t="str">
        <x:v>https://www.mehmetefendi.com/urunler/turk-kahvesi</x:v>
      </x:c>
      <x:c r="J615" s="28" t="str">
        <x:v>Ürün kimliği korundu; eksik alanlar erişilemedi olarak işaretlenecek.</x:v>
      </x:c>
    </x:row>
    <x:row r="616">
      <x:c r="A616" t="str">
        <x:v>Kurukahveci Mehmet Efendi</x:v>
      </x:c>
      <x:c r="B616" t="str">
        <x:v>Ürün kaydı</x:v>
      </x:c>
      <x:c r="C616" t="str">
        <x:v>VENEDİK’TE</x:v>
      </x:c>
      <x:c r="D616" t="str">
        <x:v>Menşe belirtilmemiş</x:v>
      </x:c>
      <x:c r="E616" s="1" t="str">
        <x:v>Erişilemedi</x:v>
      </x:c>
      <x:c r="F616" s="2" t="str">
        <x:v>Erişilemedi</x:v>
      </x:c>
      <x:c r="G616" t="str">
        <x:v>Gramaj + fiyat</x:v>
      </x:c>
      <x:c r="H616" t="str">
        <x:v>Site haritası ürün sayfası</x:v>
      </x:c>
      <x:c r="I616" s="28" t="str">
        <x:v>https://www.mehmetefendi.com/kahve-ve-tarihi/kahvenin-tarihsel-yolculugu/venedik-te</x:v>
      </x:c>
      <x:c r="J616" s="28" t="str">
        <x:v>Ürün kimliği korundu; eksik alanlar erişilemedi olarak işaretlenecek.</x:v>
      </x:c>
    </x:row>
    <x:row r="617">
      <x:c r="A617" t="str">
        <x:v>Kurukahveci Mehmet Efendi</x:v>
      </x:c>
      <x:c r="B617" t="str">
        <x:v>Ürün kaydı</x:v>
      </x:c>
      <x:c r="C617" t="str">
        <x:v>YEMEN’DE</x:v>
      </x:c>
      <x:c r="D617" t="str">
        <x:v>Yemen</x:v>
      </x:c>
      <x:c r="E617" s="1" t="str">
        <x:v>Erişilemedi</x:v>
      </x:c>
      <x:c r="F617" s="2" t="str">
        <x:v>Erişilemedi</x:v>
      </x:c>
      <x:c r="G617" t="str">
        <x:v>Gramaj + fiyat</x:v>
      </x:c>
      <x:c r="H617" t="str">
        <x:v>Site haritası ürün sayfası</x:v>
      </x:c>
      <x:c r="I617" s="28" t="str">
        <x:v>https://www.mehmetefendi.com/kahve-ve-tarihi/kahvenin-tarihsel-yolculugu/yemen-de</x:v>
      </x:c>
      <x:c r="J617" s="28" t="str">
        <x:v>Ürün kimliği korundu; eksik alanlar erişilemedi olarak işaretlenecek.</x:v>
      </x:c>
    </x:row>
    <x:row r="618">
      <x:c r="A618" t="str">
        <x:v>Lagetom Coffee</x:v>
      </x:c>
      <x:c r="B618" t="str">
        <x:v>Katalog takip kaydı</x:v>
      </x:c>
      <x:c r="C618" t="str">
        <x:v>Ürün kataloğu — ayrıntılı ürün verisine erişilemedi</x:v>
      </x:c>
      <x:c r="D618" t="str">
        <x:v>Erişilemedi</x:v>
      </x:c>
      <x:c r="E618" s="1" t="str">
        <x:v>Erişilemedi</x:v>
      </x:c>
      <x:c r="F618" s="2" t="str">
        <x:v>Erişilemedi</x:v>
      </x:c>
      <x:c r="G618" t="str">
        <x:v>Gramaj + fiyat</x:v>
      </x:c>
      <x:c r="H618" t="str">
        <x:v>Instagram veya mevcut kaynak</x:v>
      </x:c>
      <x:c r="I618" s="28" t="str">
        <x:v>Erişilemedi</x:v>
      </x:c>
      <x:c r="J618" s="28" t="str">
        <x:v>Ürün adı, gramaj ve fiyat birlikte çıkarılamadı. Bağlantı manuel inceleme için korundu.</x:v>
      </x:c>
    </x:row>
    <x:row r="619">
      <x:c r="A619" t="str">
        <x:v>Locus Coffee Roastery</x:v>
      </x:c>
      <x:c r="B619" t="str">
        <x:v>Katalog takip kaydı</x:v>
      </x:c>
      <x:c r="C619" t="str">
        <x:v>Ürün kataloğu — ayrıntılı ürün verisine erişilemedi</x:v>
      </x:c>
      <x:c r="D619" t="str">
        <x:v>Erişilemedi</x:v>
      </x:c>
      <x:c r="E619" s="1" t="str">
        <x:v>Erişilemedi</x:v>
      </x:c>
      <x:c r="F619" s="2" t="str">
        <x:v>Erişilemedi</x:v>
      </x:c>
      <x:c r="G619" t="str">
        <x:v>Gramaj + fiyat</x:v>
      </x:c>
      <x:c r="H619" t="str">
        <x:v>Instagram veya mevcut kaynak</x:v>
      </x:c>
      <x:c r="I619" s="28" t="str">
        <x:v>Erişilemedi</x:v>
      </x:c>
      <x:c r="J619" s="28" t="str">
        <x:v>Ürün adı, gramaj ve fiyat birlikte çıkarılamadı. Bağlantı manuel inceleme için korundu.</x:v>
      </x:c>
    </x:row>
    <x:row r="620">
      <x:c r="A620" t="str">
        <x:v>Lol Coffee Roasters</x:v>
      </x:c>
      <x:c r="B620" t="str">
        <x:v>Katalog takip kaydı</x:v>
      </x:c>
      <x:c r="C620" t="str">
        <x:v>Ürün kataloğu — ayrıntılı ürün verisine erişilemedi</x:v>
      </x:c>
      <x:c r="D620" t="str">
        <x:v>Erişilemedi</x:v>
      </x:c>
      <x:c r="E620" s="1" t="str">
        <x:v>Erişilemedi</x:v>
      </x:c>
      <x:c r="F620" s="2" t="str">
        <x:v>Erişilemedi</x:v>
      </x:c>
      <x:c r="G620" t="str">
        <x:v>Gramaj + fiyat</x:v>
      </x:c>
      <x:c r="H620" t="str">
        <x:v>Instagram veya mevcut kaynak</x:v>
      </x:c>
      <x:c r="I620" s="28" t="str">
        <x:v>Erişilemedi</x:v>
      </x:c>
      <x:c r="J620" s="28" t="str">
        <x:v>Ürün adı, gramaj ve fiyat birlikte çıkarılamadı. Bağlantı manuel inceleme için korundu.</x:v>
      </x:c>
    </x:row>
    <x:row r="621">
      <x:c r="A621" t="str">
        <x:v>Mardin Kahve</x:v>
      </x:c>
      <x:c r="B621" t="str">
        <x:v>Katalog takip kaydı</x:v>
      </x:c>
      <x:c r="C621" t="str">
        <x:v>Ürün kataloğu — ayrıntılı ürün verisine erişilemedi</x:v>
      </x:c>
      <x:c r="D621" t="str">
        <x:v>Erişilemedi</x:v>
      </x:c>
      <x:c r="E621" s="1" t="str">
        <x:v>Erişilemedi</x:v>
      </x:c>
      <x:c r="F621" s="2" t="str">
        <x:v>Erişilemedi</x:v>
      </x:c>
      <x:c r="G621" t="str">
        <x:v>Gramaj + fiyat</x:v>
      </x:c>
      <x:c r="H621" t="str">
        <x:v>Instagram veya mevcut kaynak</x:v>
      </x:c>
      <x:c r="I621" s="28" t="str">
        <x:v>Erişilemedi</x:v>
      </x:c>
      <x:c r="J621" s="28" t="str">
        <x:v>Ürün adı, gramaj ve fiyat birlikte çıkarılamadı. Bağlantı manuel inceleme için korundu.</x:v>
      </x:c>
    </x:row>
    <x:row r="622">
      <x:c r="A622" t="str">
        <x:v>MeetLab Coffee</x:v>
      </x:c>
      <x:c r="B622" t="str">
        <x:v>Katalog takip kaydı</x:v>
      </x:c>
      <x:c r="C622" t="str">
        <x:v>Ürün kataloğu — ayrıntılı ürün verisine erişilemedi</x:v>
      </x:c>
      <x:c r="D622" t="str">
        <x:v>Erişilemedi</x:v>
      </x:c>
      <x:c r="E622" s="1" t="str">
        <x:v>Erişilemedi</x:v>
      </x:c>
      <x:c r="F622" s="2" t="str">
        <x:v>Erişilemedi</x:v>
      </x:c>
      <x:c r="G622" t="str">
        <x:v>Gramaj + fiyat</x:v>
      </x:c>
      <x:c r="H622" t="str">
        <x:v>Mağaza/katalog bağlantısı</x:v>
      </x:c>
      <x:c r="I622" s="28" t="str">
        <x:v>https://www.meetlabcoffee.com/filtre-kahve-abonelikleri</x:v>
      </x:c>
      <x:c r="J622" s="28" t="str">
        <x:v>Ürün adı, gramaj ve fiyat birlikte çıkarılamadı. Bağlantı manuel inceleme için korundu.</x:v>
      </x:c>
    </x:row>
    <x:row r="623">
      <x:c r="A623" t="str">
        <x:v>Milestones Coffee</x:v>
      </x:c>
      <x:c r="B623" t="str">
        <x:v>Ürün kaydı</x:v>
      </x:c>
      <x:c r="C623" t="str">
        <x:v>Milestones Coffee</x:v>
      </x:c>
      <x:c r="D623" t="str">
        <x:v>Menşe belirtilmemiş</x:v>
      </x:c>
      <x:c r="E623" s="1" t="str">
        <x:v>Erişilemedi</x:v>
      </x:c>
      <x:c r="F623" s="2" t="n">
        <x:v>800</x:v>
      </x:c>
      <x:c r="G623" t="str">
        <x:v>Gramaj</x:v>
      </x:c>
      <x:c r="H623" t="str">
        <x:v>Site haritası ürün sayfası</x:v>
      </x:c>
      <x:c r="I623" s="28" t="str">
        <x:v>https://milestonescoffee.com/urun/25-26-burundi-gitwe-hill-yikanmis/</x:v>
      </x:c>
      <x:c r="J623" s="28" t="str">
        <x:v>Ürün kimliği korundu; eksik alanlar erişilemedi olarak işaretlenecek.</x:v>
      </x:c>
    </x:row>
    <x:row r="624">
      <x:c r="A624" t="str">
        <x:v>Milestones Coffee</x:v>
      </x:c>
      <x:c r="B624" t="str">
        <x:v>Ürün kaydı</x:v>
      </x:c>
      <x:c r="C624" t="str">
        <x:v>Milestones Coffee</x:v>
      </x:c>
      <x:c r="D624" t="str">
        <x:v>Menşe belirtilmemiş</x:v>
      </x:c>
      <x:c r="E624" s="1" t="str">
        <x:v>Erişilemedi</x:v>
      </x:c>
      <x:c r="F624" s="2" t="n">
        <x:v>995</x:v>
      </x:c>
      <x:c r="G624" t="str">
        <x:v>Gramaj</x:v>
      </x:c>
      <x:c r="H624" t="str">
        <x:v>Site haritası ürün sayfası</x:v>
      </x:c>
      <x:c r="I624" s="28" t="str">
        <x:v>https://milestonescoffee.com/urun/25-26-kolombiya-sebastian-ramirez-pink-bourbon-honey/</x:v>
      </x:c>
      <x:c r="J624" s="28" t="str">
        <x:v>Ürün kimliği korundu; eksik alanlar erişilemedi olarak işaretlenecek.</x:v>
      </x:c>
    </x:row>
    <x:row r="625">
      <x:c r="A625" t="str">
        <x:v>Milestones Coffee</x:v>
      </x:c>
      <x:c r="B625" t="str">
        <x:v>Ürün kaydı</x:v>
      </x:c>
      <x:c r="C625" t="str">
        <x:v>Milestones Coffee</x:v>
      </x:c>
      <x:c r="D625" t="str">
        <x:v>Menşe belirtilmemiş</x:v>
      </x:c>
      <x:c r="E625" s="1" t="str">
        <x:v>Erişilemedi</x:v>
      </x:c>
      <x:c r="F625" s="2" t="n">
        <x:v>460</x:v>
      </x:c>
      <x:c r="G625" t="str">
        <x:v>Gramaj</x:v>
      </x:c>
      <x:c r="H625" t="str">
        <x:v>Site haritası ürün sayfası</x:v>
      </x:c>
      <x:c r="I625" s="28" t="str">
        <x:v>https://milestonescoffee.com/urun/25-26-brezilya-sitio-cafundo-natural-espresso/</x:v>
      </x:c>
      <x:c r="J625" s="28" t="str">
        <x:v>Ürün kimliği korundu; eksik alanlar erişilemedi olarak işaretlenecek.</x:v>
      </x:c>
    </x:row>
    <x:row r="626">
      <x:c r="A626" t="str">
        <x:v>Milestones Coffee</x:v>
      </x:c>
      <x:c r="B626" t="str">
        <x:v>Ürün kaydı</x:v>
      </x:c>
      <x:c r="C626" t="str">
        <x:v>Milestones Coffee</x:v>
      </x:c>
      <x:c r="D626" t="str">
        <x:v>Menşe belirtilmemiş</x:v>
      </x:c>
      <x:c r="E626" s="1" t="str">
        <x:v>Erişilemedi</x:v>
      </x:c>
      <x:c r="F626" s="2" t="n">
        <x:v>600</x:v>
      </x:c>
      <x:c r="G626" t="str">
        <x:v>Gramaj</x:v>
      </x:c>
      <x:c r="H626" t="str">
        <x:v>Site haritası ürün sayfası</x:v>
      </x:c>
      <x:c r="I626" s="28" t="str">
        <x:v>https://milestonescoffee.com/urun/24-25-kolombiya-coocentral-yikanmis-omni-espresso/</x:v>
      </x:c>
      <x:c r="J626" s="28" t="str">
        <x:v>Ürün kimliği korundu; eksik alanlar erişilemedi olarak işaretlenecek.</x:v>
      </x:c>
    </x:row>
    <x:row r="627">
      <x:c r="A627" t="str">
        <x:v>Milestones Coffee</x:v>
      </x:c>
      <x:c r="B627" t="str">
        <x:v>Ürün kaydı</x:v>
      </x:c>
      <x:c r="C627" t="str">
        <x:v>Milestones Coffee</x:v>
      </x:c>
      <x:c r="D627" t="str">
        <x:v>Honduras</x:v>
      </x:c>
      <x:c r="E627" s="1" t="str">
        <x:v>Erişilemedi</x:v>
      </x:c>
      <x:c r="F627" s="2" t="n">
        <x:v>775</x:v>
      </x:c>
      <x:c r="G627" t="str">
        <x:v>Gramaj</x:v>
      </x:c>
      <x:c r="H627" t="str">
        <x:v>Site haritası ürün sayfası</x:v>
      </x:c>
      <x:c r="I627" s="28" t="str">
        <x:v>https://milestonescoffee.com/urun/25-26-honduras-carlos-mejia-dark-room/</x:v>
      </x:c>
      <x:c r="J627" s="28" t="str">
        <x:v>Ürün kimliği korundu; eksik alanlar erişilemedi olarak işaretlenecek.</x:v>
      </x:c>
    </x:row>
    <x:row r="628">
      <x:c r="A628" t="str">
        <x:v>Milestones Coffee</x:v>
      </x:c>
      <x:c r="B628" t="str">
        <x:v>Ürün kaydı</x:v>
      </x:c>
      <x:c r="C628" t="str">
        <x:v>Milestones Coffee</x:v>
      </x:c>
      <x:c r="D628" t="str">
        <x:v>Harman – menşe belirtilmemiş</x:v>
      </x:c>
      <x:c r="E628" s="1" t="str">
        <x:v>Erişilemedi</x:v>
      </x:c>
      <x:c r="F628" s="2" t="n">
        <x:v>550</x:v>
      </x:c>
      <x:c r="G628" t="str">
        <x:v>Gramaj</x:v>
      </x:c>
      <x:c r="H628" t="str">
        <x:v>Site haritası ürün sayfası</x:v>
      </x:c>
      <x:c r="I628" s="28" t="str">
        <x:v>https://milestonescoffee.com/urun/perfect-balance-blend-espresso-roast/</x:v>
      </x:c>
      <x:c r="J628" s="28" t="str">
        <x:v>Ürün kimliği korundu; eksik alanlar erişilemedi olarak işaretlenecek.</x:v>
      </x:c>
    </x:row>
    <x:row r="629">
      <x:c r="A629" t="str">
        <x:v>Milestones Coffee</x:v>
      </x:c>
      <x:c r="B629" t="str">
        <x:v>Ürün kaydı</x:v>
      </x:c>
      <x:c r="C629" t="str">
        <x:v>Milestones Coffee</x:v>
      </x:c>
      <x:c r="D629" t="str">
        <x:v>El Salvador</x:v>
      </x:c>
      <x:c r="E629" s="1" t="str">
        <x:v>Erişilemedi</x:v>
      </x:c>
      <x:c r="F629" s="2" t="n">
        <x:v>675</x:v>
      </x:c>
      <x:c r="G629" t="str">
        <x:v>Gramaj</x:v>
      </x:c>
      <x:c r="H629" t="str">
        <x:v>Site haritası ürün sayfası</x:v>
      </x:c>
      <x:c r="I629" s="28" t="str">
        <x:v>https://milestonescoffee.com/urun/25-26-el-salvador-santa-rosa-bourbon-elite/</x:v>
      </x:c>
      <x:c r="J629" s="28" t="str">
        <x:v>Ürün kimliği korundu; eksik alanlar erişilemedi olarak işaretlenecek.</x:v>
      </x:c>
    </x:row>
    <x:row r="630">
      <x:c r="A630" t="str">
        <x:v>Milestones Coffee</x:v>
      </x:c>
      <x:c r="B630" t="str">
        <x:v>Ürün kaydı</x:v>
      </x:c>
      <x:c r="C630" t="str">
        <x:v>Milestones Coffee</x:v>
      </x:c>
      <x:c r="D630" t="str">
        <x:v>Menşe belirtilmemiş</x:v>
      </x:c>
      <x:c r="E630" s="1" t="str">
        <x:v>Erişilemedi</x:v>
      </x:c>
      <x:c r="F630" s="2" t="n">
        <x:v>825</x:v>
      </x:c>
      <x:c r="G630" t="str">
        <x:v>Gramaj</x:v>
      </x:c>
      <x:c r="H630" t="str">
        <x:v>Site haritası ürün sayfası</x:v>
      </x:c>
      <x:c r="I630" s="28" t="str">
        <x:v>https://milestonescoffee.com/urun/25-26-kolombiya-finca-el-guayabo-natural-castillo-caturra/</x:v>
      </x:c>
      <x:c r="J630" s="28" t="str">
        <x:v>Ürün kimliği korundu; eksik alanlar erişilemedi olarak işaretlenecek.</x:v>
      </x:c>
    </x:row>
    <x:row r="631">
      <x:c r="A631" t="str">
        <x:v>Milestones Coffee</x:v>
      </x:c>
      <x:c r="B631" t="str">
        <x:v>Ürün kaydı</x:v>
      </x:c>
      <x:c r="C631" t="str">
        <x:v>Milestones Coffee</x:v>
      </x:c>
      <x:c r="D631" t="str">
        <x:v>Menşe belirtilmemiş</x:v>
      </x:c>
      <x:c r="E631" s="1" t="str">
        <x:v>Erişilemedi</x:v>
      </x:c>
      <x:c r="F631" s="2" t="n">
        <x:v>640</x:v>
      </x:c>
      <x:c r="G631" t="str">
        <x:v>Gramaj</x:v>
      </x:c>
      <x:c r="H631" t="str">
        <x:v>Site haritası ürün sayfası</x:v>
      </x:c>
      <x:c r="I631" s="28" t="str">
        <x:v>https://milestonescoffee.com/urun/24-25-kosta-rika-el-salitre-caturra-catuai-yikanmis/</x:v>
      </x:c>
      <x:c r="J631" s="28" t="str">
        <x:v>Ürün kimliği korundu; eksik alanlar erişilemedi olarak işaretlenecek.</x:v>
      </x:c>
    </x:row>
    <x:row r="632">
      <x:c r="A632" t="str">
        <x:v>Milestones Coffee</x:v>
      </x:c>
      <x:c r="B632" t="str">
        <x:v>Ürün kaydı</x:v>
      </x:c>
      <x:c r="C632" t="str">
        <x:v>Milestones Coffee</x:v>
      </x:c>
      <x:c r="D632" t="str">
        <x:v>Peru</x:v>
      </x:c>
      <x:c r="E632" s="1" t="str">
        <x:v>Erişilemedi</x:v>
      </x:c>
      <x:c r="F632" s="2" t="n">
        <x:v>625</x:v>
      </x:c>
      <x:c r="G632" t="str">
        <x:v>Gramaj</x:v>
      </x:c>
      <x:c r="H632" t="str">
        <x:v>Site haritası ürün sayfası</x:v>
      </x:c>
      <x:c r="I632" s="28" t="str">
        <x:v>https://milestonescoffee.com/urun/25-26-peru-famillia-ccapa-typica-yikanmis/</x:v>
      </x:c>
      <x:c r="J632" s="28" t="str">
        <x:v>Ürün kimliği korundu; eksik alanlar erişilemedi olarak işaretlenecek.</x:v>
      </x:c>
    </x:row>
    <x:row r="633">
      <x:c r="A633" t="str">
        <x:v>Milestones Coffee</x:v>
      </x:c>
      <x:c r="B633" t="str">
        <x:v>Ürün kaydı</x:v>
      </x:c>
      <x:c r="C633" t="str">
        <x:v>Milestones Coffee</x:v>
      </x:c>
      <x:c r="D633" t="str">
        <x:v>Guatemala</x:v>
      </x:c>
      <x:c r="E633" s="1" t="str">
        <x:v>Erişilemedi</x:v>
      </x:c>
      <x:c r="F633" s="2" t="n">
        <x:v>595</x:v>
      </x:c>
      <x:c r="G633" t="str">
        <x:v>Gramaj</x:v>
      </x:c>
      <x:c r="H633" t="str">
        <x:v>Site haritası ürün sayfası</x:v>
      </x:c>
      <x:c r="I633" s="28" t="str">
        <x:v>https://milestonescoffee.com/urun/24-25-guatemala-teodoro-engelhardt-pacamara-espresso/</x:v>
      </x:c>
      <x:c r="J633" s="28" t="str">
        <x:v>Ürün kimliği korundu; eksik alanlar erişilemedi olarak işaretlenecek.</x:v>
      </x:c>
    </x:row>
    <x:row r="634">
      <x:c r="A634" t="str">
        <x:v>Milestones Coffee</x:v>
      </x:c>
      <x:c r="B634" t="str">
        <x:v>Ürün kaydı</x:v>
      </x:c>
      <x:c r="C634" t="str">
        <x:v>Milestones Coffee</x:v>
      </x:c>
      <x:c r="D634" t="str">
        <x:v>Ruanda</x:v>
      </x:c>
      <x:c r="E634" s="1" t="str">
        <x:v>Erişilemedi</x:v>
      </x:c>
      <x:c r="F634" s="2" t="n">
        <x:v>895</x:v>
      </x:c>
      <x:c r="G634" t="str">
        <x:v>Gramaj</x:v>
      </x:c>
      <x:c r="H634" t="str">
        <x:v>Site haritası ürün sayfası</x:v>
      </x:c>
      <x:c r="I634" s="28" t="str">
        <x:v>https://milestonescoffee.com/urun/24-25-ruanda-emmanuel-rusatira-natural-anaerobik/</x:v>
      </x:c>
      <x:c r="J634" s="28" t="str">
        <x:v>Ürün kimliği korundu; eksik alanlar erişilemedi olarak işaretlenecek.</x:v>
      </x:c>
    </x:row>
    <x:row r="635">
      <x:c r="A635" t="str">
        <x:v>Milestones Coffee</x:v>
      </x:c>
      <x:c r="B635" t="str">
        <x:v>Ürün kaydı</x:v>
      </x:c>
      <x:c r="C635" t="str">
        <x:v>Milestones Coffee</x:v>
      </x:c>
      <x:c r="D635" t="str">
        <x:v>Kenya</x:v>
      </x:c>
      <x:c r="E635" s="1" t="str">
        <x:v>Erişilemedi</x:v>
      </x:c>
      <x:c r="F635" s="2" t="n">
        <x:v>750</x:v>
      </x:c>
      <x:c r="G635" t="str">
        <x:v>Gramaj</x:v>
      </x:c>
      <x:c r="H635" t="str">
        <x:v>Site haritası ürün sayfası</x:v>
      </x:c>
      <x:c r="I635" s="28" t="str">
        <x:v>https://milestonescoffee.com/urun/24-25-kenya-gicherori-ab-yikanmis/</x:v>
      </x:c>
      <x:c r="J635" s="28" t="str">
        <x:v>Ürün kimliği korundu; eksik alanlar erişilemedi olarak işaretlenecek.</x:v>
      </x:c>
    </x:row>
    <x:row r="636">
      <x:c r="A636" t="str">
        <x:v>Milestones Coffee</x:v>
      </x:c>
      <x:c r="B636" t="str">
        <x:v>Ürün kaydı</x:v>
      </x:c>
      <x:c r="C636" t="str">
        <x:v>Milestones Coffee</x:v>
      </x:c>
      <x:c r="D636" t="str">
        <x:v>Menşe belirtilmemiş</x:v>
      </x:c>
      <x:c r="E636" s="1" t="str">
        <x:v>Erişilemedi</x:v>
      </x:c>
      <x:c r="F636" s="2" t="n">
        <x:v>650</x:v>
      </x:c>
      <x:c r="G636" t="str">
        <x:v>Gramaj</x:v>
      </x:c>
      <x:c r="H636" t="str">
        <x:v>Site haritası ürün sayfası</x:v>
      </x:c>
      <x:c r="I636" s="28" t="str">
        <x:v>https://milestonescoffee.com/urun/25-26-kolombiya-sugarcane-decaf-yikanmis/</x:v>
      </x:c>
      <x:c r="J636" s="28" t="str">
        <x:v>Ürün kimliği korundu; eksik alanlar erişilemedi olarak işaretlenecek.</x:v>
      </x:c>
    </x:row>
    <x:row r="637">
      <x:c r="A637" t="str">
        <x:v>Milestones Coffee</x:v>
      </x:c>
      <x:c r="B637" t="str">
        <x:v>Ürün kaydı</x:v>
      </x:c>
      <x:c r="C637" t="str">
        <x:v>Milestones Coffee</x:v>
      </x:c>
      <x:c r="D637" t="str">
        <x:v>Harman – menşe belirtilmemiş</x:v>
      </x:c>
      <x:c r="E637" s="1" t="str">
        <x:v>Erişilemedi</x:v>
      </x:c>
      <x:c r="F637" s="2" t="n">
        <x:v>450</x:v>
      </x:c>
      <x:c r="G637" t="str">
        <x:v>Gramaj</x:v>
      </x:c>
      <x:c r="H637" t="str">
        <x:v>Site haritası ürün sayfası</x:v>
      </x:c>
      <x:c r="I637" s="28" t="str">
        <x:v>https://milestonescoffee.com/urun/milestones-classic-espresso-trio-blend/</x:v>
      </x:c>
      <x:c r="J637" s="28" t="str">
        <x:v>Ürün kimliği korundu; eksik alanlar erişilemedi olarak işaretlenecek.</x:v>
      </x:c>
    </x:row>
    <x:row r="638">
      <x:c r="A638" t="str">
        <x:v>Milestones Coffee</x:v>
      </x:c>
      <x:c r="B638" t="str">
        <x:v>Ürün kaydı</x:v>
      </x:c>
      <x:c r="C638" t="str">
        <x:v>Milestones Coffee</x:v>
      </x:c>
      <x:c r="D638" t="str">
        <x:v>Menşe belirtilmemiş</x:v>
      </x:c>
      <x:c r="E638" s="1" t="str">
        <x:v>Erişilemedi</x:v>
      </x:c>
      <x:c r="F638" s="2" t="n">
        <x:v>490</x:v>
      </x:c>
      <x:c r="G638" t="str">
        <x:v>Gramaj</x:v>
      </x:c>
      <x:c r="H638" t="str">
        <x:v>Site haritası ürün sayfası</x:v>
      </x:c>
      <x:c r="I638" s="28" t="str">
        <x:v>https://milestonescoffee.com/urun/espresso-25-26-brezilya-cemorrado-chocolate-natural/</x:v>
      </x:c>
      <x:c r="J638" s="28" t="str">
        <x:v>Ürün kimliği korundu; eksik alanlar erişilemedi olarak işaretlenecek.</x:v>
      </x:c>
    </x:row>
    <x:row r="639">
      <x:c r="A639" t="str">
        <x:v>Milestones Coffee</x:v>
      </x:c>
      <x:c r="B639" t="str">
        <x:v>Ürün kaydı</x:v>
      </x:c>
      <x:c r="C639" t="str">
        <x:v>Milestones Coffee</x:v>
      </x:c>
      <x:c r="D639" t="str">
        <x:v>Menşe belirtilmemiş</x:v>
      </x:c>
      <x:c r="E639" s="1" t="str">
        <x:v>Erişilemedi</x:v>
      </x:c>
      <x:c r="F639" s="2" t="str">
        <x:v>Erişilemedi</x:v>
      </x:c>
      <x:c r="G639" t="str">
        <x:v>Gramaj + fiyat</x:v>
      </x:c>
      <x:c r="H639" t="str">
        <x:v>Site haritası ürün sayfası</x:v>
      </x:c>
      <x:c r="I639" s="28" t="str">
        <x:v>https://milestonescoffee.com/sayfa/acik-riza-metni</x:v>
      </x:c>
      <x:c r="J639" s="28" t="str">
        <x:v>Ürün kimliği korundu; eksik alanlar erişilemedi olarak işaretlenecek.</x:v>
      </x:c>
    </x:row>
    <x:row r="640">
      <x:c r="A640" t="str">
        <x:v>MOC Coffee Roastery</x:v>
      </x:c>
      <x:c r="B640" t="str">
        <x:v>Katalog takip kaydı</x:v>
      </x:c>
      <x:c r="C640" t="str">
        <x:v>Ürün kataloğu — ayrıntılı ürün verisine erişilemedi</x:v>
      </x:c>
      <x:c r="D640" t="str">
        <x:v>Erişilemedi</x:v>
      </x:c>
      <x:c r="E640" s="1" t="str">
        <x:v>Erişilemedi</x:v>
      </x:c>
      <x:c r="F640" s="2" t="str">
        <x:v>Erişilemedi</x:v>
      </x:c>
      <x:c r="G640" t="str">
        <x:v>Gramaj + fiyat</x:v>
      </x:c>
      <x:c r="H640" t="str">
        <x:v>Instagram veya mevcut kaynak</x:v>
      </x:c>
      <x:c r="I640" s="28" t="str">
        <x:v>Erişilemedi</x:v>
      </x:c>
      <x:c r="J640" s="28" t="str">
        <x:v>Ürün adı, gramaj ve fiyat birlikte çıkarılamadı. Bağlantı manuel inceleme için korundu.</x:v>
      </x:c>
    </x:row>
    <x:row r="641">
      <x:c r="A641" t="str">
        <x:v>Mocaco Coffee</x:v>
      </x:c>
      <x:c r="B641" t="str">
        <x:v>Katalog takip kaydı</x:v>
      </x:c>
      <x:c r="C641" t="str">
        <x:v>Ürün kataloğu — ayrıntılı ürün verisine erişilemedi</x:v>
      </x:c>
      <x:c r="D641" t="str">
        <x:v>Erişilemedi</x:v>
      </x:c>
      <x:c r="E641" s="1" t="str">
        <x:v>Erişilemedi</x:v>
      </x:c>
      <x:c r="F641" s="2" t="str">
        <x:v>Erişilemedi</x:v>
      </x:c>
      <x:c r="G641" t="str">
        <x:v>Gramaj + fiyat</x:v>
      </x:c>
      <x:c r="H641" t="str">
        <x:v>Instagram veya mevcut kaynak</x:v>
      </x:c>
      <x:c r="I641" s="28" t="str">
        <x:v>Erişilemedi</x:v>
      </x:c>
      <x:c r="J641" s="28" t="str">
        <x:v>Ürün adı, gramaj ve fiyat birlikte çıkarılamadı. Bağlantı manuel inceleme için korundu.</x:v>
      </x:c>
    </x:row>
    <x:row r="642">
      <x:c r="A642" t="str">
        <x:v>Molecule Coffee</x:v>
      </x:c>
      <x:c r="B642" t="str">
        <x:v>Ürün kaydı</x:v>
      </x:c>
      <x:c r="C642" t="str">
        <x:v>2020 Covid-19 Küresel Salgını</x:v>
      </x:c>
      <x:c r="D642" t="str">
        <x:v>Menşe belirtilmemiş</x:v>
      </x:c>
      <x:c r="E642" s="1" t="str">
        <x:v>Erişilemedi</x:v>
      </x:c>
      <x:c r="F642" s="2" t="n">
        <x:v>0</x:v>
      </x:c>
      <x:c r="G642" t="str">
        <x:v>Gramaj + fiyat</x:v>
      </x:c>
      <x:c r="H642" t="str">
        <x:v>Site haritası ürün sayfası</x:v>
      </x:c>
      <x:c r="I642" s="28" t="str">
        <x:v>https://coffeemolecule.com/2020-covid-19-kuresel-salgini/</x:v>
      </x:c>
      <x:c r="J642" s="28" t="str">
        <x:v>Ürün kimliği korundu; eksik alanlar erişilemedi olarak işaretlenecek.</x:v>
      </x:c>
    </x:row>
    <x:row r="643">
      <x:c r="A643" t="str">
        <x:v>Molecule Coffee</x:v>
      </x:c>
      <x:c r="B643" t="str">
        <x:v>Ürün kaydı</x:v>
      </x:c>
      <x:c r="C643" t="str">
        <x:v>2020 Kış-Bahar Kahveleri</x:v>
      </x:c>
      <x:c r="D643" t="str">
        <x:v>Etiyopya</x:v>
      </x:c>
      <x:c r="E643" s="1" t="str">
        <x:v>Erişilemedi</x:v>
      </x:c>
      <x:c r="F643" s="2" t="n">
        <x:v>0</x:v>
      </x:c>
      <x:c r="G643" t="str">
        <x:v>Gramaj + fiyat</x:v>
      </x:c>
      <x:c r="H643" t="str">
        <x:v>Site haritası ürün sayfası</x:v>
      </x:c>
      <x:c r="I643" s="28" t="str">
        <x:v>https://coffeemolecule.com/2020-kis-bahar-kahveleri/</x:v>
      </x:c>
      <x:c r="J643" s="28" t="str">
        <x:v>Ürün kimliği korundu; eksik alanlar erişilemedi olarak işaretlenecek.</x:v>
      </x:c>
    </x:row>
    <x:row r="644">
      <x:c r="A644" t="str">
        <x:v>Molecule Coffee</x:v>
      </x:c>
      <x:c r="B644" t="str">
        <x:v>Ürün kaydı</x:v>
      </x:c>
      <x:c r="C644" t="str">
        <x:v>BEKLEMENİN ESTETİĞİ: KAHVE VE SİNEMANIN ORTAK RİTMİ</x:v>
      </x:c>
      <x:c r="D644" t="str">
        <x:v>Menşe belirtilmemiş</x:v>
      </x:c>
      <x:c r="E644" s="1" t="str">
        <x:v>Erişilemedi</x:v>
      </x:c>
      <x:c r="F644" s="2" t="n">
        <x:v>0</x:v>
      </x:c>
      <x:c r="G644" t="str">
        <x:v>Gramaj + fiyat</x:v>
      </x:c>
      <x:c r="H644" t="str">
        <x:v>Site haritası ürün sayfası</x:v>
      </x:c>
      <x:c r="I644" s="28" t="str">
        <x:v>https://coffeemolecule.com/spot-beklemenin-estetigi-kahve-ve-sinemanin-ortak-ritmi/</x:v>
      </x:c>
      <x:c r="J644" s="28" t="str">
        <x:v>Ürün kimliği korundu; eksik alanlar erişilemedi olarak işaretlenecek.</x:v>
      </x:c>
    </x:row>
    <x:row r="645">
      <x:c r="A645" t="str">
        <x:v>Molecule Coffee</x:v>
      </x:c>
      <x:c r="B645" t="str">
        <x:v>Ürün kaydı</x:v>
      </x:c>
      <x:c r="C645" t="str">
        <x:v>Bir Kahve Kavurucunun Karantina Rehberi</x:v>
      </x:c>
      <x:c r="D645" t="str">
        <x:v>Menşe belirtilmemiş</x:v>
      </x:c>
      <x:c r="E645" s="1" t="str">
        <x:v>Erişilemedi</x:v>
      </x:c>
      <x:c r="F645" s="2" t="n">
        <x:v>0</x:v>
      </x:c>
      <x:c r="G645" t="str">
        <x:v>Gramaj + fiyat</x:v>
      </x:c>
      <x:c r="H645" t="str">
        <x:v>Site haritası ürün sayfası</x:v>
      </x:c>
      <x:c r="I645" s="28" t="str">
        <x:v>https://coffeemolecule.com/bir-kahve-kavurucunun-karantina-rehberi/</x:v>
      </x:c>
      <x:c r="J645" s="28" t="str">
        <x:v>Ürün kimliği korundu; eksik alanlar erişilemedi olarak işaretlenecek.</x:v>
      </x:c>
    </x:row>
    <x:row r="646">
      <x:c r="A646" t="str">
        <x:v>Molecule Coffee</x:v>
      </x:c>
      <x:c r="B646" t="str">
        <x:v>Ürün kaydı</x:v>
      </x:c>
      <x:c r="C646" t="str">
        <x:v>BlauQuarz Türk Kahvesi Takımı</x:v>
      </x:c>
      <x:c r="D646" t="str">
        <x:v>Menşe belirtilmemiş</x:v>
      </x:c>
      <x:c r="E646" s="1" t="str">
        <x:v>Erişilemedi</x:v>
      </x:c>
      <x:c r="F646" s="2" t="n">
        <x:v>0</x:v>
      </x:c>
      <x:c r="G646" t="str">
        <x:v>Gramaj + fiyat</x:v>
      </x:c>
      <x:c r="H646" t="str">
        <x:v>Site haritası ürün sayfası</x:v>
      </x:c>
      <x:c r="I646" s="28" t="str">
        <x:v>https://coffeemolecule.com/blauquarz-turk-kahvesi-takimi/</x:v>
      </x:c>
      <x:c r="J646" s="28" t="str">
        <x:v>Ürün kimliği korundu; eksik alanlar erişilemedi olarak işaretlenecek.</x:v>
      </x:c>
    </x:row>
    <x:row r="647">
      <x:c r="A647" t="str">
        <x:v>Molecule Coffee</x:v>
      </x:c>
      <x:c r="B647" t="str">
        <x:v>Ürün kaydı</x:v>
      </x:c>
      <x:c r="C647" t="str">
        <x:v>Blog</x:v>
      </x:c>
      <x:c r="D647" t="str">
        <x:v>Menşe belirtilmemiş</x:v>
      </x:c>
      <x:c r="E647" s="1" t="str">
        <x:v>Erişilemedi</x:v>
      </x:c>
      <x:c r="F647" s="2" t="n">
        <x:v>0</x:v>
      </x:c>
      <x:c r="G647" t="str">
        <x:v>Gramaj + fiyat</x:v>
      </x:c>
      <x:c r="H647" t="str">
        <x:v>Site haritası ürün sayfası</x:v>
      </x:c>
      <x:c r="I647" s="28" t="str">
        <x:v>https://coffeemolecule.com/blog/</x:v>
      </x:c>
      <x:c r="J647" s="28" t="str">
        <x:v>Ürün kimliği korundu; eksik alanlar erişilemedi olarak işaretlenecek.</x:v>
      </x:c>
    </x:row>
    <x:row r="648">
      <x:c r="A648" t="str">
        <x:v>Molecule Coffee</x:v>
      </x:c>
      <x:c r="B648" t="str">
        <x:v>Ürün kaydı</x:v>
      </x:c>
      <x:c r="C648" t="str">
        <x:v>Brezilya Kahveleri Hakkında</x:v>
      </x:c>
      <x:c r="D648" t="str">
        <x:v>Brezilya</x:v>
      </x:c>
      <x:c r="E648" s="1" t="str">
        <x:v>Erişilemedi</x:v>
      </x:c>
      <x:c r="F648" s="2" t="n">
        <x:v>0</x:v>
      </x:c>
      <x:c r="G648" t="str">
        <x:v>Gramaj + fiyat</x:v>
      </x:c>
      <x:c r="H648" t="str">
        <x:v>Site haritası ürün sayfası</x:v>
      </x:c>
      <x:c r="I648" s="28" t="str">
        <x:v>https://coffeemolecule.com/brezilya-kahveleri-blog/</x:v>
      </x:c>
      <x:c r="J648" s="28" t="str">
        <x:v>Ürün kimliği korundu; eksik alanlar erişilemedi olarak işaretlenecek.</x:v>
      </x:c>
    </x:row>
    <x:row r="649">
      <x:c r="A649" t="str">
        <x:v>Molecule Coffee</x:v>
      </x:c>
      <x:c r="B649" t="str">
        <x:v>Ürün kaydı</x:v>
      </x:c>
      <x:c r="C649" t="str">
        <x:v>Colombia China Alta Ibagué Washed</x:v>
      </x:c>
      <x:c r="D649" t="str">
        <x:v>Kolombiya</x:v>
      </x:c>
      <x:c r="E649" s="1" t="str">
        <x:v>Erişilemedi</x:v>
      </x:c>
      <x:c r="F649" s="2" t="n">
        <x:v>0</x:v>
      </x:c>
      <x:c r="G649" t="str">
        <x:v>Gramaj + fiyat</x:v>
      </x:c>
      <x:c r="H649" t="str">
        <x:v>Site haritası ürün sayfası</x:v>
      </x:c>
      <x:c r="I649" s="28" t="str">
        <x:v>https://coffeemolecule.com/colombia-china-alta-ibague-washed/</x:v>
      </x:c>
      <x:c r="J649" s="28" t="str">
        <x:v>Ürün kimliği korundu; eksik alanlar erişilemedi olarak işaretlenecek.</x:v>
      </x:c>
    </x:row>
    <x:row r="650">
      <x:c r="A650" t="str">
        <x:v>Molecule Coffee</x:v>
      </x:c>
      <x:c r="B650" t="str">
        <x:v>Ürün kaydı</x:v>
      </x:c>
      <x:c r="C650" t="str">
        <x:v>Guatemala Huehuetenango La Providencia</x:v>
      </x:c>
      <x:c r="D650" t="str">
        <x:v>Guatemala</x:v>
      </x:c>
      <x:c r="E650" s="1" t="str">
        <x:v>Erişilemedi</x:v>
      </x:c>
      <x:c r="F650" s="2" t="n">
        <x:v>0</x:v>
      </x:c>
      <x:c r="G650" t="str">
        <x:v>Gramaj + fiyat</x:v>
      </x:c>
      <x:c r="H650" t="str">
        <x:v>Site haritası ürün sayfası</x:v>
      </x:c>
      <x:c r="I650" s="28" t="str">
        <x:v>https://coffeemolecule.com/guatemala-huehuetenango-la-providencia/</x:v>
      </x:c>
      <x:c r="J650" s="28" t="str">
        <x:v>Ürün kimliği korundu; eksik alanlar erişilemedi olarak işaretlenecek.</x:v>
      </x:c>
    </x:row>
    <x:row r="651">
      <x:c r="A651" t="str">
        <x:v>Molecule Coffee</x:v>
      </x:c>
      <x:c r="B651" t="str">
        <x:v>Ürün kaydı</x:v>
      </x:c>
      <x:c r="C651" t="str">
        <x:v>Guatemala Rio Dorado Pacamara FW</x:v>
      </x:c>
      <x:c r="D651" t="str">
        <x:v>Guatemala</x:v>
      </x:c>
      <x:c r="E651" s="1" t="str">
        <x:v>Erişilemedi</x:v>
      </x:c>
      <x:c r="F651" s="2" t="n">
        <x:v>0</x:v>
      </x:c>
      <x:c r="G651" t="str">
        <x:v>Gramaj + fiyat</x:v>
      </x:c>
      <x:c r="H651" t="str">
        <x:v>Site haritası ürün sayfası</x:v>
      </x:c>
      <x:c r="I651" s="28" t="str">
        <x:v>https://coffeemolecule.com/guatemala-rio-dorado-pacamara-fw-kopya/</x:v>
      </x:c>
      <x:c r="J651" s="28" t="str">
        <x:v>Ürün kimliği korundu; eksik alanlar erişilemedi olarak işaretlenecek.</x:v>
      </x:c>
    </x:row>
    <x:row r="652">
      <x:c r="A652" t="str">
        <x:v>Molecule Coffee</x:v>
      </x:c>
      <x:c r="B652" t="str">
        <x:v>Ürün kaydı</x:v>
      </x:c>
      <x:c r="C652" t="str">
        <x:v>Kahve Nedir?</x:v>
      </x:c>
      <x:c r="D652" t="str">
        <x:v>Menşe belirtilmemiş</x:v>
      </x:c>
      <x:c r="E652" s="1" t="str">
        <x:v>Erişilemedi</x:v>
      </x:c>
      <x:c r="F652" s="2" t="n">
        <x:v>0</x:v>
      </x:c>
      <x:c r="G652" t="str">
        <x:v>Gramaj + fiyat</x:v>
      </x:c>
      <x:c r="H652" t="str">
        <x:v>Site haritası ürün sayfası</x:v>
      </x:c>
      <x:c r="I652" s="28" t="str">
        <x:v>https://coffeemolecule.com/kahve-nedir/</x:v>
      </x:c>
      <x:c r="J652" s="28" t="str">
        <x:v>Ürün kimliği korundu; eksik alanlar erişilemedi olarak işaretlenecek.</x:v>
      </x:c>
    </x:row>
    <x:row r="653">
      <x:c r="A653" t="str">
        <x:v>Molecule Coffee</x:v>
      </x:c>
      <x:c r="B653" t="str">
        <x:v>Ürün kaydı</x:v>
      </x:c>
      <x:c r="C653" t="str">
        <x:v>Kolay Kahve Seçme Rehberi</x:v>
      </x:c>
      <x:c r="D653" t="str">
        <x:v>Menşe belirtilmemiş</x:v>
      </x:c>
      <x:c r="E653" s="1" t="str">
        <x:v>Erişilemedi</x:v>
      </x:c>
      <x:c r="F653" s="2" t="n">
        <x:v>0</x:v>
      </x:c>
      <x:c r="G653" t="str">
        <x:v>Gramaj + fiyat</x:v>
      </x:c>
      <x:c r="H653" t="str">
        <x:v>Site haritası ürün sayfası</x:v>
      </x:c>
      <x:c r="I653" s="28" t="str">
        <x:v>https://coffeemolecule.com/kolay-kahve-secme-rehberi/</x:v>
      </x:c>
      <x:c r="J653" s="28" t="str">
        <x:v>Ürün kimliği korundu; eksik alanlar erişilemedi olarak işaretlenecek.</x:v>
      </x:c>
    </x:row>
    <x:row r="654">
      <x:c r="A654" t="str">
        <x:v>Molecule Coffee</x:v>
      </x:c>
      <x:c r="B654" t="str">
        <x:v>Ürün kaydı</x:v>
      </x:c>
      <x:c r="C654" t="str">
        <x:v>Kulplu Espresso Takım</x:v>
      </x:c>
      <x:c r="D654" t="str">
        <x:v>Menşe belirtilmemiş</x:v>
      </x:c>
      <x:c r="E654" s="1" t="str">
        <x:v>Erişilemedi</x:v>
      </x:c>
      <x:c r="F654" s="2" t="n">
        <x:v>0</x:v>
      </x:c>
      <x:c r="G654" t="str">
        <x:v>Gramaj + fiyat</x:v>
      </x:c>
      <x:c r="H654" t="str">
        <x:v>Site haritası ürün sayfası</x:v>
      </x:c>
      <x:c r="I654" s="28" t="str">
        <x:v>https://coffeemolecule.com/kulplu-espresso-takim/</x:v>
      </x:c>
      <x:c r="J654" s="28" t="str">
        <x:v>Ürün kimliği korundu; eksik alanlar erişilemedi olarak işaretlenecek.</x:v>
      </x:c>
    </x:row>
    <x:row r="655">
      <x:c r="A655" t="str">
        <x:v>Molecule Coffee</x:v>
      </x:c>
      <x:c r="B655" t="str">
        <x:v>Ürün kaydı</x:v>
      </x:c>
      <x:c r="C655" t="str">
        <x:v>Molecule s Classic Grey Filter</x:v>
      </x:c>
      <x:c r="D655" t="str">
        <x:v>Menşe belirtilmemiş</x:v>
      </x:c>
      <x:c r="E655" s="1" t="str">
        <x:v>Erişilemedi</x:v>
      </x:c>
      <x:c r="F655" s="2" t="n">
        <x:v>0</x:v>
      </x:c>
      <x:c r="G655" t="str">
        <x:v>Gramaj + fiyat</x:v>
      </x:c>
      <x:c r="H655" t="str">
        <x:v>Site haritası ürün sayfası</x:v>
      </x:c>
      <x:c r="I655" s="28" t="str">
        <x:v>https://coffeemolecule.com/molecules-classic-grey-filter/</x:v>
      </x:c>
      <x:c r="J655" s="28" t="str">
        <x:v>Ürün kimliği korundu; eksik alanlar erişilemedi olarak işaretlenecek.</x:v>
      </x:c>
    </x:row>
    <x:row r="656">
      <x:c r="A656" t="str">
        <x:v>Molecule Coffee</x:v>
      </x:c>
      <x:c r="B656" t="str">
        <x:v>Ürün kaydı</x:v>
      </x:c>
      <x:c r="C656" t="str">
        <x:v>Molecule s Classic Yellow Filter</x:v>
      </x:c>
      <x:c r="D656" t="str">
        <x:v>Menşe belirtilmemiş</x:v>
      </x:c>
      <x:c r="E656" s="1" t="str">
        <x:v>Erişilemedi</x:v>
      </x:c>
      <x:c r="F656" s="2" t="n">
        <x:v>0</x:v>
      </x:c>
      <x:c r="G656" t="str">
        <x:v>Gramaj + fiyat</x:v>
      </x:c>
      <x:c r="H656" t="str">
        <x:v>Site haritası ürün sayfası</x:v>
      </x:c>
      <x:c r="I656" s="28" t="str">
        <x:v>https://coffeemolecule.com/molecules-classic-yellow-filter/</x:v>
      </x:c>
      <x:c r="J656" s="28" t="str">
        <x:v>Ürün kimliği korundu; eksik alanlar erişilemedi olarak işaretlenecek.</x:v>
      </x:c>
    </x:row>
    <x:row r="657">
      <x:c r="A657" t="str">
        <x:v>Molecule Coffee</x:v>
      </x:c>
      <x:c r="B657" t="str">
        <x:v>Ürün kaydı</x:v>
      </x:c>
      <x:c r="C657" t="str">
        <x:v>Molecule s Classic Yellow Grey Filter</x:v>
      </x:c>
      <x:c r="D657" t="str">
        <x:v>Menşe belirtilmemiş</x:v>
      </x:c>
      <x:c r="E657" s="1" t="str">
        <x:v>Erişilemedi</x:v>
      </x:c>
      <x:c r="F657" s="2" t="n">
        <x:v>0</x:v>
      </x:c>
      <x:c r="G657" t="str">
        <x:v>Gramaj + fiyat</x:v>
      </x:c>
      <x:c r="H657" t="str">
        <x:v>Site haritası ürün sayfası</x:v>
      </x:c>
      <x:c r="I657" s="28" t="str">
        <x:v>https://coffeemolecule.com/molecules-classic-yellow-grey-filter/</x:v>
      </x:c>
      <x:c r="J657" s="28" t="str">
        <x:v>Ürün kimliği korundu; eksik alanlar erişilemedi olarak işaretlenecek.</x:v>
      </x:c>
    </x:row>
    <x:row r="658">
      <x:c r="A658" t="str">
        <x:v>Molecule Coffee</x:v>
      </x:c>
      <x:c r="B658" t="str">
        <x:v>Ürün kaydı</x:v>
      </x:c>
      <x:c r="C658" t="str">
        <x:v>Molecule s Classic Yellow Grey Kulplu Latte Takım</x:v>
      </x:c>
      <x:c r="D658" t="str">
        <x:v>Menşe belirtilmemiş</x:v>
      </x:c>
      <x:c r="E658" s="1" t="str">
        <x:v>Erişilemedi</x:v>
      </x:c>
      <x:c r="F658" s="2" t="n">
        <x:v>0</x:v>
      </x:c>
      <x:c r="G658" t="str">
        <x:v>Gramaj + fiyat</x:v>
      </x:c>
      <x:c r="H658" t="str">
        <x:v>Site haritası ürün sayfası</x:v>
      </x:c>
      <x:c r="I658" s="28" t="str">
        <x:v>https://coffeemolecule.com/molecules-classic-yellow-grey-kulplu-latte-takim/</x:v>
      </x:c>
      <x:c r="J658" s="28" t="str">
        <x:v>Ürün kimliği korundu; eksik alanlar erişilemedi olarak işaretlenecek.</x:v>
      </x:c>
    </x:row>
    <x:row r="659">
      <x:c r="A659" t="str">
        <x:v>Molecule Coffee</x:v>
      </x:c>
      <x:c r="B659" t="str">
        <x:v>Ürün kaydı</x:v>
      </x:c>
      <x:c r="C659" t="str">
        <x:v>Molecule s Classic Yellow Grey Latte</x:v>
      </x:c>
      <x:c r="D659" t="str">
        <x:v>Menşe belirtilmemiş</x:v>
      </x:c>
      <x:c r="E659" s="1" t="str">
        <x:v>Erişilemedi</x:v>
      </x:c>
      <x:c r="F659" s="2" t="n">
        <x:v>0</x:v>
      </x:c>
      <x:c r="G659" t="str">
        <x:v>Gramaj + fiyat</x:v>
      </x:c>
      <x:c r="H659" t="str">
        <x:v>Site haritası ürün sayfası</x:v>
      </x:c>
      <x:c r="I659" s="28" t="str">
        <x:v>https://coffeemolecule.com/molecules-classic-yellow-grey-latte/</x:v>
      </x:c>
      <x:c r="J659" s="28" t="str">
        <x:v>Ürün kimliği korundu; eksik alanlar erişilemedi olarak işaretlenecek.</x:v>
      </x:c>
    </x:row>
    <x:row r="660">
      <x:c r="A660" t="str">
        <x:v>Molecule Coffee</x:v>
      </x:c>
      <x:c r="B660" t="str">
        <x:v>Ürün kaydı</x:v>
      </x:c>
      <x:c r="C660" t="str">
        <x:v>Molecule s Classic Yellow Grey Short Filter</x:v>
      </x:c>
      <x:c r="D660" t="str">
        <x:v>Menşe belirtilmemiş</x:v>
      </x:c>
      <x:c r="E660" s="1" t="str">
        <x:v>Erişilemedi</x:v>
      </x:c>
      <x:c r="F660" s="2" t="n">
        <x:v>0</x:v>
      </x:c>
      <x:c r="G660" t="str">
        <x:v>Gramaj + fiyat</x:v>
      </x:c>
      <x:c r="H660" t="str">
        <x:v>Site haritası ürün sayfası</x:v>
      </x:c>
      <x:c r="I660" s="28" t="str">
        <x:v>https://coffeemolecule.com/molecules-classic-yellow-grey-short-filter/</x:v>
      </x:c>
      <x:c r="J660" s="28" t="str">
        <x:v>Ürün kimliği korundu; eksik alanlar erişilemedi olarak işaretlenecek.</x:v>
      </x:c>
    </x:row>
    <x:row r="661">
      <x:c r="A661" t="str">
        <x:v>Molecule Coffee</x:v>
      </x:c>
      <x:c r="B661" t="str">
        <x:v>Ürün kaydı</x:v>
      </x:c>
      <x:c r="C661" t="str">
        <x:v>Molecule s Filter</x:v>
      </x:c>
      <x:c r="D661" t="str">
        <x:v>Menşe belirtilmemiş</x:v>
      </x:c>
      <x:c r="E661" s="1" t="str">
        <x:v>Erişilemedi</x:v>
      </x:c>
      <x:c r="F661" s="2" t="n">
        <x:v>0</x:v>
      </x:c>
      <x:c r="G661" t="str">
        <x:v>Gramaj + fiyat</x:v>
      </x:c>
      <x:c r="H661" t="str">
        <x:v>Site haritası ürün sayfası</x:v>
      </x:c>
      <x:c r="I661" s="28" t="str">
        <x:v>https://coffeemolecule.com/molecules-filter/</x:v>
      </x:c>
      <x:c r="J661" s="28" t="str">
        <x:v>Ürün kimliği korundu; eksik alanlar erişilemedi olarak işaretlenecek.</x:v>
      </x:c>
    </x:row>
    <x:row r="662">
      <x:c r="A662" t="str">
        <x:v>Molecule Coffee</x:v>
      </x:c>
      <x:c r="B662" t="str">
        <x:v>Ürün kaydı</x:v>
      </x:c>
      <x:c r="C662" t="str">
        <x:v>Nicaragua Esmeralda Washed</x:v>
      </x:c>
      <x:c r="D662" t="str">
        <x:v>Nikaragua</x:v>
      </x:c>
      <x:c r="E662" s="1" t="str">
        <x:v>Erişilemedi</x:v>
      </x:c>
      <x:c r="F662" s="2" t="n">
        <x:v>0</x:v>
      </x:c>
      <x:c r="G662" t="str">
        <x:v>Gramaj + fiyat</x:v>
      </x:c>
      <x:c r="H662" t="str">
        <x:v>Site haritası ürün sayfası</x:v>
      </x:c>
      <x:c r="I662" s="28" t="str">
        <x:v>https://coffeemolecule.com/nikaragua-kahve-esmeralda-washed/</x:v>
      </x:c>
      <x:c r="J662" s="28" t="str">
        <x:v>Ürün kimliği korundu; eksik alanlar erişilemedi olarak işaretlenecek.</x:v>
      </x:c>
    </x:row>
    <x:row r="663">
      <x:c r="A663" t="str">
        <x:v>Molecule Coffee</x:v>
      </x:c>
      <x:c r="B663" t="str">
        <x:v>Ürün kaydı</x:v>
      </x:c>
      <x:c r="C663" t="str">
        <x:v>Nikaragua Kahveleri</x:v>
      </x:c>
      <x:c r="D663" t="str">
        <x:v>Nikaragua</x:v>
      </x:c>
      <x:c r="E663" s="1" t="str">
        <x:v>Erişilemedi</x:v>
      </x:c>
      <x:c r="F663" s="2" t="n">
        <x:v>0</x:v>
      </x:c>
      <x:c r="G663" t="str">
        <x:v>Gramaj + fiyat</x:v>
      </x:c>
      <x:c r="H663" t="str">
        <x:v>Site haritası ürün sayfası</x:v>
      </x:c>
      <x:c r="I663" s="28" t="str">
        <x:v>https://coffeemolecule.com/nikaragua-kahveleri/</x:v>
      </x:c>
      <x:c r="J663" s="28" t="str">
        <x:v>Ürün kimliği korundu; eksik alanlar erişilemedi olarak işaretlenecek.</x:v>
      </x:c>
    </x:row>
    <x:row r="664">
      <x:c r="A664" t="str">
        <x:v>Molecule Coffee</x:v>
      </x:c>
      <x:c r="B664" t="str">
        <x:v>Ürün kaydı</x:v>
      </x:c>
      <x:c r="C664" t="str">
        <x:v>Red Türk Kahvesi Takımı</x:v>
      </x:c>
      <x:c r="D664" t="str">
        <x:v>Menşe belirtilmemiş</x:v>
      </x:c>
      <x:c r="E664" s="1" t="str">
        <x:v>Erişilemedi</x:v>
      </x:c>
      <x:c r="F664" s="2" t="n">
        <x:v>0</x:v>
      </x:c>
      <x:c r="G664" t="str">
        <x:v>Gramaj + fiyat</x:v>
      </x:c>
      <x:c r="H664" t="str">
        <x:v>Site haritası ürün sayfası</x:v>
      </x:c>
      <x:c r="I664" s="28" t="str">
        <x:v>https://coffeemolecule.com/red-turk-kahvesi-takimi/</x:v>
      </x:c>
      <x:c r="J664" s="28" t="str">
        <x:v>Ürün kimliği korundu; eksik alanlar erişilemedi olarak işaretlenecek.</x:v>
      </x:c>
    </x:row>
    <x:row r="665">
      <x:c r="A665" t="str">
        <x:v>Molecule Coffee</x:v>
      </x:c>
      <x:c r="B665" t="str">
        <x:v>Ürün kaydı</x:v>
      </x:c>
      <x:c r="C665" t="str">
        <x:v>SCA 2020 Covid-19 Küresel Salgını Güncesi</x:v>
      </x:c>
      <x:c r="D665" t="str">
        <x:v>Menşe belirtilmemiş</x:v>
      </x:c>
      <x:c r="E665" s="1" t="str">
        <x:v>Erişilemedi</x:v>
      </x:c>
      <x:c r="F665" s="2" t="n">
        <x:v>0</x:v>
      </x:c>
      <x:c r="G665" t="str">
        <x:v>Gramaj + fiyat</x:v>
      </x:c>
      <x:c r="H665" t="str">
        <x:v>Site haritası ürün sayfası</x:v>
      </x:c>
      <x:c r="I665" s="28" t="str">
        <x:v>https://coffeemolecule.com/sca-2020-covid-19-kuresel-salgini-guncesi/</x:v>
      </x:c>
      <x:c r="J665" s="28" t="str">
        <x:v>Ürün kimliği korundu; eksik alanlar erişilemedi olarak işaretlenecek.</x:v>
      </x:c>
    </x:row>
    <x:row r="666">
      <x:c r="A666" t="str">
        <x:v>Molecule Coffee</x:v>
      </x:c>
      <x:c r="B666" t="str">
        <x:v>Ürün kaydı</x:v>
      </x:c>
      <x:c r="C666" t="str">
        <x:v>Shop</x:v>
      </x:c>
      <x:c r="D666" t="str">
        <x:v>Menşe belirtilmemiş</x:v>
      </x:c>
      <x:c r="E666" s="1" t="str">
        <x:v>Erişilemedi</x:v>
      </x:c>
      <x:c r="F666" s="2" t="n">
        <x:v>0</x:v>
      </x:c>
      <x:c r="G666" t="str">
        <x:v>Gramaj + fiyat</x:v>
      </x:c>
      <x:c r="H666" t="str">
        <x:v>Site haritası ürün sayfası</x:v>
      </x:c>
      <x:c r="I666" s="28" t="str">
        <x:v>https://coffeemolecule.com/shop/</x:v>
      </x:c>
      <x:c r="J666" s="28" t="str">
        <x:v>Ürün kimliği korundu; eksik alanlar erişilemedi olarak işaretlenecek.</x:v>
      </x:c>
    </x:row>
    <x:row r="667">
      <x:c r="A667" t="str">
        <x:v>Mona Coffee</x:v>
      </x:c>
      <x:c r="B667" t="str">
        <x:v>Katalog takip kaydı</x:v>
      </x:c>
      <x:c r="C667" t="str">
        <x:v>Ürün kataloğu — ayrıntılı ürün verisine erişilemedi</x:v>
      </x:c>
      <x:c r="D667" t="str">
        <x:v>Erişilemedi</x:v>
      </x:c>
      <x:c r="E667" s="1" t="str">
        <x:v>Erişilemedi</x:v>
      </x:c>
      <x:c r="F667" s="2" t="str">
        <x:v>Erişilemedi</x:v>
      </x:c>
      <x:c r="G667" t="str">
        <x:v>Gramaj + fiyat</x:v>
      </x:c>
      <x:c r="H667" t="str">
        <x:v>Instagram veya mevcut kaynak</x:v>
      </x:c>
      <x:c r="I667" s="28" t="str">
        <x:v>Erişilemedi</x:v>
      </x:c>
      <x:c r="J667" s="28" t="str">
        <x:v>Ürün adı, gramaj ve fiyat birlikte çıkarılamadı. Bağlantı manuel inceleme için korundu.</x:v>
      </x:c>
    </x:row>
    <x:row r="668">
      <x:c r="A668" t="str">
        <x:v>Montag Coffee Roasters</x:v>
      </x:c>
      <x:c r="B668" t="str">
        <x:v>Ürün kaydı</x:v>
      </x:c>
      <x:c r="C668" t="str">
        <x:v>HARIO V60 DRIP HASSAS TARTI</x:v>
      </x:c>
      <x:c r="D668" t="str">
        <x:v>Menşe belirtilmemiş</x:v>
      </x:c>
      <x:c r="E668" s="1" t="str">
        <x:v>Erişilemedi</x:v>
      </x:c>
      <x:c r="F668" s="2" t="str">
        <x:v>Erişilemedi</x:v>
      </x:c>
      <x:c r="G668" t="str">
        <x:v>Gramaj + fiyat</x:v>
      </x:c>
      <x:c r="H668" t="str">
        <x:v>Shopify ürün akışı</x:v>
      </x:c>
      <x:c r="I668" s="28" t="str">
        <x:v>https://www.montagcoffee.com/products/hario-hassas-tarti</x:v>
      </x:c>
      <x:c r="J668" s="28" t="str">
        <x:v>Satış varyantı erişilemedi.</x:v>
      </x:c>
    </x:row>
    <x:row r="669">
      <x:c r="A669" t="str">
        <x:v>Montag Coffee Roasters</x:v>
      </x:c>
      <x:c r="B669" t="str">
        <x:v>Ürün kaydı</x:v>
      </x:c>
      <x:c r="C669" t="str">
        <x:v>Hario Cold Brew Bottle (Mocca)</x:v>
      </x:c>
      <x:c r="D669" t="str">
        <x:v>Menşe belirtilmemiş</x:v>
      </x:c>
      <x:c r="E669" s="1" t="str">
        <x:v>Erişilemedi</x:v>
      </x:c>
      <x:c r="F669" s="2" t="str">
        <x:v>Erişilemedi</x:v>
      </x:c>
      <x:c r="G669" t="str">
        <x:v>Gramaj + fiyat</x:v>
      </x:c>
      <x:c r="H669" t="str">
        <x:v>Shopify ürün akışı</x:v>
      </x:c>
      <x:c r="I669" s="28" t="str">
        <x:v>https://www.montagcoffee.com/products/cold-brew-sisesi</x:v>
      </x:c>
      <x:c r="J669" s="28" t="str">
        <x:v>Satış varyantı erişilemedi.</x:v>
      </x:c>
    </x:row>
    <x:row r="670">
      <x:c r="A670" t="str">
        <x:v>Montag Coffee Roasters</x:v>
      </x:c>
      <x:c r="B670" t="str">
        <x:v>Ürün kaydı</x:v>
      </x:c>
      <x:c r="C670" t="str">
        <x:v>LALESA KAPSÜL KAHVE</x:v>
      </x:c>
      <x:c r="D670" t="str">
        <x:v>Etiyopya</x:v>
      </x:c>
      <x:c r="E670" s="1" t="str">
        <x:v>Erişilemedi</x:v>
      </x:c>
      <x:c r="F670" s="2" t="n">
        <x:v>175</x:v>
      </x:c>
      <x:c r="G670" t="str">
        <x:v>Gramaj</x:v>
      </x:c>
      <x:c r="H670" t="str">
        <x:v>Shopify ürün akışı</x:v>
      </x:c>
      <x:c r="I670" s="28" t="str">
        <x:v>https://www.montagcoffee.com/products/lalesa-kapsul-kahve</x:v>
      </x:c>
      <x:c r="J670" s="28" t="str">
        <x:v>Öğütüm seçenekleri tekilleştirildi.</x:v>
      </x:c>
    </x:row>
    <x:row r="671">
      <x:c r="A671" t="str">
        <x:v>Nish Kahve</x:v>
      </x:c>
      <x:c r="B671" t="str">
        <x:v>Katalog takip kaydı</x:v>
      </x:c>
      <x:c r="C671" t="str">
        <x:v>Ürün kataloğu — ayrıntılı ürün verisine erişilemedi</x:v>
      </x:c>
      <x:c r="D671" t="str">
        <x:v>Erişilemedi</x:v>
      </x:c>
      <x:c r="E671" s="1" t="str">
        <x:v>Erişilemedi</x:v>
      </x:c>
      <x:c r="F671" s="2" t="str">
        <x:v>Erişilemedi</x:v>
      </x:c>
      <x:c r="G671" t="str">
        <x:v>Gramaj + fiyat</x:v>
      </x:c>
      <x:c r="H671" t="str">
        <x:v>Instagram veya mevcut kaynak</x:v>
      </x:c>
      <x:c r="I671" s="28" t="str">
        <x:v>Erişilemedi</x:v>
      </x:c>
      <x:c r="J671" s="28" t="str">
        <x:v>Ürün adı, gramaj ve fiyat birlikte çıkarılamadı. Bağlantı manuel inceleme için korundu.</x:v>
      </x:c>
    </x:row>
    <x:row r="672">
      <x:c r="A672" t="str">
        <x:v>Nitka Coffee</x:v>
      </x:c>
      <x:c r="B672" t="str">
        <x:v>Katalog takip kaydı</x:v>
      </x:c>
      <x:c r="C672" t="str">
        <x:v>Ürün kataloğu — ayrıntılı ürün verisine erişilemedi</x:v>
      </x:c>
      <x:c r="D672" t="str">
        <x:v>Erişilemedi</x:v>
      </x:c>
      <x:c r="E672" s="1" t="str">
        <x:v>Erişilemedi</x:v>
      </x:c>
      <x:c r="F672" s="2" t="str">
        <x:v>Erişilemedi</x:v>
      </x:c>
      <x:c r="G672" t="str">
        <x:v>Gramaj + fiyat</x:v>
      </x:c>
      <x:c r="H672" t="str">
        <x:v>Instagram veya mevcut kaynak</x:v>
      </x:c>
      <x:c r="I672" s="28" t="str">
        <x:v>Erişilemedi</x:v>
      </x:c>
      <x:c r="J672" s="28" t="str">
        <x:v>Ürün adı, gramaj ve fiyat birlikte çıkarılamadı. Bağlantı manuel inceleme için korundu.</x:v>
      </x:c>
    </x:row>
    <x:row r="673">
      <x:c r="A673" t="str">
        <x:v>Noite Coffee</x:v>
      </x:c>
      <x:c r="B673" t="str">
        <x:v>Ürün kaydı</x:v>
      </x:c>
      <x:c r="C673" t="str">
        <x:v>Colombia, El Progreso Washed Carbonic Maceration | Noite Coffee Roaster</x:v>
      </x:c>
      <x:c r="D673" t="str">
        <x:v>Kolombiya</x:v>
      </x:c>
      <x:c r="E673" s="1" t="str">
        <x:v>Erişilemedi</x:v>
      </x:c>
      <x:c r="F673" s="2" t="n">
        <x:v>0</x:v>
      </x:c>
      <x:c r="G673" t="str">
        <x:v>Gramaj + fiyat</x:v>
      </x:c>
      <x:c r="H673" t="str">
        <x:v>Site haritası ürün sayfası</x:v>
      </x:c>
      <x:c r="I673" s="28" t="str">
        <x:v>https://www.noitecoffee.com/product-page/colombia-el-progreso-washed-carbonic-maceration</x:v>
      </x:c>
      <x:c r="J673" s="28" t="str">
        <x:v>Ürün kimliği korundu; eksik alanlar erişilemedi olarak işaretlenecek.</x:v>
      </x:c>
    </x:row>
    <x:row r="674">
      <x:c r="A674" t="str">
        <x:v>Noite Coffee</x:v>
      </x:c>
      <x:c r="B674" t="str">
        <x:v>Ürün kaydı</x:v>
      </x:c>
      <x:c r="C674" t="str">
        <x:v>Colombia, La Loma Sidra Cold Fermentation | Noite Coffee Roaster</x:v>
      </x:c>
      <x:c r="D674" t="str">
        <x:v>Kolombiya</x:v>
      </x:c>
      <x:c r="E674" s="1" t="str">
        <x:v>Erişilemedi</x:v>
      </x:c>
      <x:c r="F674" s="2" t="n">
        <x:v>0</x:v>
      </x:c>
      <x:c r="G674" t="str">
        <x:v>Gramaj + fiyat</x:v>
      </x:c>
      <x:c r="H674" t="str">
        <x:v>Site haritası ürün sayfası</x:v>
      </x:c>
      <x:c r="I674" s="28" t="str">
        <x:v>https://www.noitecoffee.com/product-page/colombia-monteblanco-sidra</x:v>
      </x:c>
      <x:c r="J674" s="28" t="str">
        <x:v>Ürün kimliği korundu; eksik alanlar erişilemedi olarak işaretlenecek.</x:v>
      </x:c>
    </x:row>
    <x:row r="675">
      <x:c r="A675" t="str">
        <x:v>Noite Coffee</x:v>
      </x:c>
      <x:c r="B675" t="str">
        <x:v>Ürün kaydı</x:v>
      </x:c>
      <x:c r="C675" t="str">
        <x:v>Ethiopia, Bochesa Washed | Noite Coffee Roaster</x:v>
      </x:c>
      <x:c r="D675" t="str">
        <x:v>Etiyopya</x:v>
      </x:c>
      <x:c r="E675" s="1" t="str">
        <x:v>Erişilemedi</x:v>
      </x:c>
      <x:c r="F675" s="2" t="n">
        <x:v>0</x:v>
      </x:c>
      <x:c r="G675" t="str">
        <x:v>Gramaj + fiyat</x:v>
      </x:c>
      <x:c r="H675" t="str">
        <x:v>Site haritası ürün sayfası</x:v>
      </x:c>
      <x:c r="I675" s="28" t="str">
        <x:v>https://www.noitecoffee.com/product-page/ethiopa-bochesa</x:v>
      </x:c>
      <x:c r="J675" s="28" t="str">
        <x:v>Ürün kimliği korundu; eksik alanlar erişilemedi olarak işaretlenecek.</x:v>
      </x:c>
    </x:row>
    <x:row r="676">
      <x:c r="A676" t="str">
        <x:v>Noite Coffee</x:v>
      </x:c>
      <x:c r="B676" t="str">
        <x:v>Ürün kaydı</x:v>
      </x:c>
      <x:c r="C676" t="str">
        <x:v>Kahve İşleme Yöntemlerini Keşfedin</x:v>
      </x:c>
      <x:c r="D676" t="str">
        <x:v>Etiyopya</x:v>
      </x:c>
      <x:c r="E676" s="1" t="str">
        <x:v>Erişilemedi</x:v>
      </x:c>
      <x:c r="F676" s="2" t="n">
        <x:v>0</x:v>
      </x:c>
      <x:c r="G676" t="str">
        <x:v>Gramaj + fiyat</x:v>
      </x:c>
      <x:c r="H676" t="str">
        <x:v>Site haritası ürün sayfası</x:v>
      </x:c>
      <x:c r="I676" s="28" t="str">
        <x:v>https://www.noitecoffee.com/post/kahve-i-şleme-yöntemlerini-keşfedin</x:v>
      </x:c>
      <x:c r="J676" s="28" t="str">
        <x:v>Ürün kimliği korundu; eksik alanlar erişilemedi olarak işaretlenecek.</x:v>
      </x:c>
    </x:row>
    <x:row r="677">
      <x:c r="A677" t="str">
        <x:v>Noite Coffee</x:v>
      </x:c>
      <x:c r="B677" t="str">
        <x:v>Ürün kaydı</x:v>
      </x:c>
      <x:c r="C677" t="str">
        <x:v>Timemore Icicle Cold Brewer | Noite Coffee Roaster</x:v>
      </x:c>
      <x:c r="D677" t="str">
        <x:v>Menşe belirtilmemiş</x:v>
      </x:c>
      <x:c r="E677" s="1" t="str">
        <x:v>Erişilemedi</x:v>
      </x:c>
      <x:c r="F677" s="2" t="n">
        <x:v>0</x:v>
      </x:c>
      <x:c r="G677" t="str">
        <x:v>Gramaj + fiyat</x:v>
      </x:c>
      <x:c r="H677" t="str">
        <x:v>Site haritası ürün sayfası</x:v>
      </x:c>
      <x:c r="I677" s="28" t="str">
        <x:v>https://www.noitecoffee.com/product-page/timemore-icicle-cold-brewer</x:v>
      </x:c>
      <x:c r="J677" s="28" t="str">
        <x:v>Ürün kimliği korundu; eksik alanlar erişilemedi olarak işaretlenecek.</x:v>
      </x:c>
    </x:row>
    <x:row r="678">
      <x:c r="A678" t="str">
        <x:v>Nok Coffee</x:v>
      </x:c>
      <x:c r="B678" t="str">
        <x:v>Ürün kaydı</x:v>
      </x:c>
      <x:c r="C678" t="str">
        <x:v>Barista Espresso Kahve Harmanı - 200 gr</x:v>
      </x:c>
      <x:c r="D678" t="str">
        <x:v>Brezilya | Guatemala | Honduras</x:v>
      </x:c>
      <x:c r="E678" s="1" t="n">
        <x:v>200</x:v>
      </x:c>
      <x:c r="F678" s="2" t="str">
        <x:v>Erişilemedi</x:v>
      </x:c>
      <x:c r="G678" t="str">
        <x:v>Fiyat</x:v>
      </x:c>
      <x:c r="H678" t="str">
        <x:v>Shopify ürün akışı</x:v>
      </x:c>
      <x:c r="I678" s="28" t="str">
        <x:v>https://www.nokcoffee.com/products/barista-espresso-kahve-harmani-200-gr-1</x:v>
      </x:c>
      <x:c r="J678" s="28" t="str">
        <x:v>Satış varyantı erişilemedi.</x:v>
      </x:c>
    </x:row>
    <x:row r="679">
      <x:c r="A679" t="str">
        <x:v>Nok Coffee</x:v>
      </x:c>
      <x:c r="B679" t="str">
        <x:v>Ürün kaydı</x:v>
      </x:c>
      <x:c r="C679" t="str">
        <x:v>Brazil Mogiana Bella Giana - 200 Gr</x:v>
      </x:c>
      <x:c r="D679" t="str">
        <x:v>Brezilya</x:v>
      </x:c>
      <x:c r="E679" s="1" t="n">
        <x:v>200</x:v>
      </x:c>
      <x:c r="F679" s="2" t="str">
        <x:v>Erişilemedi</x:v>
      </x:c>
      <x:c r="G679" t="str">
        <x:v>Fiyat</x:v>
      </x:c>
      <x:c r="H679" t="str">
        <x:v>Shopify ürün akışı</x:v>
      </x:c>
      <x:c r="I679" s="28" t="str">
        <x:v>https://www.nokcoffee.com/products/brazil-mogiana-bella-giana-200-gr-1</x:v>
      </x:c>
      <x:c r="J679" s="28" t="str">
        <x:v>Satış varyantı erişilemedi.</x:v>
      </x:c>
    </x:row>
    <x:row r="680">
      <x:c r="A680" t="str">
        <x:v>Nok Coffee</x:v>
      </x:c>
      <x:c r="B680" t="str">
        <x:v>Ürün kaydı</x:v>
      </x:c>
      <x:c r="C680" t="str">
        <x:v>Breakfast Filtre Kahve Harmanı - 200 gr</x:v>
      </x:c>
      <x:c r="D680" t="str">
        <x:v>Brezilya | Hindistan</x:v>
      </x:c>
      <x:c r="E680" s="1" t="n">
        <x:v>200</x:v>
      </x:c>
      <x:c r="F680" s="2" t="str">
        <x:v>Erişilemedi</x:v>
      </x:c>
      <x:c r="G680" t="str">
        <x:v>Fiyat</x:v>
      </x:c>
      <x:c r="H680" t="str">
        <x:v>Shopify ürün akışı</x:v>
      </x:c>
      <x:c r="I680" s="28" t="str">
        <x:v>https://www.nokcoffee.com/products/breakfast-filtre-kahve-harmani-200-gr-1</x:v>
      </x:c>
      <x:c r="J680" s="28" t="str">
        <x:v>Satış varyantı erişilemedi.</x:v>
      </x:c>
    </x:row>
    <x:row r="681">
      <x:c r="A681" t="str">
        <x:v>Nok Coffee</x:v>
      </x:c>
      <x:c r="B681" t="str">
        <x:v>Ürün kaydı</x:v>
      </x:c>
      <x:c r="C681" t="str">
        <x:v>Colombia Excelso Popayan Çiğ Yeşil Kahve Çekirdek 1kg</x:v>
      </x:c>
      <x:c r="D681" t="str">
        <x:v>Kolombiya</x:v>
      </x:c>
      <x:c r="E681" s="1" t="n">
        <x:v>1000</x:v>
      </x:c>
      <x:c r="F681" s="2" t="str">
        <x:v>Erişilemedi</x:v>
      </x:c>
      <x:c r="G681" t="str">
        <x:v>Fiyat</x:v>
      </x:c>
      <x:c r="H681" t="str">
        <x:v>Shopify ürün akışı</x:v>
      </x:c>
      <x:c r="I681" s="28" t="str">
        <x:v>https://www.nokcoffee.com/products/colombia-excelso-popayan-cig-yesil-kahve-cekirdek-1kg</x:v>
      </x:c>
      <x:c r="J681" s="28" t="str">
        <x:v>Satış varyantı erişilemedi.</x:v>
      </x:c>
    </x:row>
    <x:row r="682">
      <x:c r="A682" t="str">
        <x:v>Nok Coffee</x:v>
      </x:c>
      <x:c r="B682" t="str">
        <x:v>Ürün kaydı</x:v>
      </x:c>
      <x:c r="C682" t="str">
        <x:v>Colombia Supremo Çiğ Yeşil Kahve Çekirdek 1kg</x:v>
      </x:c>
      <x:c r="D682" t="str">
        <x:v>Kolombiya</x:v>
      </x:c>
      <x:c r="E682" s="1" t="n">
        <x:v>1000</x:v>
      </x:c>
      <x:c r="F682" s="2" t="str">
        <x:v>Erişilemedi</x:v>
      </x:c>
      <x:c r="G682" t="str">
        <x:v>Fiyat</x:v>
      </x:c>
      <x:c r="H682" t="str">
        <x:v>Shopify ürün akışı</x:v>
      </x:c>
      <x:c r="I682" s="28" t="str">
        <x:v>https://www.nokcoffee.com/products/colombia-cig-yesil-kahve-cekirdek</x:v>
      </x:c>
      <x:c r="J682" s="28" t="str">
        <x:v>Satış varyantı erişilemedi.</x:v>
      </x:c>
    </x:row>
    <x:row r="683">
      <x:c r="A683" t="str">
        <x:v>Nok Coffee</x:v>
      </x:c>
      <x:c r="B683" t="str">
        <x:v>Ürün kaydı</x:v>
      </x:c>
      <x:c r="C683" t="str">
        <x:v>Colombia Supremo Huila Rafael - 200 Gr</x:v>
      </x:c>
      <x:c r="D683" t="str">
        <x:v>Kolombiya</x:v>
      </x:c>
      <x:c r="E683" s="1" t="n">
        <x:v>200</x:v>
      </x:c>
      <x:c r="F683" s="2" t="str">
        <x:v>Erişilemedi</x:v>
      </x:c>
      <x:c r="G683" t="str">
        <x:v>Fiyat</x:v>
      </x:c>
      <x:c r="H683" t="str">
        <x:v>Shopify ürün akışı</x:v>
      </x:c>
      <x:c r="I683" s="28" t="str">
        <x:v>https://www.nokcoffee.com/products/colombia-supremo-huila-rafael-200-gr-1</x:v>
      </x:c>
      <x:c r="J683" s="28" t="str">
        <x:v>Satış varyantı erişilemedi.</x:v>
      </x:c>
    </x:row>
    <x:row r="684">
      <x:c r="A684" t="str">
        <x:v>Nok Coffee</x:v>
      </x:c>
      <x:c r="B684" t="str">
        <x:v>Ürün kaydı</x:v>
      </x:c>
      <x:c r="C684" t="str">
        <x:v>Çikolata Kalıbı - Silikon - Kahve Çekirdeği</x:v>
      </x:c>
      <x:c r="D684" t="str">
        <x:v>Menşe belirtilmemiş</x:v>
      </x:c>
      <x:c r="E684" s="1" t="str">
        <x:v>Erişilemedi</x:v>
      </x:c>
      <x:c r="F684" s="2" t="str">
        <x:v>Erişilemedi</x:v>
      </x:c>
      <x:c r="G684" t="str">
        <x:v>Gramaj + fiyat</x:v>
      </x:c>
      <x:c r="H684" t="str">
        <x:v>Shopify ürün akışı</x:v>
      </x:c>
      <x:c r="I684" s="28" t="str">
        <x:v>https://www.nokcoffee.com/products/cikolata-kalibi-silikon-kahve-cekirdegi</x:v>
      </x:c>
      <x:c r="J684" s="28" t="str">
        <x:v>Satış varyantı erişilemedi.</x:v>
      </x:c>
    </x:row>
    <x:row r="685">
      <x:c r="A685" t="str">
        <x:v>Nok Coffee</x:v>
      </x:c>
      <x:c r="B685" t="str">
        <x:v>Ürün kaydı</x:v>
      </x:c>
      <x:c r="C685" t="str">
        <x:v>Ethiopia Djimmah Grade 4 - 100 gr</x:v>
      </x:c>
      <x:c r="D685" t="str">
        <x:v>Etiyopya</x:v>
      </x:c>
      <x:c r="E685" s="1" t="n">
        <x:v>100</x:v>
      </x:c>
      <x:c r="F685" s="2" t="str">
        <x:v>Erişilemedi</x:v>
      </x:c>
      <x:c r="G685" t="str">
        <x:v>Fiyat</x:v>
      </x:c>
      <x:c r="H685" t="str">
        <x:v>Shopify ürün akışı</x:v>
      </x:c>
      <x:c r="I685" s="28" t="str">
        <x:v>https://www.nokcoffee.com/products/ethiopia-djimmah-grade-4-100-gr</x:v>
      </x:c>
      <x:c r="J685" s="28" t="str">
        <x:v>Satış varyantı erişilemedi.</x:v>
      </x:c>
    </x:row>
    <x:row r="686">
      <x:c r="A686" t="str">
        <x:v>Nok Coffee</x:v>
      </x:c>
      <x:c r="B686" t="str">
        <x:v>Ürün kaydı</x:v>
      </x:c>
      <x:c r="C686" t="str">
        <x:v>Ethiopia Djimmah Grade 4 - 200 Gr.</x:v>
      </x:c>
      <x:c r="D686" t="str">
        <x:v>Etiyopya</x:v>
      </x:c>
      <x:c r="E686" s="1" t="n">
        <x:v>200</x:v>
      </x:c>
      <x:c r="F686" s="2" t="str">
        <x:v>Erişilemedi</x:v>
      </x:c>
      <x:c r="G686" t="str">
        <x:v>Fiyat</x:v>
      </x:c>
      <x:c r="H686" t="str">
        <x:v>Shopify ürün akışı</x:v>
      </x:c>
      <x:c r="I686" s="28" t="str">
        <x:v>https://www.nokcoffee.com/products/ethiopia-djimmah-grade-4-200-gr-1</x:v>
      </x:c>
      <x:c r="J686" s="28" t="str">
        <x:v>Satış varyantı erişilemedi.</x:v>
      </x:c>
    </x:row>
    <x:row r="687">
      <x:c r="A687" t="str">
        <x:v>Nok Coffee</x:v>
      </x:c>
      <x:c r="B687" t="str">
        <x:v>Ürün kaydı</x:v>
      </x:c>
      <x:c r="C687" t="str">
        <x:v>Ethiopia Djimmah Grade 4 Çiğ Yeşil Kahve Çekirdek 1 kg</x:v>
      </x:c>
      <x:c r="D687" t="str">
        <x:v>Etiyopya</x:v>
      </x:c>
      <x:c r="E687" s="1" t="n">
        <x:v>1000</x:v>
      </x:c>
      <x:c r="F687" s="2" t="str">
        <x:v>Erişilemedi</x:v>
      </x:c>
      <x:c r="G687" t="str">
        <x:v>Fiyat</x:v>
      </x:c>
      <x:c r="H687" t="str">
        <x:v>Shopify ürün akışı</x:v>
      </x:c>
      <x:c r="I687" s="28" t="str">
        <x:v>https://www.nokcoffee.com/products/ethiopia-djimmah-yesil-kahve-cekirdek</x:v>
      </x:c>
      <x:c r="J687" s="28" t="str">
        <x:v>Satış varyantı erişilemedi.</x:v>
      </x:c>
    </x:row>
    <x:row r="688">
      <x:c r="A688" t="str">
        <x:v>Nok Coffee</x:v>
      </x:c>
      <x:c r="B688" t="str">
        <x:v>Ürün kaydı</x:v>
      </x:c>
      <x:c r="C688" t="str">
        <x:v>Ethiopia Guji - Çiğ Yeşil Kahve Çekirdek 1kg</x:v>
      </x:c>
      <x:c r="D688" t="str">
        <x:v>Etiyopya</x:v>
      </x:c>
      <x:c r="E688" s="1" t="n">
        <x:v>1000</x:v>
      </x:c>
      <x:c r="F688" s="2" t="str">
        <x:v>Erişilemedi</x:v>
      </x:c>
      <x:c r="G688" t="str">
        <x:v>Fiyat</x:v>
      </x:c>
      <x:c r="H688" t="str">
        <x:v>Shopify ürün akışı</x:v>
      </x:c>
      <x:c r="I688" s="28" t="str">
        <x:v>https://www.nokcoffee.com/products/ethiopia-guji-cig-yesil-kahve-cekirdek-1kg</x:v>
      </x:c>
      <x:c r="J688" s="28" t="str">
        <x:v>Satış varyantı erişilemedi.</x:v>
      </x:c>
    </x:row>
    <x:row r="689">
      <x:c r="A689" t="str">
        <x:v>Nok Coffee</x:v>
      </x:c>
      <x:c r="B689" t="str">
        <x:v>Ürün kaydı</x:v>
      </x:c>
      <x:c r="C689" t="str">
        <x:v>Ethiopia Guji Grade 2 - 200 Gr</x:v>
      </x:c>
      <x:c r="D689" t="str">
        <x:v>Etiyopya</x:v>
      </x:c>
      <x:c r="E689" s="1" t="n">
        <x:v>200</x:v>
      </x:c>
      <x:c r="F689" s="2" t="str">
        <x:v>Erişilemedi</x:v>
      </x:c>
      <x:c r="G689" t="str">
        <x:v>Fiyat</x:v>
      </x:c>
      <x:c r="H689" t="str">
        <x:v>Shopify ürün akışı</x:v>
      </x:c>
      <x:c r="I689" s="28" t="str">
        <x:v>https://www.nokcoffee.com/products/ethiopia-guji-grade-2-200-gr-1</x:v>
      </x:c>
      <x:c r="J689" s="28" t="str">
        <x:v>Satış varyantı erişilemedi.</x:v>
      </x:c>
    </x:row>
    <x:row r="690">
      <x:c r="A690" t="str">
        <x:v>Nok Coffee</x:v>
      </x:c>
      <x:c r="B690" t="str">
        <x:v>Ürün kaydı</x:v>
      </x:c>
      <x:c r="C690" t="str">
        <x:v>Ethiopia Sidamo Grade 2 - 200 Gr</x:v>
      </x:c>
      <x:c r="D690" t="str">
        <x:v>Etiyopya</x:v>
      </x:c>
      <x:c r="E690" s="1" t="n">
        <x:v>200</x:v>
      </x:c>
      <x:c r="F690" s="2" t="str">
        <x:v>Erişilemedi</x:v>
      </x:c>
      <x:c r="G690" t="str">
        <x:v>Fiyat</x:v>
      </x:c>
      <x:c r="H690" t="str">
        <x:v>Shopify ürün akışı</x:v>
      </x:c>
      <x:c r="I690" s="28" t="str">
        <x:v>https://www.nokcoffee.com/products/ethiopia-sidamo-grade-2-200-gr-1</x:v>
      </x:c>
      <x:c r="J690" s="28" t="str">
        <x:v>Satış varyantı erişilemedi.</x:v>
      </x:c>
    </x:row>
    <x:row r="691">
      <x:c r="A691" t="str">
        <x:v>Nok Coffee</x:v>
      </x:c>
      <x:c r="B691" t="str">
        <x:v>Ürün kaydı</x:v>
      </x:c>
      <x:c r="C691" t="str">
        <x:v>Ethiopia Sidamo Grade 2 - Çiğ Yeşil Kahve Çekirdek 1kg</x:v>
      </x:c>
      <x:c r="D691" t="str">
        <x:v>Etiyopya</x:v>
      </x:c>
      <x:c r="E691" s="1" t="n">
        <x:v>1000</x:v>
      </x:c>
      <x:c r="F691" s="2" t="str">
        <x:v>Erişilemedi</x:v>
      </x:c>
      <x:c r="G691" t="str">
        <x:v>Fiyat</x:v>
      </x:c>
      <x:c r="H691" t="str">
        <x:v>Shopify ürün akışı</x:v>
      </x:c>
      <x:c r="I691" s="28" t="str">
        <x:v>https://www.nokcoffee.com/products/ethiopia-sidamo-grade-2-cig-yesil-kahve-cekirdek-1kg</x:v>
      </x:c>
      <x:c r="J691" s="28" t="str">
        <x:v>Satış varyantı erişilemedi.</x:v>
      </x:c>
    </x:row>
    <x:row r="692">
      <x:c r="A692" t="str">
        <x:v>Nok Coffee</x:v>
      </x:c>
      <x:c r="B692" t="str">
        <x:v>Ürün kaydı</x:v>
      </x:c>
      <x:c r="C692" t="str">
        <x:v>French Press Black</x:v>
      </x:c>
      <x:c r="D692" t="str">
        <x:v>Menşe belirtilmemiş</x:v>
      </x:c>
      <x:c r="E692" s="1" t="str">
        <x:v>Erişilemedi</x:v>
      </x:c>
      <x:c r="F692" s="2" t="n">
        <x:v>649.82</x:v>
      </x:c>
      <x:c r="G692" t="str">
        <x:v>Gramaj</x:v>
      </x:c>
      <x:c r="H692" t="str">
        <x:v>Shopify ürün akışı</x:v>
      </x:c>
      <x:c r="I692" s="28" t="str">
        <x:v>https://www.nokcoffee.com/products/french-press-duz-350e</x:v>
      </x:c>
      <x:c r="J692" s="28" t="str">
        <x:v>Öğütüm seçenekleri tekilleştirildi.</x:v>
      </x:c>
    </x:row>
    <x:row r="693">
      <x:c r="A693" t="str">
        <x:v>Nok Coffee</x:v>
      </x:c>
      <x:c r="B693" t="str">
        <x:v>Ürün kaydı</x:v>
      </x:c>
      <x:c r="C693" t="str">
        <x:v>French Press Rose Gold</x:v>
      </x:c>
      <x:c r="D693" t="str">
        <x:v>Menşe belirtilmemiş</x:v>
      </x:c>
      <x:c r="E693" s="1" t="str">
        <x:v>Erişilemedi</x:v>
      </x:c>
      <x:c r="F693" s="2" t="n">
        <x:v>689.72</x:v>
      </x:c>
      <x:c r="G693" t="str">
        <x:v>Gramaj</x:v>
      </x:c>
      <x:c r="H693" t="str">
        <x:v>Shopify ürün akışı</x:v>
      </x:c>
      <x:c r="I693" s="28" t="str">
        <x:v>https://www.nokcoffee.com/products/french-press-duz-350b</x:v>
      </x:c>
      <x:c r="J693" s="28" t="str">
        <x:v>Öğütüm seçenekleri tekilleştirildi.</x:v>
      </x:c>
    </x:row>
    <x:row r="694">
      <x:c r="A694" t="str">
        <x:v>Nok Coffee</x:v>
      </x:c>
      <x:c r="B694" t="str">
        <x:v>Ürün kaydı</x:v>
      </x:c>
      <x:c r="C694" t="str">
        <x:v>French Press Silver</x:v>
      </x:c>
      <x:c r="D694" t="str">
        <x:v>Menşe belirtilmemiş</x:v>
      </x:c>
      <x:c r="E694" s="1" t="str">
        <x:v>Erişilemedi</x:v>
      </x:c>
      <x:c r="F694" s="2" t="n">
        <x:v>672.62</x:v>
      </x:c>
      <x:c r="G694" t="str">
        <x:v>Gramaj</x:v>
      </x:c>
      <x:c r="H694" t="str">
        <x:v>Shopify ürün akışı</x:v>
      </x:c>
      <x:c r="I694" s="28" t="str">
        <x:v>https://www.nokcoffee.com/products/french-pressduz-350d</x:v>
      </x:c>
      <x:c r="J694" s="28" t="str">
        <x:v>Öğütüm seçenekleri tekilleştirildi.</x:v>
      </x:c>
    </x:row>
    <x:row r="695">
      <x:c r="A695" t="str">
        <x:v>Nok Coffee</x:v>
      </x:c>
      <x:c r="B695" t="str">
        <x:v>Ürün kaydı</x:v>
      </x:c>
      <x:c r="C695" t="str">
        <x:v>Guatemala El Jaguar - 200 Gr</x:v>
      </x:c>
      <x:c r="D695" t="str">
        <x:v>Guatemala</x:v>
      </x:c>
      <x:c r="E695" s="1" t="n">
        <x:v>200</x:v>
      </x:c>
      <x:c r="F695" s="2" t="str">
        <x:v>Erişilemedi</x:v>
      </x:c>
      <x:c r="G695" t="str">
        <x:v>Fiyat</x:v>
      </x:c>
      <x:c r="H695" t="str">
        <x:v>Shopify ürün akışı</x:v>
      </x:c>
      <x:c r="I695" s="28" t="str">
        <x:v>https://www.nokcoffee.com/products/guatemala-el-jaguar-200-gr-1</x:v>
      </x:c>
      <x:c r="J695" s="28" t="str">
        <x:v>Satış varyantı erişilemedi.</x:v>
      </x:c>
    </x:row>
    <x:row r="696">
      <x:c r="A696" t="str">
        <x:v>Nok Coffee</x:v>
      </x:c>
      <x:c r="B696" t="str">
        <x:v>Ürün kaydı</x:v>
      </x:c>
      <x:c r="C696" t="str">
        <x:v>Hassas Kahve Tartısı</x:v>
      </x:c>
      <x:c r="D696" t="str">
        <x:v>Menşe belirtilmemiş</x:v>
      </x:c>
      <x:c r="E696" s="1" t="str">
        <x:v>Erişilemedi</x:v>
      </x:c>
      <x:c r="F696" s="2" t="n">
        <x:v>1065.94</x:v>
      </x:c>
      <x:c r="G696" t="str">
        <x:v>Gramaj</x:v>
      </x:c>
      <x:c r="H696" t="str">
        <x:v>Shopify ürün akışı</x:v>
      </x:c>
      <x:c r="I696" s="28" t="str">
        <x:v>https://www.nokcoffee.com/products/hassas-kahve-tartisi-kt-02</x:v>
      </x:c>
      <x:c r="J696" s="28" t="str">
        <x:v>Öğütüm seçenekleri tekilleştirildi.</x:v>
      </x:c>
    </x:row>
    <x:row r="697">
      <x:c r="A697" t="str">
        <x:v>Nok Coffee</x:v>
      </x:c>
      <x:c r="B697" t="str">
        <x:v>Ürün kaydı</x:v>
      </x:c>
      <x:c r="C697" t="str">
        <x:v>Hassas Kahve Tartısı</x:v>
      </x:c>
      <x:c r="D697" t="str">
        <x:v>Menşe belirtilmemiş</x:v>
      </x:c>
      <x:c r="E697" s="1" t="str">
        <x:v>Erişilemedi</x:v>
      </x:c>
      <x:c r="F697" s="2" t="n">
        <x:v>861.87</x:v>
      </x:c>
      <x:c r="G697" t="str">
        <x:v>Gramaj</x:v>
      </x:c>
      <x:c r="H697" t="str">
        <x:v>Shopify ürün akışı</x:v>
      </x:c>
      <x:c r="I697" s="28" t="str">
        <x:v>https://www.nokcoffee.com/products/hassas-kahve-tartisi</x:v>
      </x:c>
      <x:c r="J697" s="28" t="str">
        <x:v>Öğütüm seçenekleri tekilleştirildi.</x:v>
      </x:c>
    </x:row>
    <x:row r="698">
      <x:c r="A698" t="str">
        <x:v>Nok Coffee</x:v>
      </x:c>
      <x:c r="B698" t="str">
        <x:v>Ürün kaydı</x:v>
      </x:c>
      <x:c r="C698" t="str">
        <x:v>Honduras Finca Rio Colorado - 200 Gr</x:v>
      </x:c>
      <x:c r="D698" t="str">
        <x:v>Honduras</x:v>
      </x:c>
      <x:c r="E698" s="1" t="n">
        <x:v>200</x:v>
      </x:c>
      <x:c r="F698" s="2" t="str">
        <x:v>Erişilemedi</x:v>
      </x:c>
      <x:c r="G698" t="str">
        <x:v>Fiyat</x:v>
      </x:c>
      <x:c r="H698" t="str">
        <x:v>Shopify ürün akışı</x:v>
      </x:c>
      <x:c r="I698" s="28" t="str">
        <x:v>https://www.nokcoffee.com/products/honduras-finca-rio-colorado-200-gr-1</x:v>
      </x:c>
      <x:c r="J698" s="28" t="str">
        <x:v>Satış varyantı erişilemedi.</x:v>
      </x:c>
    </x:row>
    <x:row r="699">
      <x:c r="A699" t="str">
        <x:v>Nok Coffee</x:v>
      </x:c>
      <x:c r="B699" t="str">
        <x:v>Ürün kaydı</x:v>
      </x:c>
      <x:c r="C699" t="str">
        <x:v>India Robusta Çiğ Yeşil Kahve Çekirdek 1kg</x:v>
      </x:c>
      <x:c r="D699" t="str">
        <x:v>Hindistan</x:v>
      </x:c>
      <x:c r="E699" s="1" t="n">
        <x:v>1000</x:v>
      </x:c>
      <x:c r="F699" s="2" t="str">
        <x:v>Erişilemedi</x:v>
      </x:c>
      <x:c r="G699" t="str">
        <x:v>Fiyat</x:v>
      </x:c>
      <x:c r="H699" t="str">
        <x:v>Shopify ürün akışı</x:v>
      </x:c>
      <x:c r="I699" s="28" t="str">
        <x:v>https://www.nokcoffee.com/products/india-robusta-cherry-aa-cig-yesil-kahve-cekirdek</x:v>
      </x:c>
      <x:c r="J699" s="28" t="str">
        <x:v>Satış varyantı erişilemedi.</x:v>
      </x:c>
    </x:row>
    <x:row r="700">
      <x:c r="A700" t="str">
        <x:v>Nok Coffee</x:v>
      </x:c>
      <x:c r="B700" t="str">
        <x:v>Ürün kaydı</x:v>
      </x:c>
      <x:c r="C700" t="str">
        <x:v>Intenso Espresso Kahve Harmanı - 200 gr</x:v>
      </x:c>
      <x:c r="D700" t="str">
        <x:v>Brezilya | Hindistan</x:v>
      </x:c>
      <x:c r="E700" s="1" t="n">
        <x:v>200</x:v>
      </x:c>
      <x:c r="F700" s="2" t="str">
        <x:v>Erişilemedi</x:v>
      </x:c>
      <x:c r="G700" t="str">
        <x:v>Fiyat</x:v>
      </x:c>
      <x:c r="H700" t="str">
        <x:v>Shopify ürün akışı</x:v>
      </x:c>
      <x:c r="I700" s="28" t="str">
        <x:v>https://www.nokcoffee.com/products/intenso-espresso-kahve-harmani-200-gr-1</x:v>
      </x:c>
      <x:c r="J700" s="28" t="str">
        <x:v>Satış varyantı erişilemedi.</x:v>
      </x:c>
    </x:row>
    <x:row r="701">
      <x:c r="A701" t="str">
        <x:v>Nok Coffee</x:v>
      </x:c>
      <x:c r="B701" t="str">
        <x:v>Ürün kaydı</x:v>
      </x:c>
      <x:c r="C701" t="str">
        <x:v>Italiano Espresso Kahve Harmanı - 200 gr</x:v>
      </x:c>
      <x:c r="D701" t="str">
        <x:v>Harman – menşe belirtilmemiş</x:v>
      </x:c>
      <x:c r="E701" s="1" t="n">
        <x:v>200</x:v>
      </x:c>
      <x:c r="F701" s="2" t="str">
        <x:v>Erişilemedi</x:v>
      </x:c>
      <x:c r="G701" t="str">
        <x:v>Fiyat</x:v>
      </x:c>
      <x:c r="H701" t="str">
        <x:v>Shopify ürün akışı</x:v>
      </x:c>
      <x:c r="I701" s="28" t="str">
        <x:v>https://www.nokcoffee.com/products/italiano-espresso-kahve-harmani-200-gr-1</x:v>
      </x:c>
      <x:c r="J701" s="28" t="str">
        <x:v>Satış varyantı erişilemedi.</x:v>
      </x:c>
    </x:row>
    <x:row r="702">
      <x:c r="A702" t="str">
        <x:v>Nok Coffee</x:v>
      </x:c>
      <x:c r="B702" t="str">
        <x:v>Ürün kaydı</x:v>
      </x:c>
      <x:c r="C702" t="str">
        <x:v>Kenya AA Muranga - 200 gr</x:v>
      </x:c>
      <x:c r="D702" t="str">
        <x:v>Kenya</x:v>
      </x:c>
      <x:c r="E702" s="1" t="n">
        <x:v>200</x:v>
      </x:c>
      <x:c r="F702" s="2" t="str">
        <x:v>Erişilemedi</x:v>
      </x:c>
      <x:c r="G702" t="str">
        <x:v>Fiyat</x:v>
      </x:c>
      <x:c r="H702" t="str">
        <x:v>Shopify ürün akışı</x:v>
      </x:c>
      <x:c r="I702" s="28" t="str">
        <x:v>https://www.nokcoffee.com/products/kenya-aa-muranga-200-gr</x:v>
      </x:c>
      <x:c r="J702" s="28" t="str">
        <x:v>Satış varyantı erişilemedi.</x:v>
      </x:c>
    </x:row>
    <x:row r="703">
      <x:c r="A703" t="str">
        <x:v>Nok Coffee</x:v>
      </x:c>
      <x:c r="B703" t="str">
        <x:v>Ürün kaydı</x:v>
      </x:c>
      <x:c r="C703" t="str">
        <x:v>Motta Süt Potu 500 ml Mavi</x:v>
      </x:c>
      <x:c r="D703" t="str">
        <x:v>Menşe belirtilmemiş</x:v>
      </x:c>
      <x:c r="E703" s="1" t="str">
        <x:v>Erişilemedi</x:v>
      </x:c>
      <x:c r="F703" s="2" t="str">
        <x:v>Erişilemedi</x:v>
      </x:c>
      <x:c r="G703" t="str">
        <x:v>Gramaj + fiyat</x:v>
      </x:c>
      <x:c r="H703" t="str">
        <x:v>Shopify ürün akışı</x:v>
      </x:c>
      <x:c r="I703" s="28" t="str">
        <x:v>https://www.nokcoffee.com/products/motto-sut-potu-500-ml-4150-mspt-500m</x:v>
      </x:c>
      <x:c r="J703" s="28" t="str">
        <x:v>Satış varyantı erişilemedi.</x:v>
      </x:c>
    </x:row>
    <x:row r="704">
      <x:c r="A704" t="str">
        <x:v>Nok Coffee</x:v>
      </x:c>
      <x:c r="B704" t="str">
        <x:v>Ürün kaydı</x:v>
      </x:c>
      <x:c r="C704" t="str">
        <x:v>Motta Süt Potu 500 ml Sarı</x:v>
      </x:c>
      <x:c r="D704" t="str">
        <x:v>Menşe belirtilmemiş</x:v>
      </x:c>
      <x:c r="E704" s="1" t="str">
        <x:v>Erişilemedi</x:v>
      </x:c>
      <x:c r="F704" s="2" t="str">
        <x:v>Erişilemedi</x:v>
      </x:c>
      <x:c r="G704" t="str">
        <x:v>Gramaj + fiyat</x:v>
      </x:c>
      <x:c r="H704" t="str">
        <x:v>Shopify ürün akışı</x:v>
      </x:c>
      <x:c r="I704" s="28" t="str">
        <x:v>https://www.nokcoffee.com/products/motta-sut-potu-500-ml-450-mspt-500s</x:v>
      </x:c>
      <x:c r="J704" s="28" t="str">
        <x:v>Satış varyantı erişilemedi.</x:v>
      </x:c>
    </x:row>
    <x:row r="705">
      <x:c r="A705" t="str">
        <x:v>Nok Coffee</x:v>
      </x:c>
      <x:c r="B705" t="str">
        <x:v>Ürün kaydı</x:v>
      </x:c>
      <x:c r="C705" t="str">
        <x:v>Nicaragua SHG EP San Jose Estate - 200 Gr</x:v>
      </x:c>
      <x:c r="D705" t="str">
        <x:v>Nikaragua</x:v>
      </x:c>
      <x:c r="E705" s="1" t="n">
        <x:v>200</x:v>
      </x:c>
      <x:c r="F705" s="2" t="str">
        <x:v>Erişilemedi</x:v>
      </x:c>
      <x:c r="G705" t="str">
        <x:v>Fiyat</x:v>
      </x:c>
      <x:c r="H705" t="str">
        <x:v>Shopify ürün akışı</x:v>
      </x:c>
      <x:c r="I705" s="28" t="str">
        <x:v>https://www.nokcoffee.com/products/nicaragua-shg-ep-san-jose-estate-200-gr-1</x:v>
      </x:c>
      <x:c r="J705" s="28" t="str">
        <x:v>Satış varyantı erişilemedi.</x:v>
      </x:c>
    </x:row>
    <x:row r="706">
      <x:c r="A706" t="str">
        <x:v>Nok Coffee</x:v>
      </x:c>
      <x:c r="B706" t="str">
        <x:v>Ürün kaydı</x:v>
      </x:c>
      <x:c r="C706" t="str">
        <x:v>Nitelikli Türk Kahvesi - 200 gr (Rio Minas)</x:v>
      </x:c>
      <x:c r="D706" t="str">
        <x:v>Harman – menşe belirtilmemiş</x:v>
      </x:c>
      <x:c r="E706" s="1" t="n">
        <x:v>200</x:v>
      </x:c>
      <x:c r="F706" s="2" t="str">
        <x:v>Erişilemedi</x:v>
      </x:c>
      <x:c r="G706" t="str">
        <x:v>Fiyat</x:v>
      </x:c>
      <x:c r="H706" t="str">
        <x:v>Shopify ürün akışı</x:v>
      </x:c>
      <x:c r="I706" s="28" t="str">
        <x:v>https://www.nokcoffee.com/products/nitelikli-turk-kahvesi-200-gr-rio-minas</x:v>
      </x:c>
      <x:c r="J706" s="28" t="str">
        <x:v>Satış varyantı erişilemedi.</x:v>
      </x:c>
    </x:row>
    <x:row r="707">
      <x:c r="A707" t="str">
        <x:v>Nok Coffee</x:v>
      </x:c>
      <x:c r="B707" t="str">
        <x:v>Ürün kaydı</x:v>
      </x:c>
      <x:c r="C707" t="str">
        <x:v>Press Kahve Demleme</x:v>
      </x:c>
      <x:c r="D707" t="str">
        <x:v>Menşe belirtilmemiş</x:v>
      </x:c>
      <x:c r="E707" s="1" t="str">
        <x:v>Erişilemedi</x:v>
      </x:c>
      <x:c r="F707" s="2" t="str">
        <x:v>Erişilemedi</x:v>
      </x:c>
      <x:c r="G707" t="str">
        <x:v>Gramaj + fiyat</x:v>
      </x:c>
      <x:c r="H707" t="str">
        <x:v>Shopify ürün akışı</x:v>
      </x:c>
      <x:c r="I707" s="28" t="str">
        <x:v>https://www.nokcoffee.com/products/kahve-demleme-pd-01</x:v>
      </x:c>
      <x:c r="J707" s="28" t="str">
        <x:v>Satış varyantı erişilemedi.</x:v>
      </x:c>
    </x:row>
    <x:row r="708">
      <x:c r="A708" t="str">
        <x:v>Nok Coffee</x:v>
      </x:c>
      <x:c r="B708" t="str">
        <x:v>Ürün kaydı</x:v>
      </x:c>
      <x:c r="C708" t="str">
        <x:v>Soğuk Kahve Demleme Şişe 850 Ml</x:v>
      </x:c>
      <x:c r="D708" t="str">
        <x:v>Menşe belirtilmemiş</x:v>
      </x:c>
      <x:c r="E708" s="1" t="str">
        <x:v>Erişilemedi</x:v>
      </x:c>
      <x:c r="F708" s="2" t="str">
        <x:v>Erişilemedi</x:v>
      </x:c>
      <x:c r="G708" t="str">
        <x:v>Gramaj + fiyat</x:v>
      </x:c>
      <x:c r="H708" t="str">
        <x:v>Shopify ürün akışı</x:v>
      </x:c>
      <x:c r="I708" s="28" t="str">
        <x:v>https://www.nokcoffee.com/products/kahve-demleme</x:v>
      </x:c>
      <x:c r="J708" s="28" t="str">
        <x:v>Satış varyantı erişilemedi.</x:v>
      </x:c>
    </x:row>
    <x:row r="709">
      <x:c r="A709" t="str">
        <x:v>Nok Coffee</x:v>
      </x:c>
      <x:c r="B709" t="str">
        <x:v>Ürün kaydı</x:v>
      </x:c>
      <x:c r="C709" t="str">
        <x:v>Supremo Filtre Kahve Harmanı - 200 gr</x:v>
      </x:c>
      <x:c r="D709" t="str">
        <x:v>Brezilya | Guatemala | Honduras</x:v>
      </x:c>
      <x:c r="E709" s="1" t="n">
        <x:v>200</x:v>
      </x:c>
      <x:c r="F709" s="2" t="str">
        <x:v>Erişilemedi</x:v>
      </x:c>
      <x:c r="G709" t="str">
        <x:v>Fiyat</x:v>
      </x:c>
      <x:c r="H709" t="str">
        <x:v>Shopify ürün akışı</x:v>
      </x:c>
      <x:c r="I709" s="28" t="str">
        <x:v>https://www.nokcoffee.com/products/supremo-filtre-kahve-harmani-200-gr-1</x:v>
      </x:c>
      <x:c r="J709" s="28" t="str">
        <x:v>Satış varyantı erişilemedi.</x:v>
      </x:c>
    </x:row>
    <x:row r="710">
      <x:c r="A710" t="str">
        <x:v>Nok Coffee</x:v>
      </x:c>
      <x:c r="B710" t="str">
        <x:v>Ürün kaydı</x:v>
      </x:c>
      <x:c r="C710" t="str">
        <x:v>Süt Potu - 500 Ml</x:v>
      </x:c>
      <x:c r="D710" t="str">
        <x:v>Menşe belirtilmemiş</x:v>
      </x:c>
      <x:c r="E710" s="1" t="str">
        <x:v>Erişilemedi</x:v>
      </x:c>
      <x:c r="F710" s="2" t="n">
        <x:v>426.95</x:v>
      </x:c>
      <x:c r="G710" t="str">
        <x:v>Gramaj</x:v>
      </x:c>
      <x:c r="H710" t="str">
        <x:v>Shopify ürün akışı</x:v>
      </x:c>
      <x:c r="I710" s="28" t="str">
        <x:v>https://www.nokcoffee.com/products/sut-potu-500-ml-sp-500</x:v>
      </x:c>
      <x:c r="J710" s="28" t="str">
        <x:v>Öğütüm seçenekleri tekilleştirildi.</x:v>
      </x:c>
    </x:row>
    <x:row r="711">
      <x:c r="A711" t="str">
        <x:v>Nok Coffee</x:v>
      </x:c>
      <x:c r="B711" t="str">
        <x:v>Ürün kaydı</x:v>
      </x:c>
      <x:c r="C711" t="str">
        <x:v>Süt Potu Prof 700 ml</x:v>
      </x:c>
      <x:c r="D711" t="str">
        <x:v>Menşe belirtilmemiş</x:v>
      </x:c>
      <x:c r="E711" s="1" t="str">
        <x:v>Erişilemedi</x:v>
      </x:c>
      <x:c r="F711" s="2" t="n">
        <x:v>957.63</x:v>
      </x:c>
      <x:c r="G711" t="str">
        <x:v>Gramaj</x:v>
      </x:c>
      <x:c r="H711" t="str">
        <x:v>Shopify ürün akışı</x:v>
      </x:c>
      <x:c r="I711" s="28" t="str">
        <x:v>https://www.nokcoffee.com/products/sut-potu-prof-700-ml</x:v>
      </x:c>
      <x:c r="J711" s="28" t="str">
        <x:v>Öğütüm seçenekleri tekilleştirildi.</x:v>
      </x:c>
    </x:row>
    <x:row r="712">
      <x:c r="A712" t="str">
        <x:v>Norm Coffee</x:v>
      </x:c>
      <x:c r="B712" t="str">
        <x:v>Katalog takip kaydı</x:v>
      </x:c>
      <x:c r="C712" t="str">
        <x:v>Ürün kataloğu — ayrıntılı ürün verisine erişilemedi</x:v>
      </x:c>
      <x:c r="D712" t="str">
        <x:v>Erişilemedi</x:v>
      </x:c>
      <x:c r="E712" s="1" t="str">
        <x:v>Erişilemedi</x:v>
      </x:c>
      <x:c r="F712" s="2" t="str">
        <x:v>Erişilemedi</x:v>
      </x:c>
      <x:c r="G712" t="str">
        <x:v>Gramaj + fiyat</x:v>
      </x:c>
      <x:c r="H712" t="str">
        <x:v>Instagram veya mevcut kaynak</x:v>
      </x:c>
      <x:c r="I712" s="28" t="str">
        <x:v>Erişilemedi</x:v>
      </x:c>
      <x:c r="J712" s="28" t="str">
        <x:v>Ürün adı, gramaj ve fiyat birlikte çıkarılamadı. Bağlantı manuel inceleme için korundu.</x:v>
      </x:c>
    </x:row>
    <x:row r="713">
      <x:c r="A713" t="str">
        <x:v>Octagon Coffee</x:v>
      </x:c>
      <x:c r="B713" t="str">
        <x:v>Katalog takip kaydı</x:v>
      </x:c>
      <x:c r="C713" t="str">
        <x:v>Ürün kataloğu — ayrıntılı ürün verisine erişilemedi</x:v>
      </x:c>
      <x:c r="D713" t="str">
        <x:v>Erişilemedi</x:v>
      </x:c>
      <x:c r="E713" s="1" t="str">
        <x:v>Erişilemedi</x:v>
      </x:c>
      <x:c r="F713" s="2" t="str">
        <x:v>Erişilemedi</x:v>
      </x:c>
      <x:c r="G713" t="str">
        <x:v>Gramaj + fiyat</x:v>
      </x:c>
      <x:c r="H713" t="str">
        <x:v>Mağaza/katalog bağlantısı</x:v>
      </x:c>
      <x:c r="I713" s="28" t="str">
        <x:v>https://octagonroastery.com/</x:v>
      </x:c>
      <x:c r="J713" s="28" t="str">
        <x:v>Ürün adı, gramaj ve fiyat birlikte çıkarılamadı. Bağlantı manuel inceleme için korundu.</x:v>
      </x:c>
    </x:row>
    <x:row r="714">
      <x:c r="A714" t="str">
        <x:v>Old School Roastery</x:v>
      </x:c>
      <x:c r="B714" t="str">
        <x:v>Katalog takip kaydı</x:v>
      </x:c>
      <x:c r="C714" t="str">
        <x:v>Ürün kataloğu — ayrıntılı ürün verisine erişilemedi</x:v>
      </x:c>
      <x:c r="D714" t="str">
        <x:v>Erişilemedi</x:v>
      </x:c>
      <x:c r="E714" s="1" t="str">
        <x:v>Erişilemedi</x:v>
      </x:c>
      <x:c r="F714" s="2" t="str">
        <x:v>Erişilemedi</x:v>
      </x:c>
      <x:c r="G714" t="str">
        <x:v>Gramaj + fiyat</x:v>
      </x:c>
      <x:c r="H714" t="str">
        <x:v>Instagram veya mevcut kaynak</x:v>
      </x:c>
      <x:c r="I714" s="28" t="str">
        <x:v>Erişilemedi</x:v>
      </x:c>
      <x:c r="J714" s="28" t="str">
        <x:v>Ürün adı, gramaj ve fiyat birlikte çıkarılamadı. Bağlantı manuel inceleme için korundu.</x:v>
      </x:c>
    </x:row>
    <x:row r="715">
      <x:c r="A715" t="str">
        <x:v>Ordinarius Coffee Roastery</x:v>
      </x:c>
      <x:c r="B715" t="str">
        <x:v>Ürün kaydı</x:v>
      </x:c>
      <x:c r="C715" t="str">
        <x:v>ADVENTURE BOX 4 lÜ SERİ</x:v>
      </x:c>
      <x:c r="D715" t="str">
        <x:v>Menşe belirtilmemiş</x:v>
      </x:c>
      <x:c r="E715" s="1" t="str">
        <x:v>Erişilemedi</x:v>
      </x:c>
      <x:c r="F715" s="2" t="n">
        <x:v>950</x:v>
      </x:c>
      <x:c r="G715" t="str">
        <x:v>Gramaj</x:v>
      </x:c>
      <x:c r="H715" t="str">
        <x:v>WooCommerce Store API</x:v>
      </x:c>
      <x:c r="I715" s="28" t="str">
        <x:v>https://ordinariuscoffee.com/urun/adventure-box-4-seri/</x:v>
      </x:c>
      <x:c r="J715" s="28" t="str">
        <x:v>Fiyat veya gramaj eksik olsa da ürün korundu.</x:v>
      </x:c>
    </x:row>
    <x:row r="716">
      <x:c r="A716" t="str">
        <x:v>Ordinarius Coffee Roastery</x:v>
      </x:c>
      <x:c r="B716" t="str">
        <x:v>Ürün kaydı</x:v>
      </x:c>
      <x:c r="C716" t="str">
        <x:v>ENDONEZYA / MARABELLA / NATÜREL ANAEROBİK</x:v>
      </x:c>
      <x:c r="D716" t="str">
        <x:v>Endonezya</x:v>
      </x:c>
      <x:c r="E716" s="1" t="str">
        <x:v>Erişilemedi</x:v>
      </x:c>
      <x:c r="F716" s="2" t="n">
        <x:v>1000</x:v>
      </x:c>
      <x:c r="G716" t="str">
        <x:v>Gramaj</x:v>
      </x:c>
      <x:c r="H716" t="str">
        <x:v>WooCommerce Store API</x:v>
      </x:c>
      <x:c r="I716" s="28" t="str">
        <x:v>https://ordinariuscoffee.com/urun/endonezya-marabella-naturel-anaerobik/</x:v>
      </x:c>
      <x:c r="J716" s="28" t="str">
        <x:v>Fiyat veya gramaj eksik olsa da ürün korundu.</x:v>
      </x:c>
    </x:row>
    <x:row r="717">
      <x:c r="A717" t="str">
        <x:v>Ordinarius Coffee Roastery</x:v>
      </x:c>
      <x:c r="B717" t="str">
        <x:v>Ürün kaydı</x:v>
      </x:c>
      <x:c r="C717" t="str">
        <x:v>ENDONEZYA / O.B.A.N. / NATÜREL ANAEROBİK</x:v>
      </x:c>
      <x:c r="D717" t="str">
        <x:v>Endonezya</x:v>
      </x:c>
      <x:c r="E717" s="1" t="str">
        <x:v>Erişilemedi</x:v>
      </x:c>
      <x:c r="F717" s="2" t="n">
        <x:v>1000</x:v>
      </x:c>
      <x:c r="G717" t="str">
        <x:v>Gramaj</x:v>
      </x:c>
      <x:c r="H717" t="str">
        <x:v>WooCommerce Store API</x:v>
      </x:c>
      <x:c r="I717" s="28" t="str">
        <x:v>https://ordinariuscoffee.com/urun/endonezya-oban-natural-anaerobik/</x:v>
      </x:c>
      <x:c r="J717" s="28" t="str">
        <x:v>Fiyat veya gramaj eksik olsa da ürün korundu.</x:v>
      </x:c>
    </x:row>
    <x:row r="718">
      <x:c r="A718" t="str">
        <x:v>Ordinarius Coffee Roastery</x:v>
      </x:c>
      <x:c r="B718" t="str">
        <x:v>Ürün kaydı</x:v>
      </x:c>
      <x:c r="C718" t="str">
        <x:v>ETİYOPYA / ARICHA / NATÜREL</x:v>
      </x:c>
      <x:c r="D718" t="str">
        <x:v>Etiyopya</x:v>
      </x:c>
      <x:c r="E718" s="1" t="str">
        <x:v>Erişilemedi</x:v>
      </x:c>
      <x:c r="F718" s="2" t="n">
        <x:v>520</x:v>
      </x:c>
      <x:c r="G718" t="str">
        <x:v>Gramaj</x:v>
      </x:c>
      <x:c r="H718" t="str">
        <x:v>WooCommerce Store API</x:v>
      </x:c>
      <x:c r="I718" s="28" t="str">
        <x:v>https://ordinariuscoffee.com/urun/etiyopya-aricha-naturel/</x:v>
      </x:c>
      <x:c r="J718" s="28" t="str">
        <x:v>Fiyat veya gramaj eksik olsa da ürün korundu.</x:v>
      </x:c>
    </x:row>
    <x:row r="719">
      <x:c r="A719" t="str">
        <x:v>Ordinarius Coffee Roastery</x:v>
      </x:c>
      <x:c r="B719" t="str">
        <x:v>Ürün kaydı</x:v>
      </x:c>
      <x:c r="C719" t="str">
        <x:v>KOLOMBİYA / MİLAN / YIKANMIŞ NG</x:v>
      </x:c>
      <x:c r="D719" t="str">
        <x:v>Kolombiya</x:v>
      </x:c>
      <x:c r="E719" s="1" t="str">
        <x:v>Erişilemedi</x:v>
      </x:c>
      <x:c r="F719" s="2" t="n">
        <x:v>1100</x:v>
      </x:c>
      <x:c r="G719" t="str">
        <x:v>Gramaj</x:v>
      </x:c>
      <x:c r="H719" t="str">
        <x:v>WooCommerce Store API</x:v>
      </x:c>
      <x:c r="I719" s="28" t="str">
        <x:v>https://ordinariuscoffee.com/urun/kolombiya-milan-ng-yikanmis-ng/</x:v>
      </x:c>
      <x:c r="J719" s="28" t="str">
        <x:v>Fiyat veya gramaj eksik olsa da ürün korundu.</x:v>
      </x:c>
    </x:row>
    <x:row r="720">
      <x:c r="A720" t="str">
        <x:v>Ordinarius Coffee Roastery</x:v>
      </x:c>
      <x:c r="B720" t="str">
        <x:v>Ürün kaydı</x:v>
      </x:c>
      <x:c r="C720" t="str">
        <x:v>KOSTA RİKA / EL MANGO / FULL HONEY ANAEROBİK</x:v>
      </x:c>
      <x:c r="D720" t="str">
        <x:v>Kosta Rika</x:v>
      </x:c>
      <x:c r="E720" s="1" t="str">
        <x:v>Erişilemedi</x:v>
      </x:c>
      <x:c r="F720" s="2" t="n">
        <x:v>650</x:v>
      </x:c>
      <x:c r="G720" t="str">
        <x:v>Gramaj</x:v>
      </x:c>
      <x:c r="H720" t="str">
        <x:v>WooCommerce Store API</x:v>
      </x:c>
      <x:c r="I720" s="28" t="str">
        <x:v>https://ordinariuscoffee.com/urun/kosta-rika-el-mango-full-honey-anaerboik/</x:v>
      </x:c>
      <x:c r="J720" s="28" t="str">
        <x:v>Fiyat veya gramaj eksik olsa da ürün korundu.</x:v>
      </x:c>
    </x:row>
    <x:row r="721">
      <x:c r="A721" t="str">
        <x:v>Ordinarius Coffee Roastery</x:v>
      </x:c>
      <x:c r="B721" t="str">
        <x:v>Ürün kaydı</x:v>
      </x:c>
      <x:c r="C721" t="str">
        <x:v>PANAMA / CORPACHI / NATÜREL SOĞUK FERMANTASYON</x:v>
      </x:c>
      <x:c r="D721" t="str">
        <x:v>Panama</x:v>
      </x:c>
      <x:c r="E721" s="1" t="str">
        <x:v>Erişilemedi</x:v>
      </x:c>
      <x:c r="F721" s="2" t="n">
        <x:v>1135</x:v>
      </x:c>
      <x:c r="G721" t="str">
        <x:v>Gramaj</x:v>
      </x:c>
      <x:c r="H721" t="str">
        <x:v>WooCommerce Store API</x:v>
      </x:c>
      <x:c r="I721" s="28" t="str">
        <x:v>https://ordinariuscoffee.com/urun/panama-corpachi-naturel-soguk-fermantasyon/</x:v>
      </x:c>
      <x:c r="J721" s="28" t="str">
        <x:v>Fiyat veya gramaj eksik olsa da ürün korundu.</x:v>
      </x:c>
    </x:row>
    <x:row r="722">
      <x:c r="A722" t="str">
        <x:v>Orkun Üstel</x:v>
      </x:c>
      <x:c r="B722" t="str">
        <x:v>Ürün kaydı</x:v>
      </x:c>
      <x:c r="C722" t="str">
        <x:v>Brezilya Fonte Espresso</x:v>
      </x:c>
      <x:c r="D722" t="str">
        <x:v>Brezilya</x:v>
      </x:c>
      <x:c r="E722" s="1" t="str">
        <x:v>Erişilemedi</x:v>
      </x:c>
      <x:c r="F722" s="2" t="n">
        <x:v>8</x:v>
      </x:c>
      <x:c r="G722" t="str">
        <x:v>Gramaj</x:v>
      </x:c>
      <x:c r="H722" t="str">
        <x:v>Site haritası ürün sayfası</x:v>
      </x:c>
      <x:c r="I722" s="28" t="str">
        <x:v>https://orkunustel.com/nitelikli-kahve-brezilya-fonte-espresso</x:v>
      </x:c>
      <x:c r="J722" s="28" t="str">
        <x:v>Ürün kimliği korundu; eksik alanlar erişilemedi olarak işaretlenecek.</x:v>
      </x:c>
    </x:row>
    <x:row r="723">
      <x:c r="A723" t="str">
        <x:v>Orkun Üstel</x:v>
      </x:c>
      <x:c r="B723" t="str">
        <x:v>Ürün kaydı</x:v>
      </x:c>
      <x:c r="C723" t="str">
        <x:v>Brezilya Fonte Filtre</x:v>
      </x:c>
      <x:c r="D723" t="str">
        <x:v>Brezilya</x:v>
      </x:c>
      <x:c r="E723" s="1" t="str">
        <x:v>Erişilemedi</x:v>
      </x:c>
      <x:c r="F723" s="2" t="n">
        <x:v>8</x:v>
      </x:c>
      <x:c r="G723" t="str">
        <x:v>Gramaj</x:v>
      </x:c>
      <x:c r="H723" t="str">
        <x:v>Site haritası ürün sayfası</x:v>
      </x:c>
      <x:c r="I723" s="28" t="str">
        <x:v>https://orkunustel.com/brezilya-fonte-filtre-kahve</x:v>
      </x:c>
      <x:c r="J723" s="28" t="str">
        <x:v>Ürün kimliği korundu; eksik alanlar erişilemedi olarak işaretlenecek.</x:v>
      </x:c>
    </x:row>
    <x:row r="724">
      <x:c r="A724" t="str">
        <x:v>Orkun Üstel</x:v>
      </x:c>
      <x:c r="B724" t="str">
        <x:v>Ürün kaydı</x:v>
      </x:c>
      <x:c r="C724" t="str">
        <x:v>Kenya Nitelikli Kahve Seti</x:v>
      </x:c>
      <x:c r="D724" t="str">
        <x:v>Kenya</x:v>
      </x:c>
      <x:c r="E724" s="1" t="str">
        <x:v>Erişilemedi</x:v>
      </x:c>
      <x:c r="F724" s="2" t="n">
        <x:v>8</x:v>
      </x:c>
      <x:c r="G724" t="str">
        <x:v>Gramaj</x:v>
      </x:c>
      <x:c r="H724" t="str">
        <x:v>Site haritası ürün sayfası</x:v>
      </x:c>
      <x:c r="I724" s="28" t="str">
        <x:v>https://orkunustel.com/kenya-nitelikli-kahve-seti</x:v>
      </x:c>
      <x:c r="J724" s="28" t="str">
        <x:v>Ürün kimliği korundu; eksik alanlar erişilemedi olarak işaretlenecek.</x:v>
      </x:c>
    </x:row>
    <x:row r="725">
      <x:c r="A725" t="str">
        <x:v>Orkun Üstel</x:v>
      </x:c>
      <x:c r="B725" t="str">
        <x:v>Ürün kaydı</x:v>
      </x:c>
      <x:c r="C725" t="str">
        <x:v>Kosta Rika Volcan Azul Mokka (Filtre)</x:v>
      </x:c>
      <x:c r="D725" t="str">
        <x:v>Kosta Rika</x:v>
      </x:c>
      <x:c r="E725" s="1" t="str">
        <x:v>Erişilemedi</x:v>
      </x:c>
      <x:c r="F725" s="2" t="n">
        <x:v>8</x:v>
      </x:c>
      <x:c r="G725" t="str">
        <x:v>Gramaj</x:v>
      </x:c>
      <x:c r="H725" t="str">
        <x:v>Site haritası ürün sayfası</x:v>
      </x:c>
      <x:c r="I725" s="28" t="str">
        <x:v>https://orkunustel.com/kosta-rika-volcan-azul-mokka-filtre-kahve</x:v>
      </x:c>
      <x:c r="J725" s="28" t="str">
        <x:v>Ürün kimliği korundu; eksik alanlar erişilemedi olarak işaretlenecek.</x:v>
      </x:c>
    </x:row>
    <x:row r="726">
      <x:c r="A726" t="str">
        <x:v>Orkun Üstel</x:v>
      </x:c>
      <x:c r="B726" t="str">
        <x:v>Ürün kaydı</x:v>
      </x:c>
      <x:c r="C726" t="str">
        <x:v>Tanzanya Kilimanjaro AA</x:v>
      </x:c>
      <x:c r="D726" t="str">
        <x:v>Tanzanya</x:v>
      </x:c>
      <x:c r="E726" s="1" t="str">
        <x:v>Erişilemedi</x:v>
      </x:c>
      <x:c r="F726" s="2" t="n">
        <x:v>8</x:v>
      </x:c>
      <x:c r="G726" t="str">
        <x:v>Gramaj</x:v>
      </x:c>
      <x:c r="H726" t="str">
        <x:v>Site haritası ürün sayfası</x:v>
      </x:c>
      <x:c r="I726" s="28" t="str">
        <x:v>https://orkunustel.com/tanzanya-kilimanjaro-aa-filtre-kahve</x:v>
      </x:c>
      <x:c r="J726" s="28" t="str">
        <x:v>Ürün kimliği korundu; eksik alanlar erişilemedi olarak işaretlenecek.</x:v>
      </x:c>
    </x:row>
    <x:row r="727">
      <x:c r="A727" t="str">
        <x:v>Orkun Üstel</x:v>
      </x:c>
      <x:c r="B727" t="str">
        <x:v>Ürün kaydı</x:v>
      </x:c>
      <x:c r="C727" t="str">
        <x:v>Timemore Coffee Server 600ml</x:v>
      </x:c>
      <x:c r="D727" t="str">
        <x:v>Menşe belirtilmemiş</x:v>
      </x:c>
      <x:c r="E727" s="1" t="str">
        <x:v>Erişilemedi</x:v>
      </x:c>
      <x:c r="F727" s="2" t="n">
        <x:v>8</x:v>
      </x:c>
      <x:c r="G727" t="str">
        <x:v>Gramaj</x:v>
      </x:c>
      <x:c r="H727" t="str">
        <x:v>Site haritası ürün sayfası</x:v>
      </x:c>
      <x:c r="I727" s="28" t="str">
        <x:v>https://orkunustel.com/timemore-coffee-server-600ml</x:v>
      </x:c>
      <x:c r="J727" s="28" t="str">
        <x:v>Ürün kimliği korundu; eksik alanlar erişilemedi olarak işaretlenecek.</x:v>
      </x:c>
    </x:row>
    <x:row r="728">
      <x:c r="A728" t="str">
        <x:v>Orkun Üstel</x:v>
      </x:c>
      <x:c r="B728" t="str">
        <x:v>Ürün kaydı</x:v>
      </x:c>
      <x:c r="C728" t="str">
        <x:v>Wastepresso Candle + Friends Kahve Posalı Mum</x:v>
      </x:c>
      <x:c r="D728" t="str">
        <x:v>Menşe belirtilmemiş</x:v>
      </x:c>
      <x:c r="E728" s="1" t="str">
        <x:v>Erişilemedi</x:v>
      </x:c>
      <x:c r="F728" s="2" t="n">
        <x:v>8</x:v>
      </x:c>
      <x:c r="G728" t="str">
        <x:v>Gramaj</x:v>
      </x:c>
      <x:c r="H728" t="str">
        <x:v>Site haritası ürün sayfası</x:v>
      </x:c>
      <x:c r="I728" s="28" t="str">
        <x:v>https://orkunustel.com/wastepresso-candle-friends-kahveli-mum</x:v>
      </x:c>
      <x:c r="J728" s="28" t="str">
        <x:v>Ürün kimliği korundu; eksik alanlar erişilemedi olarak işaretlenecek.</x:v>
      </x:c>
    </x:row>
    <x:row r="729">
      <x:c r="A729" t="str">
        <x:v>Osso Osmanlı Kahvesi</x:v>
      </x:c>
      <x:c r="B729" t="str">
        <x:v>Katalog takip kaydı</x:v>
      </x:c>
      <x:c r="C729" t="str">
        <x:v>Ürün kataloğu — ayrıntılı ürün verisine erişilemedi</x:v>
      </x:c>
      <x:c r="D729" t="str">
        <x:v>Erişilemedi</x:v>
      </x:c>
      <x:c r="E729" s="1" t="str">
        <x:v>Erişilemedi</x:v>
      </x:c>
      <x:c r="F729" s="2" t="str">
        <x:v>Erişilemedi</x:v>
      </x:c>
      <x:c r="G729" t="str">
        <x:v>Gramaj + fiyat</x:v>
      </x:c>
      <x:c r="H729" t="str">
        <x:v>Instagram veya mevcut kaynak</x:v>
      </x:c>
      <x:c r="I729" s="28" t="str">
        <x:v>Erişilemedi</x:v>
      </x:c>
      <x:c r="J729" s="28" t="str">
        <x:v>Ürün adı, gramaj ve fiyat birlikte çıkarılamadı. Bağlantı manuel inceleme için korundu.</x:v>
      </x:c>
    </x:row>
    <x:row r="730">
      <x:c r="A730" t="str">
        <x:v>Oze Kahve</x:v>
      </x:c>
      <x:c r="B730" t="str">
        <x:v>Ürün kaydı</x:v>
      </x:c>
      <x:c r="C730" t="str">
        <x:v>Adaçayı 60 g</x:v>
      </x:c>
      <x:c r="D730" t="str">
        <x:v>Menşe belirtilmemiş</x:v>
      </x:c>
      <x:c r="E730" s="1" t="n">
        <x:v>60</x:v>
      </x:c>
      <x:c r="F730" s="2" t="n">
        <x:v>0</x:v>
      </x:c>
      <x:c r="G730" t="str">
        <x:v>Fiyat</x:v>
      </x:c>
      <x:c r="H730" t="str">
        <x:v>Site haritası ürün sayfası</x:v>
      </x:c>
      <x:c r="I730" s="28" t="str">
        <x:v>https://www.ozekahve.com.tr/adacayi-60g</x:v>
      </x:c>
      <x:c r="J730" s="28" t="str">
        <x:v>Ürün kimliği korundu; eksik alanlar erişilemedi olarak işaretlenecek.</x:v>
      </x:c>
    </x:row>
    <x:row r="731">
      <x:c r="A731" t="str">
        <x:v>Oze Kahve</x:v>
      </x:c>
      <x:c r="B731" t="str">
        <x:v>Ürün kaydı</x:v>
      </x:c>
      <x:c r="C731" t="str">
        <x:v>All Day Blend Filtre Kahve 1000 g</x:v>
      </x:c>
      <x:c r="D731" t="str">
        <x:v>Harman – menşe belirtilmemiş</x:v>
      </x:c>
      <x:c r="E731" s="1" t="n">
        <x:v>1000</x:v>
      </x:c>
      <x:c r="F731" s="2" t="n">
        <x:v>0</x:v>
      </x:c>
      <x:c r="G731" t="str">
        <x:v>Fiyat</x:v>
      </x:c>
      <x:c r="H731" t="str">
        <x:v>Site haritası ürün sayfası</x:v>
      </x:c>
      <x:c r="I731" s="28" t="str">
        <x:v>https://www.ozekahve.com.tr/all-day-blend-filtre-kahve-1000g</x:v>
      </x:c>
      <x:c r="J731" s="28" t="str">
        <x:v>Ürün kimliği korundu; eksik alanlar erişilemedi olarak işaretlenecek.</x:v>
      </x:c>
    </x:row>
    <x:row r="732">
      <x:c r="A732" t="str">
        <x:v>Oze Kahve</x:v>
      </x:c>
      <x:c r="B732" t="str">
        <x:v>Ürün kaydı</x:v>
      </x:c>
      <x:c r="C732" t="str">
        <x:v>All Day Blend Filtre Kahve 2 x 250 g</x:v>
      </x:c>
      <x:c r="D732" t="str">
        <x:v>Harman – menşe belirtilmemiş</x:v>
      </x:c>
      <x:c r="E732" s="1" t="n">
        <x:v>250</x:v>
      </x:c>
      <x:c r="F732" s="2" t="n">
        <x:v>0</x:v>
      </x:c>
      <x:c r="G732" t="str">
        <x:v>Fiyat</x:v>
      </x:c>
      <x:c r="H732" t="str">
        <x:v>Site haritası ürün sayfası</x:v>
      </x:c>
      <x:c r="I732" s="28" t="str">
        <x:v>https://www.ozekahve.com.tr/all-day-blend-filtre-kahve-2li-250g</x:v>
      </x:c>
      <x:c r="J732" s="28" t="str">
        <x:v>Ürün kimliği korundu; eksik alanlar erişilemedi olarak işaretlenecek.</x:v>
      </x:c>
    </x:row>
    <x:row r="733">
      <x:c r="A733" t="str">
        <x:v>Oze Kahve</x:v>
      </x:c>
      <x:c r="B733" t="str">
        <x:v>Ürün kaydı</x:v>
      </x:c>
      <x:c r="C733" t="str">
        <x:v>All Day Blend Filtre Kahve 250 g</x:v>
      </x:c>
      <x:c r="D733" t="str">
        <x:v>Harman – menşe belirtilmemiş</x:v>
      </x:c>
      <x:c r="E733" s="1" t="n">
        <x:v>250</x:v>
      </x:c>
      <x:c r="F733" s="2" t="n">
        <x:v>0</x:v>
      </x:c>
      <x:c r="G733" t="str">
        <x:v>Fiyat</x:v>
      </x:c>
      <x:c r="H733" t="str">
        <x:v>Site haritası ürün sayfası</x:v>
      </x:c>
      <x:c r="I733" s="28" t="str">
        <x:v>https://www.ozekahve.com.tr/all-day-blend-filtre-kahve-250g</x:v>
      </x:c>
      <x:c r="J733" s="28" t="str">
        <x:v>Ürün kimliği korundu; eksik alanlar erişilemedi olarak işaretlenecek.</x:v>
      </x:c>
    </x:row>
    <x:row r="734">
      <x:c r="A734" t="str">
        <x:v>Oze Kahve</x:v>
      </x:c>
      <x:c r="B734" t="str">
        <x:v>Ürün kaydı</x:v>
      </x:c>
      <x:c r="C734" t="str">
        <x:v>All Day Blend Filtre Kahve 4 x 250 g</x:v>
      </x:c>
      <x:c r="D734" t="str">
        <x:v>Harman – menşe belirtilmemiş</x:v>
      </x:c>
      <x:c r="E734" s="1" t="n">
        <x:v>250</x:v>
      </x:c>
      <x:c r="F734" s="2" t="n">
        <x:v>0</x:v>
      </x:c>
      <x:c r="G734" t="str">
        <x:v>Fiyat</x:v>
      </x:c>
      <x:c r="H734" t="str">
        <x:v>Site haritası ürün sayfası</x:v>
      </x:c>
      <x:c r="I734" s="28" t="str">
        <x:v>https://www.ozekahve.com.tr/all-day-blend-filtre-kahve-4lu-250g</x:v>
      </x:c>
      <x:c r="J734" s="28" t="str">
        <x:v>Ürün kimliği korundu; eksik alanlar erişilemedi olarak işaretlenecek.</x:v>
      </x:c>
    </x:row>
    <x:row r="735">
      <x:c r="A735" t="str">
        <x:v>Oze Kahve</x:v>
      </x:c>
      <x:c r="B735" t="str">
        <x:v>Ürün kaydı</x:v>
      </x:c>
      <x:c r="C735" t="str">
        <x:v>All Day Blend Filtre Kahve 6 x 1000 g</x:v>
      </x:c>
      <x:c r="D735" t="str">
        <x:v>Harman – menşe belirtilmemiş</x:v>
      </x:c>
      <x:c r="E735" s="1" t="n">
        <x:v>1000</x:v>
      </x:c>
      <x:c r="F735" s="2" t="n">
        <x:v>0</x:v>
      </x:c>
      <x:c r="G735" t="str">
        <x:v>Fiyat</x:v>
      </x:c>
      <x:c r="H735" t="str">
        <x:v>Site haritası ürün sayfası</x:v>
      </x:c>
      <x:c r="I735" s="28" t="str">
        <x:v>https://www.ozekahve.com.tr/all-day-blend-filtre-kahve-6li-1000g</x:v>
      </x:c>
      <x:c r="J735" s="28" t="str">
        <x:v>Ürün kimliği korundu; eksik alanlar erişilemedi olarak işaretlenecek.</x:v>
      </x:c>
    </x:row>
    <x:row r="736">
      <x:c r="A736" t="str">
        <x:v>Oze Kahve</x:v>
      </x:c>
      <x:c r="B736" t="str">
        <x:v>Ürün kaydı</x:v>
      </x:c>
      <x:c r="C736" t="str">
        <x:v>Ananas Şurubu 50 cc</x:v>
      </x:c>
      <x:c r="D736" t="str">
        <x:v>Menşe belirtilmemiş</x:v>
      </x:c>
      <x:c r="E736" s="1" t="str">
        <x:v>Erişilemedi</x:v>
      </x:c>
      <x:c r="F736" s="2" t="n">
        <x:v>0</x:v>
      </x:c>
      <x:c r="G736" t="str">
        <x:v>Gramaj + fiyat</x:v>
      </x:c>
      <x:c r="H736" t="str">
        <x:v>Site haritası ürün sayfası</x:v>
      </x:c>
      <x:c r="I736" s="28" t="str">
        <x:v>https://www.ozekahve.com.tr/ananas-surubu-50cc</x:v>
      </x:c>
      <x:c r="J736" s="28" t="str">
        <x:v>Ürün kimliği korundu; eksik alanlar erişilemedi olarak işaretlenecek.</x:v>
      </x:c>
    </x:row>
    <x:row r="737">
      <x:c r="A737" t="str">
        <x:v>Oze Kahve</x:v>
      </x:c>
      <x:c r="B737" t="str">
        <x:v>Ürün kaydı</x:v>
      </x:c>
      <x:c r="C737" t="str">
        <x:v>Ananas Şurubu 6 x 75 cl</x:v>
      </x:c>
      <x:c r="D737" t="str">
        <x:v>Menşe belirtilmemiş</x:v>
      </x:c>
      <x:c r="E737" s="1" t="str">
        <x:v>Erişilemedi</x:v>
      </x:c>
      <x:c r="F737" s="2" t="n">
        <x:v>0</x:v>
      </x:c>
      <x:c r="G737" t="str">
        <x:v>Gramaj + fiyat</x:v>
      </x:c>
      <x:c r="H737" t="str">
        <x:v>Site haritası ürün sayfası</x:v>
      </x:c>
      <x:c r="I737" s="28" t="str">
        <x:v>https://www.ozekahve.com.tr/ananas-surubu-6li-75cl</x:v>
      </x:c>
      <x:c r="J737" s="28" t="str">
        <x:v>Ürün kimliği korundu; eksik alanlar erişilemedi olarak işaretlenecek.</x:v>
      </x:c>
    </x:row>
    <x:row r="738">
      <x:c r="A738" t="str">
        <x:v>Oze Kahve</x:v>
      </x:c>
      <x:c r="B738" t="str">
        <x:v>Ürün kaydı</x:v>
      </x:c>
      <x:c r="C738" t="str">
        <x:v>Ananas Şurubu 75 cl</x:v>
      </x:c>
      <x:c r="D738" t="str">
        <x:v>Menşe belirtilmemiş</x:v>
      </x:c>
      <x:c r="E738" s="1" t="str">
        <x:v>Erişilemedi</x:v>
      </x:c>
      <x:c r="F738" s="2" t="n">
        <x:v>0</x:v>
      </x:c>
      <x:c r="G738" t="str">
        <x:v>Gramaj + fiyat</x:v>
      </x:c>
      <x:c r="H738" t="str">
        <x:v>Site haritası ürün sayfası</x:v>
      </x:c>
      <x:c r="I738" s="28" t="str">
        <x:v>https://www.ozekahve.com.tr/ananas-surubu-75cl</x:v>
      </x:c>
      <x:c r="J738" s="28" t="str">
        <x:v>Ürün kimliği korundu; eksik alanlar erişilemedi olarak işaretlenecek.</x:v>
      </x:c>
    </x:row>
    <x:row r="739">
      <x:c r="A739" t="str">
        <x:v>Oze Kahve</x:v>
      </x:c>
      <x:c r="B739" t="str">
        <x:v>Ürün kaydı</x:v>
      </x:c>
      <x:c r="C739" t="str">
        <x:v>Aromalı Filtre Kahve Tanışma Seti 2 x 250 g</x:v>
      </x:c>
      <x:c r="D739" t="str">
        <x:v>Menşe belirtilmemiş</x:v>
      </x:c>
      <x:c r="E739" s="1" t="n">
        <x:v>250</x:v>
      </x:c>
      <x:c r="F739" s="2" t="n">
        <x:v>0</x:v>
      </x:c>
      <x:c r="G739" t="str">
        <x:v>Fiyat</x:v>
      </x:c>
      <x:c r="H739" t="str">
        <x:v>Site haritası ürün sayfası</x:v>
      </x:c>
      <x:c r="I739" s="28" t="str">
        <x:v>https://www.ozekahve.com.tr/aromali-filtre-kahveler-firsat-seti-2li-250g</x:v>
      </x:c>
      <x:c r="J739" s="28" t="str">
        <x:v>Ürün kimliği korundu; eksik alanlar erişilemedi olarak işaretlenecek.</x:v>
      </x:c>
    </x:row>
    <x:row r="740">
      <x:c r="A740" t="str">
        <x:v>Oze Kahve</x:v>
      </x:c>
      <x:c r="B740" t="str">
        <x:v>Ürün kaydı</x:v>
      </x:c>
      <x:c r="C740" t="str">
        <x:v>Aromalı Filtre Kahve Tanışma Seti 3 x 250 g (Çikolata Frambuaz, Irish Cream, All Day Blend)</x:v>
      </x:c>
      <x:c r="D740" t="str">
        <x:v>Harman – menşe belirtilmemiş</x:v>
      </x:c>
      <x:c r="E740" s="1" t="n">
        <x:v>250</x:v>
      </x:c>
      <x:c r="F740" s="2" t="n">
        <x:v>0</x:v>
      </x:c>
      <x:c r="G740" t="str">
        <x:v>Fiyat</x:v>
      </x:c>
      <x:c r="H740" t="str">
        <x:v>Site haritası ürün sayfası</x:v>
      </x:c>
      <x:c r="I740" s="28" t="str">
        <x:v>https://www.ozekahve.com.tr/aromali-filtre-kahve-tanisma-seti-irish-cream-all-day-blend-cikolata-frambuaz-3lu-250g</x:v>
      </x:c>
      <x:c r="J740" s="28" t="str">
        <x:v>Ürün kimliği korundu; eksik alanlar erişilemedi olarak işaretlenecek.</x:v>
      </x:c>
    </x:row>
    <x:row r="741">
      <x:c r="A741" t="str">
        <x:v>Oze Kahve</x:v>
      </x:c>
      <x:c r="B741" t="str">
        <x:v>Ürün kaydı</x:v>
      </x:c>
      <x:c r="C741" t="str">
        <x:v>Aromalı Filtre Kahve Tanışma Seti 3 x 250 g (Vanilya, Irish Cream, All Day Blend)</x:v>
      </x:c>
      <x:c r="D741" t="str">
        <x:v>Harman – menşe belirtilmemiş</x:v>
      </x:c>
      <x:c r="E741" s="1" t="n">
        <x:v>250</x:v>
      </x:c>
      <x:c r="F741" s="2" t="n">
        <x:v>0</x:v>
      </x:c>
      <x:c r="G741" t="str">
        <x:v>Fiyat</x:v>
      </x:c>
      <x:c r="H741" t="str">
        <x:v>Site haritası ürün sayfası</x:v>
      </x:c>
      <x:c r="I741" s="28" t="str">
        <x:v>https://www.ozekahve.com.tr/aromali-filtre-kahve-tanisma-seti-irish-cream-all-day-blend-vanilya-3lu-250g</x:v>
      </x:c>
      <x:c r="J741" s="28" t="str">
        <x:v>Ürün kimliği korundu; eksik alanlar erişilemedi olarak işaretlenecek.</x:v>
      </x:c>
    </x:row>
    <x:row r="742">
      <x:c r="A742" t="str">
        <x:v>Oze Kahve</x:v>
      </x:c>
      <x:c r="B742" t="str">
        <x:v>Ürün kaydı</x:v>
      </x:c>
      <x:c r="C742" t="str">
        <x:v>Aromalı Filtre Kahve Tanışma Seti 5 x 250 g</x:v>
      </x:c>
      <x:c r="D742" t="str">
        <x:v>Menşe belirtilmemiş</x:v>
      </x:c>
      <x:c r="E742" s="1" t="n">
        <x:v>250</x:v>
      </x:c>
      <x:c r="F742" s="2" t="n">
        <x:v>0</x:v>
      </x:c>
      <x:c r="G742" t="str">
        <x:v>Fiyat</x:v>
      </x:c>
      <x:c r="H742" t="str">
        <x:v>Site haritası ürün sayfası</x:v>
      </x:c>
      <x:c r="I742" s="28" t="str">
        <x:v>https://www.ozekahve.com.tr/aromali-filtre-kahve-seti-5li-250g</x:v>
      </x:c>
      <x:c r="J742" s="28" t="str">
        <x:v>Ürün kimliği korundu; eksik alanlar erişilemedi olarak işaretlenecek.</x:v>
      </x:c>
    </x:row>
    <x:row r="743">
      <x:c r="A743" t="str">
        <x:v>Oze Kahve</x:v>
      </x:c>
      <x:c r="B743" t="str">
        <x:v>Ürün kaydı</x:v>
      </x:c>
      <x:c r="C743" t="str">
        <x:v>Aromalı Türk Kahvesi Tanışma Seti 3 x 100 g (Dağ Çilekli, Güllü, Fındıklı)</x:v>
      </x:c>
      <x:c r="D743" t="str">
        <x:v>Menşe belirtilmemiş</x:v>
      </x:c>
      <x:c r="E743" s="1" t="n">
        <x:v>100</x:v>
      </x:c>
      <x:c r="F743" s="2" t="n">
        <x:v>0</x:v>
      </x:c>
      <x:c r="G743" t="str">
        <x:v>Fiyat</x:v>
      </x:c>
      <x:c r="H743" t="str">
        <x:v>Site haritası ürün sayfası</x:v>
      </x:c>
      <x:c r="I743" s="28" t="str">
        <x:v>https://www.ozekahve.com.tr/aromali-turk-kahvesi-seti-dag-cilekli-gullu-findikli-3lu-100g</x:v>
      </x:c>
      <x:c r="J743" s="28" t="str">
        <x:v>Ürün kimliği korundu; eksik alanlar erişilemedi olarak işaretlenecek.</x:v>
      </x:c>
    </x:row>
    <x:row r="744">
      <x:c r="A744" t="str">
        <x:v>Oze Kahve</x:v>
      </x:c>
      <x:c r="B744" t="str">
        <x:v>Ürün kaydı</x:v>
      </x:c>
      <x:c r="C744" t="str">
        <x:v>Aromalı Türk Kahvesi Tanışma Seti 3 x 100 g (Karamelli, Çikolatalı, Fındıklı)</x:v>
      </x:c>
      <x:c r="D744" t="str">
        <x:v>Menşe belirtilmemiş</x:v>
      </x:c>
      <x:c r="E744" s="1" t="n">
        <x:v>100</x:v>
      </x:c>
      <x:c r="F744" s="2" t="n">
        <x:v>0</x:v>
      </x:c>
      <x:c r="G744" t="str">
        <x:v>Fiyat</x:v>
      </x:c>
      <x:c r="H744" t="str">
        <x:v>Site haritası ürün sayfası</x:v>
      </x:c>
      <x:c r="I744" s="28" t="str">
        <x:v>https://www.ozekahve.com.tr/aromali-turk-kahvesi-seti-karamelli-findikli-cikolatali-3lu-100g</x:v>
      </x:c>
      <x:c r="J744" s="28" t="str">
        <x:v>Ürün kimliği korundu; eksik alanlar erişilemedi olarak işaretlenecek.</x:v>
      </x:c>
    </x:row>
    <x:row r="745">
      <x:c r="A745" t="str">
        <x:v>Oze Kahve</x:v>
      </x:c>
      <x:c r="B745" t="str">
        <x:v>Ürün kaydı</x:v>
      </x:c>
      <x:c r="C745" t="str">
        <x:v>Badem Şurubu 50 cc</x:v>
      </x:c>
      <x:c r="D745" t="str">
        <x:v>Menşe belirtilmemiş</x:v>
      </x:c>
      <x:c r="E745" s="1" t="str">
        <x:v>Erişilemedi</x:v>
      </x:c>
      <x:c r="F745" s="2" t="n">
        <x:v>0</x:v>
      </x:c>
      <x:c r="G745" t="str">
        <x:v>Gramaj + fiyat</x:v>
      </x:c>
      <x:c r="H745" t="str">
        <x:v>Site haritası ürün sayfası</x:v>
      </x:c>
      <x:c r="I745" s="28" t="str">
        <x:v>https://www.ozekahve.com.tr/badem-surubu-50cc</x:v>
      </x:c>
      <x:c r="J745" s="28" t="str">
        <x:v>Ürün kimliği korundu; eksik alanlar erişilemedi olarak işaretlenecek.</x:v>
      </x:c>
    </x:row>
    <x:row r="746">
      <x:c r="A746" t="str">
        <x:v>Oze Kahve</x:v>
      </x:c>
      <x:c r="B746" t="str">
        <x:v>Ürün kaydı</x:v>
      </x:c>
      <x:c r="C746" t="str">
        <x:v>Badem Şurubu 6 x 75 cl</x:v>
      </x:c>
      <x:c r="D746" t="str">
        <x:v>Menşe belirtilmemiş</x:v>
      </x:c>
      <x:c r="E746" s="1" t="str">
        <x:v>Erişilemedi</x:v>
      </x:c>
      <x:c r="F746" s="2" t="n">
        <x:v>0</x:v>
      </x:c>
      <x:c r="G746" t="str">
        <x:v>Gramaj + fiyat</x:v>
      </x:c>
      <x:c r="H746" t="str">
        <x:v>Site haritası ürün sayfası</x:v>
      </x:c>
      <x:c r="I746" s="28" t="str">
        <x:v>https://www.ozekahve.com.tr/badem-surubu-6li-75cl</x:v>
      </x:c>
      <x:c r="J746" s="28" t="str">
        <x:v>Ürün kimliği korundu; eksik alanlar erişilemedi olarak işaretlenecek.</x:v>
      </x:c>
    </x:row>
    <x:row r="747">
      <x:c r="A747" t="str">
        <x:v>Oze Kahve</x:v>
      </x:c>
      <x:c r="B747" t="str">
        <x:v>Ürün kaydı</x:v>
      </x:c>
      <x:c r="C747" t="str">
        <x:v>Badem Şurubu 75 cl</x:v>
      </x:c>
      <x:c r="D747" t="str">
        <x:v>Menşe belirtilmemiş</x:v>
      </x:c>
      <x:c r="E747" s="1" t="str">
        <x:v>Erişilemedi</x:v>
      </x:c>
      <x:c r="F747" s="2" t="n">
        <x:v>0</x:v>
      </x:c>
      <x:c r="G747" t="str">
        <x:v>Gramaj + fiyat</x:v>
      </x:c>
      <x:c r="H747" t="str">
        <x:v>Site haritası ürün sayfası</x:v>
      </x:c>
      <x:c r="I747" s="28" t="str">
        <x:v>https://www.ozekahve.com.tr/badem-surubu-75cl</x:v>
      </x:c>
      <x:c r="J747" s="28" t="str">
        <x:v>Ürün kimliği korundu; eksik alanlar erişilemedi olarak işaretlenecek.</x:v>
      </x:c>
    </x:row>
    <x:row r="748">
      <x:c r="A748" t="str">
        <x:v>Oze Kahve</x:v>
      </x:c>
      <x:c r="B748" t="str">
        <x:v>Ürün kaydı</x:v>
      </x:c>
      <x:c r="C748" t="str">
        <x:v>Beyaz Çikolata Şurubu 50 cc</x:v>
      </x:c>
      <x:c r="D748" t="str">
        <x:v>Menşe belirtilmemiş</x:v>
      </x:c>
      <x:c r="E748" s="1" t="str">
        <x:v>Erişilemedi</x:v>
      </x:c>
      <x:c r="F748" s="2" t="n">
        <x:v>0</x:v>
      </x:c>
      <x:c r="G748" t="str">
        <x:v>Gramaj + fiyat</x:v>
      </x:c>
      <x:c r="H748" t="str">
        <x:v>Site haritası ürün sayfası</x:v>
      </x:c>
      <x:c r="I748" s="28" t="str">
        <x:v>https://www.ozekahve.com.tr/beyaz-cikolata-surubu-50cc</x:v>
      </x:c>
      <x:c r="J748" s="28" t="str">
        <x:v>Ürün kimliği korundu; eksik alanlar erişilemedi olarak işaretlenecek.</x:v>
      </x:c>
    </x:row>
    <x:row r="749">
      <x:c r="A749" t="str">
        <x:v>Oze Kahve</x:v>
      </x:c>
      <x:c r="B749" t="str">
        <x:v>Ürün kaydı</x:v>
      </x:c>
      <x:c r="C749" t="str">
        <x:v>Beyaz Çikolata Şurubu 6 x 75 cl</x:v>
      </x:c>
      <x:c r="D749" t="str">
        <x:v>Menşe belirtilmemiş</x:v>
      </x:c>
      <x:c r="E749" s="1" t="str">
        <x:v>Erişilemedi</x:v>
      </x:c>
      <x:c r="F749" s="2" t="n">
        <x:v>0</x:v>
      </x:c>
      <x:c r="G749" t="str">
        <x:v>Gramaj + fiyat</x:v>
      </x:c>
      <x:c r="H749" t="str">
        <x:v>Site haritası ürün sayfası</x:v>
      </x:c>
      <x:c r="I749" s="28" t="str">
        <x:v>https://www.ozekahve.com.tr/beyaz-cikolata-surubu-6li-75cl</x:v>
      </x:c>
      <x:c r="J749" s="28" t="str">
        <x:v>Ürün kimliği korundu; eksik alanlar erişilemedi olarak işaretlenecek.</x:v>
      </x:c>
    </x:row>
    <x:row r="750">
      <x:c r="A750" t="str">
        <x:v>Oze Kahve</x:v>
      </x:c>
      <x:c r="B750" t="str">
        <x:v>Ürün kaydı</x:v>
      </x:c>
      <x:c r="C750" t="str">
        <x:v>Beyaz Çikolata Şurubu 75 cl</x:v>
      </x:c>
      <x:c r="D750" t="str">
        <x:v>Menşe belirtilmemiş</x:v>
      </x:c>
      <x:c r="E750" s="1" t="str">
        <x:v>Erişilemedi</x:v>
      </x:c>
      <x:c r="F750" s="2" t="n">
        <x:v>0</x:v>
      </x:c>
      <x:c r="G750" t="str">
        <x:v>Gramaj + fiyat</x:v>
      </x:c>
      <x:c r="H750" t="str">
        <x:v>Site haritası ürün sayfası</x:v>
      </x:c>
      <x:c r="I750" s="28" t="str">
        <x:v>https://www.ozekahve.com.tr/beyaz-cikolata-surubu-75cl</x:v>
      </x:c>
      <x:c r="J750" s="28" t="str">
        <x:v>Ürün kimliği korundu; eksik alanlar erişilemedi olarak işaretlenecek.</x:v>
      </x:c>
    </x:row>
    <x:row r="751">
      <x:c r="A751" t="str">
        <x:v>Oze Kahve</x:v>
      </x:c>
      <x:c r="B751" t="str">
        <x:v>Ürün kaydı</x:v>
      </x:c>
      <x:c r="C751" t="str">
        <x:v>Bitki Çayı Tanışma Seti (Adaçayı, Ihlamur, Papatya, Nane Limon)</x:v>
      </x:c>
      <x:c r="D751" t="str">
        <x:v>Menşe belirtilmemiş</x:v>
      </x:c>
      <x:c r="E751" s="1" t="n">
        <x:v>125</x:v>
      </x:c>
      <x:c r="F751" s="2" t="n">
        <x:v>0</x:v>
      </x:c>
      <x:c r="G751" t="str">
        <x:v>Fiyat</x:v>
      </x:c>
      <x:c r="H751" t="str">
        <x:v>Site haritası ürün sayfası</x:v>
      </x:c>
      <x:c r="I751" s="28" t="str">
        <x:v>https://www.ozekahve.com.tr/bitki-cayi-tanisma-seti-adacayi-ihlamur-papatya-nane-limon-4lu</x:v>
      </x:c>
      <x:c r="J751" s="28" t="str">
        <x:v>Ürün kimliği korundu; eksik alanlar erişilemedi olarak işaretlenecek.</x:v>
      </x:c>
    </x:row>
    <x:row r="752">
      <x:c r="A752" t="str">
        <x:v>Oze Kahve</x:v>
      </x:c>
      <x:c r="B752" t="str">
        <x:v>Ürün kaydı</x:v>
      </x:c>
      <x:c r="C752" t="str">
        <x:v>Böğürtlen Çayı 125 g</x:v>
      </x:c>
      <x:c r="D752" t="str">
        <x:v>Menşe belirtilmemiş</x:v>
      </x:c>
      <x:c r="E752" s="1" t="n">
        <x:v>125</x:v>
      </x:c>
      <x:c r="F752" s="2" t="n">
        <x:v>0</x:v>
      </x:c>
      <x:c r="G752" t="str">
        <x:v>Fiyat</x:v>
      </x:c>
      <x:c r="H752" t="str">
        <x:v>Site haritası ürün sayfası</x:v>
      </x:c>
      <x:c r="I752" s="28" t="str">
        <x:v>https://www.ozekahve.com.tr/bogurtlen-cayi-125g</x:v>
      </x:c>
      <x:c r="J752" s="28" t="str">
        <x:v>Ürün kimliği korundu; eksik alanlar erişilemedi olarak işaretlenecek.</x:v>
      </x:c>
    </x:row>
    <x:row r="753">
      <x:c r="A753" t="str">
        <x:v>Oze Kahve</x:v>
      </x:c>
      <x:c r="B753" t="str">
        <x:v>Ürün kaydı</x:v>
      </x:c>
      <x:c r="C753" t="str">
        <x:v>Böğürtlen Şurubu 50 cc</x:v>
      </x:c>
      <x:c r="D753" t="str">
        <x:v>Menşe belirtilmemiş</x:v>
      </x:c>
      <x:c r="E753" s="1" t="str">
        <x:v>Erişilemedi</x:v>
      </x:c>
      <x:c r="F753" s="2" t="n">
        <x:v>0</x:v>
      </x:c>
      <x:c r="G753" t="str">
        <x:v>Gramaj + fiyat</x:v>
      </x:c>
      <x:c r="H753" t="str">
        <x:v>Site haritası ürün sayfası</x:v>
      </x:c>
      <x:c r="I753" s="28" t="str">
        <x:v>https://www.ozekahve.com.tr/bogurtlen-surubu-50cc</x:v>
      </x:c>
      <x:c r="J753" s="28" t="str">
        <x:v>Ürün kimliği korundu; eksik alanlar erişilemedi olarak işaretlenecek.</x:v>
      </x:c>
    </x:row>
    <x:row r="754">
      <x:c r="A754" t="str">
        <x:v>Oze Kahve</x:v>
      </x:c>
      <x:c r="B754" t="str">
        <x:v>Ürün kaydı</x:v>
      </x:c>
      <x:c r="C754" t="str">
        <x:v>Böğürtlen Şurubu 6 x 75 cl</x:v>
      </x:c>
      <x:c r="D754" t="str">
        <x:v>Menşe belirtilmemiş</x:v>
      </x:c>
      <x:c r="E754" s="1" t="str">
        <x:v>Erişilemedi</x:v>
      </x:c>
      <x:c r="F754" s="2" t="n">
        <x:v>0</x:v>
      </x:c>
      <x:c r="G754" t="str">
        <x:v>Gramaj + fiyat</x:v>
      </x:c>
      <x:c r="H754" t="str">
        <x:v>Site haritası ürün sayfası</x:v>
      </x:c>
      <x:c r="I754" s="28" t="str">
        <x:v>https://www.ozekahve.com.tr/bogurtlen-surubu-6li-75cl</x:v>
      </x:c>
      <x:c r="J754" s="28" t="str">
        <x:v>Ürün kimliği korundu; eksik alanlar erişilemedi olarak işaretlenecek.</x:v>
      </x:c>
    </x:row>
    <x:row r="755">
      <x:c r="A755" t="str">
        <x:v>Oze Kahve</x:v>
      </x:c>
      <x:c r="B755" t="str">
        <x:v>Ürün kaydı</x:v>
      </x:c>
      <x:c r="C755" t="str">
        <x:v>Böğürtlen Şurubu 75 cl</x:v>
      </x:c>
      <x:c r="D755" t="str">
        <x:v>Menşe belirtilmemiş</x:v>
      </x:c>
      <x:c r="E755" s="1" t="str">
        <x:v>Erişilemedi</x:v>
      </x:c>
      <x:c r="F755" s="2" t="n">
        <x:v>0</x:v>
      </x:c>
      <x:c r="G755" t="str">
        <x:v>Gramaj + fiyat</x:v>
      </x:c>
      <x:c r="H755" t="str">
        <x:v>Site haritası ürün sayfası</x:v>
      </x:c>
      <x:c r="I755" s="28" t="str">
        <x:v>https://www.ozekahve.com.tr/bogurtlen-surubu-75cl</x:v>
      </x:c>
      <x:c r="J755" s="28" t="str">
        <x:v>Ürün kimliği korundu; eksik alanlar erişilemedi olarak işaretlenecek.</x:v>
      </x:c>
    </x:row>
    <x:row r="756">
      <x:c r="A756" t="str">
        <x:v>Oze Kahve</x:v>
      </x:c>
      <x:c r="B756" t="str">
        <x:v>Ürün kaydı</x:v>
      </x:c>
      <x:c r="C756" t="str">
        <x:v>Böğürtlenli Frappe Tozu 1000 g</x:v>
      </x:c>
      <x:c r="D756" t="str">
        <x:v>Menşe belirtilmemiş</x:v>
      </x:c>
      <x:c r="E756" s="1" t="n">
        <x:v>1000</x:v>
      </x:c>
      <x:c r="F756" s="2" t="n">
        <x:v>0</x:v>
      </x:c>
      <x:c r="G756" t="str">
        <x:v>Fiyat</x:v>
      </x:c>
      <x:c r="H756" t="str">
        <x:v>Site haritası ürün sayfası</x:v>
      </x:c>
      <x:c r="I756" s="28" t="str">
        <x:v>https://www.ozekahve.com.tr/bogurtlenli-frappe-tozu-1000g</x:v>
      </x:c>
      <x:c r="J756" s="28" t="str">
        <x:v>Ürün kimliği korundu; eksik alanlar erişilemedi olarak işaretlenecek.</x:v>
      </x:c>
    </x:row>
    <x:row r="757">
      <x:c r="A757" t="str">
        <x:v>Oze Kahve</x:v>
      </x:c>
      <x:c r="B757" t="str">
        <x:v>Ürün kaydı</x:v>
      </x:c>
      <x:c r="C757" t="str">
        <x:v>Böğürtlenli Frappe Tozu 250 g</x:v>
      </x:c>
      <x:c r="D757" t="str">
        <x:v>Menşe belirtilmemiş</x:v>
      </x:c>
      <x:c r="E757" s="1" t="n">
        <x:v>250</x:v>
      </x:c>
      <x:c r="F757" s="2" t="n">
        <x:v>0</x:v>
      </x:c>
      <x:c r="G757" t="str">
        <x:v>Fiyat</x:v>
      </x:c>
      <x:c r="H757" t="str">
        <x:v>Site haritası ürün sayfası</x:v>
      </x:c>
      <x:c r="I757" s="28" t="str">
        <x:v>https://www.ozekahve.com.tr/bogurtlenli-frappe-tozu-250g</x:v>
      </x:c>
      <x:c r="J757" s="28" t="str">
        <x:v>Ürün kimliği korundu; eksik alanlar erişilemedi olarak işaretlenecek.</x:v>
      </x:c>
    </x:row>
    <x:row r="758">
      <x:c r="A758" t="str">
        <x:v>Oze Kahve</x:v>
      </x:c>
      <x:c r="B758" t="str">
        <x:v>Ürün kaydı</x:v>
      </x:c>
      <x:c r="C758" t="str">
        <x:v>Brazil Santos Filtre Kahve 2 x 250 g</x:v>
      </x:c>
      <x:c r="D758" t="str">
        <x:v>Brezilya</x:v>
      </x:c>
      <x:c r="E758" s="1" t="n">
        <x:v>250</x:v>
      </x:c>
      <x:c r="F758" s="2" t="n">
        <x:v>0</x:v>
      </x:c>
      <x:c r="G758" t="str">
        <x:v>Fiyat</x:v>
      </x:c>
      <x:c r="H758" t="str">
        <x:v>Site haritası ürün sayfası</x:v>
      </x:c>
      <x:c r="I758" s="28" t="str">
        <x:v>https://www.ozekahve.com.tr/brazil-santos-filtre-kahve-2li-250g</x:v>
      </x:c>
      <x:c r="J758" s="28" t="str">
        <x:v>Ürün kimliği korundu; eksik alanlar erişilemedi olarak işaretlenecek.</x:v>
      </x:c>
    </x:row>
    <x:row r="759">
      <x:c r="A759" t="str">
        <x:v>Oze Kahve</x:v>
      </x:c>
      <x:c r="B759" t="str">
        <x:v>Ürün kaydı</x:v>
      </x:c>
      <x:c r="C759" t="str">
        <x:v>Brazil Santos Filtre Kahve 250 g</x:v>
      </x:c>
      <x:c r="D759" t="str">
        <x:v>Brezilya</x:v>
      </x:c>
      <x:c r="E759" s="1" t="n">
        <x:v>250</x:v>
      </x:c>
      <x:c r="F759" s="2" t="n">
        <x:v>0</x:v>
      </x:c>
      <x:c r="G759" t="str">
        <x:v>Fiyat</x:v>
      </x:c>
      <x:c r="H759" t="str">
        <x:v>Site haritası ürün sayfası</x:v>
      </x:c>
      <x:c r="I759" s="28" t="str">
        <x:v>https://www.ozekahve.com.tr/brazil-santos-filtre-kahve-250g</x:v>
      </x:c>
      <x:c r="J759" s="28" t="str">
        <x:v>Ürün kimliği korundu; eksik alanlar erişilemedi olarak işaretlenecek.</x:v>
      </x:c>
    </x:row>
    <x:row r="760">
      <x:c r="A760" t="str">
        <x:v>Oze Kahve</x:v>
      </x:c>
      <x:c r="B760" t="str">
        <x:v>Ürün kaydı</x:v>
      </x:c>
      <x:c r="C760" t="str">
        <x:v>Colombian Supremo Filtre Kahve 2 x 250 g</x:v>
      </x:c>
      <x:c r="D760" t="str">
        <x:v>Kolombiya</x:v>
      </x:c>
      <x:c r="E760" s="1" t="n">
        <x:v>250</x:v>
      </x:c>
      <x:c r="F760" s="2" t="n">
        <x:v>0</x:v>
      </x:c>
      <x:c r="G760" t="str">
        <x:v>Fiyat</x:v>
      </x:c>
      <x:c r="H760" t="str">
        <x:v>Site haritası ürün sayfası</x:v>
      </x:c>
      <x:c r="I760" s="28" t="str">
        <x:v>https://www.ozekahve.com.tr/colombian-supremo-filtre-kahve-2li-250g</x:v>
      </x:c>
      <x:c r="J760" s="28" t="str">
        <x:v>Ürün kimliği korundu; eksik alanlar erişilemedi olarak işaretlenecek.</x:v>
      </x:c>
    </x:row>
    <x:row r="761">
      <x:c r="A761" t="str">
        <x:v>Oze Kahve</x:v>
      </x:c>
      <x:c r="B761" t="str">
        <x:v>Ürün kaydı</x:v>
      </x:c>
      <x:c r="C761" t="str">
        <x:v>Colombian Supremo Filtre Kahve 250 g</x:v>
      </x:c>
      <x:c r="D761" t="str">
        <x:v>Kolombiya</x:v>
      </x:c>
      <x:c r="E761" s="1" t="n">
        <x:v>250</x:v>
      </x:c>
      <x:c r="F761" s="2" t="n">
        <x:v>0</x:v>
      </x:c>
      <x:c r="G761" t="str">
        <x:v>Fiyat</x:v>
      </x:c>
      <x:c r="H761" t="str">
        <x:v>Site haritası ürün sayfası</x:v>
      </x:c>
      <x:c r="I761" s="28" t="str">
        <x:v>https://www.ozekahve.com.tr/colombian-supremo-filtre-kahve-250g</x:v>
      </x:c>
      <x:c r="J761" s="28" t="str">
        <x:v>Ürün kimliği korundu; eksik alanlar erişilemedi olarak işaretlenecek.</x:v>
      </x:c>
    </x:row>
    <x:row r="762">
      <x:c r="A762" t="str">
        <x:v>Oze Kahve</x:v>
      </x:c>
      <x:c r="B762" t="str">
        <x:v>Ürün kaydı</x:v>
      </x:c>
      <x:c r="C762" t="str">
        <x:v>Dağ Çileği Aromalı Türk Kahvesi 100 g</x:v>
      </x:c>
      <x:c r="D762" t="str">
        <x:v>Menşe belirtilmemiş</x:v>
      </x:c>
      <x:c r="E762" s="1" t="n">
        <x:v>100</x:v>
      </x:c>
      <x:c r="F762" s="2" t="n">
        <x:v>0</x:v>
      </x:c>
      <x:c r="G762" t="str">
        <x:v>Fiyat</x:v>
      </x:c>
      <x:c r="H762" t="str">
        <x:v>Site haritası ürün sayfası</x:v>
      </x:c>
      <x:c r="I762" s="28" t="str">
        <x:v>https://www.ozekahve.com.tr/dag-cilegi-aromali-turk-kahvesi-100g</x:v>
      </x:c>
      <x:c r="J762" s="28" t="str">
        <x:v>Ürün kimliği korundu; eksik alanlar erişilemedi olarak işaretlenecek.</x:v>
      </x:c>
    </x:row>
    <x:row r="763">
      <x:c r="A763" t="str">
        <x:v>Oze Kahve</x:v>
      </x:c>
      <x:c r="B763" t="str">
        <x:v>Ürün kaydı</x:v>
      </x:c>
      <x:c r="C763" t="str">
        <x:v>Dağ Çileği Aromalı Türk Kahvesi 5 x 100 g</x:v>
      </x:c>
      <x:c r="D763" t="str">
        <x:v>Menşe belirtilmemiş</x:v>
      </x:c>
      <x:c r="E763" s="1" t="n">
        <x:v>100</x:v>
      </x:c>
      <x:c r="F763" s="2" t="n">
        <x:v>0</x:v>
      </x:c>
      <x:c r="G763" t="str">
        <x:v>Fiyat</x:v>
      </x:c>
      <x:c r="H763" t="str">
        <x:v>Site haritası ürün sayfası</x:v>
      </x:c>
      <x:c r="I763" s="28" t="str">
        <x:v>https://www.ozekahve.com.tr/dag-cilegi-aromali-turk-kahvesi-5li-100g</x:v>
      </x:c>
      <x:c r="J763" s="28" t="str">
        <x:v>Ürün kimliği korundu; eksik alanlar erişilemedi olarak işaretlenecek.</x:v>
      </x:c>
    </x:row>
    <x:row r="764">
      <x:c r="A764" t="str">
        <x:v>Oze Kahve</x:v>
      </x:c>
      <x:c r="B764" t="str">
        <x:v>Ürün kaydı</x:v>
      </x:c>
      <x:c r="C764" t="str">
        <x:v>Damla Sakızı Şurubu 50 cc</x:v>
      </x:c>
      <x:c r="D764" t="str">
        <x:v>Menşe belirtilmemiş</x:v>
      </x:c>
      <x:c r="E764" s="1" t="str">
        <x:v>Erişilemedi</x:v>
      </x:c>
      <x:c r="F764" s="2" t="n">
        <x:v>0</x:v>
      </x:c>
      <x:c r="G764" t="str">
        <x:v>Gramaj + fiyat</x:v>
      </x:c>
      <x:c r="H764" t="str">
        <x:v>Site haritası ürün sayfası</x:v>
      </x:c>
      <x:c r="I764" s="28" t="str">
        <x:v>https://www.ozekahve.com.tr/damla-sakizi-surubu-50cc</x:v>
      </x:c>
      <x:c r="J764" s="28" t="str">
        <x:v>Ürün kimliği korundu; eksik alanlar erişilemedi olarak işaretlenecek.</x:v>
      </x:c>
    </x:row>
    <x:row r="765">
      <x:c r="A765" t="str">
        <x:v>Oze Kahve</x:v>
      </x:c>
      <x:c r="B765" t="str">
        <x:v>Ürün kaydı</x:v>
      </x:c>
      <x:c r="C765" t="str">
        <x:v>Damla Sakızı Şurubu 6 x 75 cl</x:v>
      </x:c>
      <x:c r="D765" t="str">
        <x:v>Menşe belirtilmemiş</x:v>
      </x:c>
      <x:c r="E765" s="1" t="str">
        <x:v>Erişilemedi</x:v>
      </x:c>
      <x:c r="F765" s="2" t="n">
        <x:v>0</x:v>
      </x:c>
      <x:c r="G765" t="str">
        <x:v>Gramaj + fiyat</x:v>
      </x:c>
      <x:c r="H765" t="str">
        <x:v>Site haritası ürün sayfası</x:v>
      </x:c>
      <x:c r="I765" s="28" t="str">
        <x:v>https://www.ozekahve.com.tr/damla-sakizi-surubu-6li-75cl</x:v>
      </x:c>
      <x:c r="J765" s="28" t="str">
        <x:v>Ürün kimliği korundu; eksik alanlar erişilemedi olarak işaretlenecek.</x:v>
      </x:c>
    </x:row>
    <x:row r="766">
      <x:c r="A766" t="str">
        <x:v>Oze Kahve</x:v>
      </x:c>
      <x:c r="B766" t="str">
        <x:v>Ürün kaydı</x:v>
      </x:c>
      <x:c r="C766" t="str">
        <x:v>Damla Sakızı Şurubu 75 cl</x:v>
      </x:c>
      <x:c r="D766" t="str">
        <x:v>Menşe belirtilmemiş</x:v>
      </x:c>
      <x:c r="E766" s="1" t="str">
        <x:v>Erişilemedi</x:v>
      </x:c>
      <x:c r="F766" s="2" t="n">
        <x:v>0</x:v>
      </x:c>
      <x:c r="G766" t="str">
        <x:v>Gramaj + fiyat</x:v>
      </x:c>
      <x:c r="H766" t="str">
        <x:v>Site haritası ürün sayfası</x:v>
      </x:c>
      <x:c r="I766" s="28" t="str">
        <x:v>https://www.ozekahve.com.tr/damla-sakizi-surubu-75cl</x:v>
      </x:c>
      <x:c r="J766" s="28" t="str">
        <x:v>Ürün kimliği korundu; eksik alanlar erişilemedi olarak işaretlenecek.</x:v>
      </x:c>
    </x:row>
    <x:row r="767">
      <x:c r="A767" t="str">
        <x:v>Oze Kahve</x:v>
      </x:c>
      <x:c r="B767" t="str">
        <x:v>Ürün kaydı</x:v>
      </x:c>
      <x:c r="C767" t="str">
        <x:v>Damla Sakızlı Türk Kahvesi 10 x 100 g</x:v>
      </x:c>
      <x:c r="D767" t="str">
        <x:v>Menşe belirtilmemiş</x:v>
      </x:c>
      <x:c r="E767" s="1" t="n">
        <x:v>100</x:v>
      </x:c>
      <x:c r="F767" s="2" t="n">
        <x:v>0</x:v>
      </x:c>
      <x:c r="G767" t="str">
        <x:v>Fiyat</x:v>
      </x:c>
      <x:c r="H767" t="str">
        <x:v>Site haritası ürün sayfası</x:v>
      </x:c>
      <x:c r="I767" s="28" t="str">
        <x:v>https://www.ozekahve.com.tr/damla-sakizli-turk-kahvesi-10lu-100g</x:v>
      </x:c>
      <x:c r="J767" s="28" t="str">
        <x:v>Ürün kimliği korundu; eksik alanlar erişilemedi olarak işaretlenecek.</x:v>
      </x:c>
    </x:row>
    <x:row r="768">
      <x:c r="A768" t="str">
        <x:v>Oze Kahve</x:v>
      </x:c>
      <x:c r="B768" t="str">
        <x:v>Ürün kaydı</x:v>
      </x:c>
      <x:c r="C768" t="str">
        <x:v>Damla Sakızlı Türk Kahvesi 100 g</x:v>
      </x:c>
      <x:c r="D768" t="str">
        <x:v>Menşe belirtilmemiş</x:v>
      </x:c>
      <x:c r="E768" s="1" t="n">
        <x:v>100</x:v>
      </x:c>
      <x:c r="F768" s="2" t="n">
        <x:v>0</x:v>
      </x:c>
      <x:c r="G768" t="str">
        <x:v>Fiyat</x:v>
      </x:c>
      <x:c r="H768" t="str">
        <x:v>Site haritası ürün sayfası</x:v>
      </x:c>
      <x:c r="I768" s="28" t="str">
        <x:v>https://www.ozekahve.com.tr/damla-sakizli-turk-kahvesi-100g</x:v>
      </x:c>
      <x:c r="J768" s="28" t="str">
        <x:v>Ürün kimliği korundu; eksik alanlar erişilemedi olarak işaretlenecek.</x:v>
      </x:c>
    </x:row>
    <x:row r="769">
      <x:c r="A769" t="str">
        <x:v>Oze Kahve</x:v>
      </x:c>
      <x:c r="B769" t="str">
        <x:v>Ürün kaydı</x:v>
      </x:c>
      <x:c r="C769" t="str">
        <x:v>Damla Sakızlı Türk Kahvesi 5 x 100 g</x:v>
      </x:c>
      <x:c r="D769" t="str">
        <x:v>Menşe belirtilmemiş</x:v>
      </x:c>
      <x:c r="E769" s="1" t="n">
        <x:v>100</x:v>
      </x:c>
      <x:c r="F769" s="2" t="n">
        <x:v>0</x:v>
      </x:c>
      <x:c r="G769" t="str">
        <x:v>Fiyat</x:v>
      </x:c>
      <x:c r="H769" t="str">
        <x:v>Site haritası ürün sayfası</x:v>
      </x:c>
      <x:c r="I769" s="28" t="str">
        <x:v>https://www.ozekahve.com.tr/damla-sakizli-turk-kahvesi-5li-100g</x:v>
      </x:c>
      <x:c r="J769" s="28" t="str">
        <x:v>Ürün kimliği korundu; eksik alanlar erişilemedi olarak işaretlenecek.</x:v>
      </x:c>
    </x:row>
    <x:row r="770">
      <x:c r="A770" t="str">
        <x:v>Oze Kahve</x:v>
      </x:c>
      <x:c r="B770" t="str">
        <x:v>Ürün kaydı</x:v>
      </x:c>
      <x:c r="C770" t="str">
        <x:v>Decaf Espresso Kahve 250 g</x:v>
      </x:c>
      <x:c r="D770" t="str">
        <x:v>Menşe belirtilmemiş</x:v>
      </x:c>
      <x:c r="E770" s="1" t="n">
        <x:v>250</x:v>
      </x:c>
      <x:c r="F770" s="2" t="n">
        <x:v>0</x:v>
      </x:c>
      <x:c r="G770" t="str">
        <x:v>Fiyat</x:v>
      </x:c>
      <x:c r="H770" t="str">
        <x:v>Site haritası ürün sayfası</x:v>
      </x:c>
      <x:c r="I770" s="28" t="str">
        <x:v>https://www.ozekahve.com.tr/decaf-espresso-kahve-250g</x:v>
      </x:c>
      <x:c r="J770" s="28" t="str">
        <x:v>Ürün kimliği korundu; eksik alanlar erişilemedi olarak işaretlenecek.</x:v>
      </x:c>
    </x:row>
    <x:row r="771">
      <x:c r="A771" t="str">
        <x:v>Oze Kahve</x:v>
      </x:c>
      <x:c r="B771" t="str">
        <x:v>Ürün kaydı</x:v>
      </x:c>
      <x:c r="C771" t="str">
        <x:v>Decaf Filtre Kahve 250 g</x:v>
      </x:c>
      <x:c r="D771" t="str">
        <x:v>Menşe belirtilmemiş</x:v>
      </x:c>
      <x:c r="E771" s="1" t="n">
        <x:v>250</x:v>
      </x:c>
      <x:c r="F771" s="2" t="n">
        <x:v>0</x:v>
      </x:c>
      <x:c r="G771" t="str">
        <x:v>Fiyat</x:v>
      </x:c>
      <x:c r="H771" t="str">
        <x:v>Site haritası ürün sayfası</x:v>
      </x:c>
      <x:c r="I771" s="28" t="str">
        <x:v>https://www.ozekahve.com.tr/decaf-filtre-kahve-250g</x:v>
      </x:c>
      <x:c r="J771" s="28" t="str">
        <x:v>Ürün kimliği korundu; eksik alanlar erişilemedi olarak işaretlenecek.</x:v>
      </x:c>
    </x:row>
    <x:row r="772">
      <x:c r="A772" t="str">
        <x:v>Oze Kahve</x:v>
      </x:c>
      <x:c r="B772" t="str">
        <x:v>Ürün kaydı</x:v>
      </x:c>
      <x:c r="C772" t="str">
        <x:v>Dünya Kahveleri Tanışma Seti 5 x 250 g</x:v>
      </x:c>
      <x:c r="D772" t="str">
        <x:v>Menşe belirtilmemiş</x:v>
      </x:c>
      <x:c r="E772" s="1" t="n">
        <x:v>250</x:v>
      </x:c>
      <x:c r="F772" s="2" t="n">
        <x:v>0</x:v>
      </x:c>
      <x:c r="G772" t="str">
        <x:v>Fiyat</x:v>
      </x:c>
      <x:c r="H772" t="str">
        <x:v>Site haritası ürün sayfası</x:v>
      </x:c>
      <x:c r="I772" s="28" t="str">
        <x:v>https://www.ozekahve.com.tr/dunya-kahveleri-seti-5li-250g</x:v>
      </x:c>
      <x:c r="J772" s="28" t="str">
        <x:v>Ürün kimliği korundu; eksik alanlar erişilemedi olarak işaretlenecek.</x:v>
      </x:c>
    </x:row>
    <x:row r="773">
      <x:c r="A773" t="str">
        <x:v>Oze Kahve</x:v>
      </x:c>
      <x:c r="B773" t="str">
        <x:v>Ürün kaydı</x:v>
      </x:c>
      <x:c r="C773" t="str">
        <x:v>Elma Çayı 125 g</x:v>
      </x:c>
      <x:c r="D773" t="str">
        <x:v>Menşe belirtilmemiş</x:v>
      </x:c>
      <x:c r="E773" s="1" t="n">
        <x:v>125</x:v>
      </x:c>
      <x:c r="F773" s="2" t="n">
        <x:v>0</x:v>
      </x:c>
      <x:c r="G773" t="str">
        <x:v>Fiyat</x:v>
      </x:c>
      <x:c r="H773" t="str">
        <x:v>Site haritası ürün sayfası</x:v>
      </x:c>
      <x:c r="I773" s="28" t="str">
        <x:v>https://www.ozekahve.com.tr/elma-cayi-125g</x:v>
      </x:c>
      <x:c r="J773" s="28" t="str">
        <x:v>Ürün kimliği korundu; eksik alanlar erişilemedi olarak işaretlenecek.</x:v>
      </x:c>
    </x:row>
    <x:row r="774">
      <x:c r="A774" t="str">
        <x:v>Oze Kahve</x:v>
      </x:c>
      <x:c r="B774" t="str">
        <x:v>Ürün kaydı</x:v>
      </x:c>
      <x:c r="C774" t="str">
        <x:v>Elma Şurubu 50 cc</x:v>
      </x:c>
      <x:c r="D774" t="str">
        <x:v>Menşe belirtilmemiş</x:v>
      </x:c>
      <x:c r="E774" s="1" t="str">
        <x:v>Erişilemedi</x:v>
      </x:c>
      <x:c r="F774" s="2" t="n">
        <x:v>0</x:v>
      </x:c>
      <x:c r="G774" t="str">
        <x:v>Gramaj + fiyat</x:v>
      </x:c>
      <x:c r="H774" t="str">
        <x:v>Site haritası ürün sayfası</x:v>
      </x:c>
      <x:c r="I774" s="28" t="str">
        <x:v>https://www.ozekahve.com.tr/elma-surubu-50cc</x:v>
      </x:c>
      <x:c r="J774" s="28" t="str">
        <x:v>Ürün kimliği korundu; eksik alanlar erişilemedi olarak işaretlenecek.</x:v>
      </x:c>
    </x:row>
    <x:row r="775">
      <x:c r="A775" t="str">
        <x:v>Oze Kahve</x:v>
      </x:c>
      <x:c r="B775" t="str">
        <x:v>Ürün kaydı</x:v>
      </x:c>
      <x:c r="C775" t="str">
        <x:v>Elma Şurubu 6 x 75 cl</x:v>
      </x:c>
      <x:c r="D775" t="str">
        <x:v>Menşe belirtilmemiş</x:v>
      </x:c>
      <x:c r="E775" s="1" t="str">
        <x:v>Erişilemedi</x:v>
      </x:c>
      <x:c r="F775" s="2" t="n">
        <x:v>0</x:v>
      </x:c>
      <x:c r="G775" t="str">
        <x:v>Gramaj + fiyat</x:v>
      </x:c>
      <x:c r="H775" t="str">
        <x:v>Site haritası ürün sayfası</x:v>
      </x:c>
      <x:c r="I775" s="28" t="str">
        <x:v>https://www.ozekahve.com.tr/elma-surubu-6li-75cl</x:v>
      </x:c>
      <x:c r="J775" s="28" t="str">
        <x:v>Ürün kimliği korundu; eksik alanlar erişilemedi olarak işaretlenecek.</x:v>
      </x:c>
    </x:row>
    <x:row r="776">
      <x:c r="A776" t="str">
        <x:v>Oze Kahve</x:v>
      </x:c>
      <x:c r="B776" t="str">
        <x:v>Ürün kaydı</x:v>
      </x:c>
      <x:c r="C776" t="str">
        <x:v>Elma Şurubu 75 cl</x:v>
      </x:c>
      <x:c r="D776" t="str">
        <x:v>Menşe belirtilmemiş</x:v>
      </x:c>
      <x:c r="E776" s="1" t="str">
        <x:v>Erişilemedi</x:v>
      </x:c>
      <x:c r="F776" s="2" t="n">
        <x:v>0</x:v>
      </x:c>
      <x:c r="G776" t="str">
        <x:v>Gramaj + fiyat</x:v>
      </x:c>
      <x:c r="H776" t="str">
        <x:v>Site haritası ürün sayfası</x:v>
      </x:c>
      <x:c r="I776" s="28" t="str">
        <x:v>https://www.ozekahve.com.tr/elma-surubu-75cl</x:v>
      </x:c>
      <x:c r="J776" s="28" t="str">
        <x:v>Ürün kimliği korundu; eksik alanlar erişilemedi olarak işaretlenecek.</x:v>
      </x:c>
    </x:row>
    <x:row r="777">
      <x:c r="A777" t="str">
        <x:v>Oze Kahve</x:v>
      </x:c>
      <x:c r="B777" t="str">
        <x:v>Ürün kaydı</x:v>
      </x:c>
      <x:c r="C777" t="str">
        <x:v>Elma Tarçın Çayı 125 g</x:v>
      </x:c>
      <x:c r="D777" t="str">
        <x:v>Menşe belirtilmemiş</x:v>
      </x:c>
      <x:c r="E777" s="1" t="n">
        <x:v>125</x:v>
      </x:c>
      <x:c r="F777" s="2" t="n">
        <x:v>0</x:v>
      </x:c>
      <x:c r="G777" t="str">
        <x:v>Fiyat</x:v>
      </x:c>
      <x:c r="H777" t="str">
        <x:v>Site haritası ürün sayfası</x:v>
      </x:c>
      <x:c r="I777" s="28" t="str">
        <x:v>https://www.ozekahve.com.tr/elma-tarcin-cayi-125g</x:v>
      </x:c>
      <x:c r="J777" s="28" t="str">
        <x:v>Ürün kimliği korundu; eksik alanlar erişilemedi olarak işaretlenecek.</x:v>
      </x:c>
    </x:row>
    <x:row r="778">
      <x:c r="A778" t="str">
        <x:v>Oze Kahve</x:v>
      </x:c>
      <x:c r="B778" t="str">
        <x:v>Ürün kaydı</x:v>
      </x:c>
      <x:c r="C778" t="str">
        <x:v>Ethiopian Sidamo Filtre Kahve 2 x 250 g</x:v>
      </x:c>
      <x:c r="D778" t="str">
        <x:v>Etiyopya</x:v>
      </x:c>
      <x:c r="E778" s="1" t="n">
        <x:v>250</x:v>
      </x:c>
      <x:c r="F778" s="2" t="n">
        <x:v>0</x:v>
      </x:c>
      <x:c r="G778" t="str">
        <x:v>Fiyat</x:v>
      </x:c>
      <x:c r="H778" t="str">
        <x:v>Site haritası ürün sayfası</x:v>
      </x:c>
      <x:c r="I778" s="28" t="str">
        <x:v>https://www.ozekahve.com.tr/ethiopian-sidamo-filtre-kahve-2li-250g</x:v>
      </x:c>
      <x:c r="J778" s="28" t="str">
        <x:v>Ürün kimliği korundu; eksik alanlar erişilemedi olarak işaretlenecek.</x:v>
      </x:c>
    </x:row>
    <x:row r="779">
      <x:c r="A779" t="str">
        <x:v>Oze Kahve</x:v>
      </x:c>
      <x:c r="B779" t="str">
        <x:v>Ürün kaydı</x:v>
      </x:c>
      <x:c r="C779" t="str">
        <x:v>Ethiopian Sidamo Filtre Kahve 250 g</x:v>
      </x:c>
      <x:c r="D779" t="str">
        <x:v>Etiyopya</x:v>
      </x:c>
      <x:c r="E779" s="1" t="n">
        <x:v>250</x:v>
      </x:c>
      <x:c r="F779" s="2" t="n">
        <x:v>0</x:v>
      </x:c>
      <x:c r="G779" t="str">
        <x:v>Fiyat</x:v>
      </x:c>
      <x:c r="H779" t="str">
        <x:v>Site haritası ürün sayfası</x:v>
      </x:c>
      <x:c r="I779" s="28" t="str">
        <x:v>https://www.ozekahve.com.tr/ethiopian-sidamo-filtre-kahve-250g</x:v>
      </x:c>
      <x:c r="J779" s="28" t="str">
        <x:v>Ürün kimliği korundu; eksik alanlar erişilemedi olarak işaretlenecek.</x:v>
      </x:c>
    </x:row>
    <x:row r="780">
      <x:c r="A780" t="str">
        <x:v>Oze Kahve</x:v>
      </x:c>
      <x:c r="B780" t="str">
        <x:v>Ürün kaydı</x:v>
      </x:c>
      <x:c r="C780" t="str">
        <x:v>Frappe Tanışma Seti 3 x 250 g (Çilek, Çikolata, Mango)</x:v>
      </x:c>
      <x:c r="D780" t="str">
        <x:v>Menşe belirtilmemiş</x:v>
      </x:c>
      <x:c r="E780" s="1" t="n">
        <x:v>250</x:v>
      </x:c>
      <x:c r="F780" s="2" t="n">
        <x:v>0</x:v>
      </x:c>
      <x:c r="G780" t="str">
        <x:v>Fiyat</x:v>
      </x:c>
      <x:c r="H780" t="str">
        <x:v>Site haritası ürün sayfası</x:v>
      </x:c>
      <x:c r="I780" s="28" t="str">
        <x:v>https://www.ozekahve.com.tr/frappe-tanisma-seti-cilek-cikolata-mango-3lu-250g</x:v>
      </x:c>
      <x:c r="J780" s="28" t="str">
        <x:v>Ürün kimliği korundu; eksik alanlar erişilemedi olarak işaretlenecek.</x:v>
      </x:c>
    </x:row>
    <x:row r="781">
      <x:c r="A781" t="str">
        <x:v>Oze Kahve</x:v>
      </x:c>
      <x:c r="B781" t="str">
        <x:v>Ürün kaydı</x:v>
      </x:c>
      <x:c r="C781" t="str">
        <x:v>Frappe Tanışma Seti 3 x 250 g (Vanilya, Karamel, Mokka)</x:v>
      </x:c>
      <x:c r="D781" t="str">
        <x:v>Menşe belirtilmemiş</x:v>
      </x:c>
      <x:c r="E781" s="1" t="n">
        <x:v>250</x:v>
      </x:c>
      <x:c r="F781" s="2" t="n">
        <x:v>0</x:v>
      </x:c>
      <x:c r="G781" t="str">
        <x:v>Fiyat</x:v>
      </x:c>
      <x:c r="H781" t="str">
        <x:v>Site haritası ürün sayfası</x:v>
      </x:c>
      <x:c r="I781" s="28" t="str">
        <x:v>https://www.ozekahve.com.tr/frappe-tanisma-seti-vanilya-karamel-mokka-3lu-250g</x:v>
      </x:c>
      <x:c r="J781" s="28" t="str">
        <x:v>Ürün kimliği korundu; eksik alanlar erişilemedi olarak işaretlenecek.</x:v>
      </x:c>
    </x:row>
    <x:row r="782">
      <x:c r="A782" t="str">
        <x:v>Oze Kahve</x:v>
      </x:c>
      <x:c r="B782" t="str">
        <x:v>Ürün kaydı</x:v>
      </x:c>
      <x:c r="C782" t="str">
        <x:v>Frappe Tanışma Seti 6 x 250 g (Kivi, Muz, Böğürtlen, Karamel, Çilek, Mango)</x:v>
      </x:c>
      <x:c r="D782" t="str">
        <x:v>Menşe belirtilmemiş</x:v>
      </x:c>
      <x:c r="E782" s="1" t="n">
        <x:v>250</x:v>
      </x:c>
      <x:c r="F782" s="2" t="n">
        <x:v>0</x:v>
      </x:c>
      <x:c r="G782" t="str">
        <x:v>Fiyat</x:v>
      </x:c>
      <x:c r="H782" t="str">
        <x:v>Site haritası ürün sayfası</x:v>
      </x:c>
      <x:c r="I782" s="28" t="str">
        <x:v>https://www.ozekahve.com.tr/frappe-seti-cilek-karamel-kivi-mango-muz-bogurtlen-6li-250g</x:v>
      </x:c>
      <x:c r="J782" s="28" t="str">
        <x:v>Ürün kimliği korundu; eksik alanlar erişilemedi olarak işaretlenecek.</x:v>
      </x:c>
    </x:row>
    <x:row r="783">
      <x:c r="A783" t="str">
        <x:v>Oze Kahve</x:v>
      </x:c>
      <x:c r="B783" t="str">
        <x:v>Ürün kaydı</x:v>
      </x:c>
      <x:c r="C783" t="str">
        <x:v>Frappe Tanışma Seti 6 x 250 g (Vanilya, Mokka, Çikolata, Karamel, Çilek, Mango)</x:v>
      </x:c>
      <x:c r="D783" t="str">
        <x:v>Menşe belirtilmemiş</x:v>
      </x:c>
      <x:c r="E783" s="1" t="n">
        <x:v>250</x:v>
      </x:c>
      <x:c r="F783" s="2" t="n">
        <x:v>0</x:v>
      </x:c>
      <x:c r="G783" t="str">
        <x:v>Fiyat</x:v>
      </x:c>
      <x:c r="H783" t="str">
        <x:v>Site haritası ürün sayfası</x:v>
      </x:c>
      <x:c r="I783" s="28" t="str">
        <x:v>https://www.ozekahve.com.tr/frappe-seti-vanilya-mokka-mango-karamel-cilek-cikolata-6li-250g</x:v>
      </x:c>
      <x:c r="J783" s="28" t="str">
        <x:v>Ürün kimliği korundu; eksik alanlar erişilemedi olarak işaretlenecek.</x:v>
      </x:c>
    </x:row>
    <x:row r="784">
      <x:c r="A784" t="str">
        <x:v>Pangea Coffee</x:v>
      </x:c>
      <x:c r="B784" t="str">
        <x:v>Katalog takip kaydı</x:v>
      </x:c>
      <x:c r="C784" t="str">
        <x:v>Ürün kataloğu — ayrıntılı ürün verisine erişilemedi</x:v>
      </x:c>
      <x:c r="D784" t="str">
        <x:v>Erişilemedi</x:v>
      </x:c>
      <x:c r="E784" s="1" t="str">
        <x:v>Erişilemedi</x:v>
      </x:c>
      <x:c r="F784" s="2" t="str">
        <x:v>Erişilemedi</x:v>
      </x:c>
      <x:c r="G784" t="str">
        <x:v>Gramaj + fiyat</x:v>
      </x:c>
      <x:c r="H784" t="str">
        <x:v>Instagram veya mevcut kaynak</x:v>
      </x:c>
      <x:c r="I784" s="28" t="str">
        <x:v>Erişilemedi</x:v>
      </x:c>
      <x:c r="J784" s="28" t="str">
        <x:v>Ürün adı, gramaj ve fiyat birlikte çıkarılamadı. Bağlantı manuel inceleme için korundu.</x:v>
      </x:c>
    </x:row>
    <x:row r="785">
      <x:c r="A785" t="str">
        <x:v>Paper Coffee &amp; Chocolate</x:v>
      </x:c>
      <x:c r="B785" t="str">
        <x:v>Ürün kaydı</x:v>
      </x:c>
      <x:c r="C785" t="str">
        <x:v>Brazil Cerrado Natural</x:v>
      </x:c>
      <x:c r="D785" t="str">
        <x:v>Brezilya</x:v>
      </x:c>
      <x:c r="E785" s="1" t="str">
        <x:v>Erişilemedi</x:v>
      </x:c>
      <x:c r="F785" s="2" t="n">
        <x:v>1000</x:v>
      </x:c>
      <x:c r="G785" t="str">
        <x:v>Gramaj</x:v>
      </x:c>
      <x:c r="H785" t="str">
        <x:v>Site haritası ürün sayfası</x:v>
      </x:c>
      <x:c r="I785" s="28" t="str">
        <x:v>https://paperroastingcoffee.com/brazil-cerrado-natural</x:v>
      </x:c>
      <x:c r="J785" s="28" t="str">
        <x:v>Ürün kimliği korundu; eksik alanlar erişilemedi olarak işaretlenecek.</x:v>
      </x:c>
    </x:row>
    <x:row r="786">
      <x:c r="A786" t="str">
        <x:v>Paper Coffee &amp; Chocolate</x:v>
      </x:c>
      <x:c r="B786" t="str">
        <x:v>Ürün kaydı</x:v>
      </x:c>
      <x:c r="C786" t="str">
        <x:v>Colombia Strawberry Washed - Aeropress Championship Selection</x:v>
      </x:c>
      <x:c r="D786" t="str">
        <x:v>Kolombiya</x:v>
      </x:c>
      <x:c r="E786" s="1" t="str">
        <x:v>Erişilemedi</x:v>
      </x:c>
      <x:c r="F786" s="2" t="n">
        <x:v>1000</x:v>
      </x:c>
      <x:c r="G786" t="str">
        <x:v>Gramaj</x:v>
      </x:c>
      <x:c r="H786" t="str">
        <x:v>Site haritası ürün sayfası</x:v>
      </x:c>
      <x:c r="I786" s="28" t="str">
        <x:v>https://paperroastingcoffee.com/colombia-strawberry-washed---aeropress-championship-selection</x:v>
      </x:c>
      <x:c r="J786" s="28" t="str">
        <x:v>Ürün kimliği korundu; eksik alanlar erişilemedi olarak işaretlenecek.</x:v>
      </x:c>
    </x:row>
    <x:row r="787">
      <x:c r="A787" t="str">
        <x:v>Paper Coffee &amp; Chocolate</x:v>
      </x:c>
      <x:c r="B787" t="str">
        <x:v>Ürün kaydı</x:v>
      </x:c>
      <x:c r="C787" t="str">
        <x:v>Dark Roast House Blend</x:v>
      </x:c>
      <x:c r="D787" t="str">
        <x:v>Harman – menşe belirtilmemiş</x:v>
      </x:c>
      <x:c r="E787" s="1" t="str">
        <x:v>Erişilemedi</x:v>
      </x:c>
      <x:c r="F787" s="2" t="n">
        <x:v>1000</x:v>
      </x:c>
      <x:c r="G787" t="str">
        <x:v>Gramaj</x:v>
      </x:c>
      <x:c r="H787" t="str">
        <x:v>Site haritası ürün sayfası</x:v>
      </x:c>
      <x:c r="I787" s="28" t="str">
        <x:v>https://paperroastingcoffee.com/dark-roast-espresso-house-blend</x:v>
      </x:c>
      <x:c r="J787" s="28" t="str">
        <x:v>Ürün kimliği korundu; eksik alanlar erişilemedi olarak işaretlenecek.</x:v>
      </x:c>
    </x:row>
    <x:row r="788">
      <x:c r="A788" t="str">
        <x:v>Paper Coffee &amp; Chocolate</x:v>
      </x:c>
      <x:c r="B788" t="str">
        <x:v>Ürün kaydı</x:v>
      </x:c>
      <x:c r="C788" t="str">
        <x:v>ESPRESSO - Brazil Cerrado Natural</x:v>
      </x:c>
      <x:c r="D788" t="str">
        <x:v>Brezilya</x:v>
      </x:c>
      <x:c r="E788" s="1" t="str">
        <x:v>Erişilemedi</x:v>
      </x:c>
      <x:c r="F788" s="2" t="n">
        <x:v>1000</x:v>
      </x:c>
      <x:c r="G788" t="str">
        <x:v>Gramaj</x:v>
      </x:c>
      <x:c r="H788" t="str">
        <x:v>Site haritası ürün sayfası</x:v>
      </x:c>
      <x:c r="I788" s="28" t="str">
        <x:v>https://paperroastingcoffee.com/espresso---brazil-cerrado-natural</x:v>
      </x:c>
      <x:c r="J788" s="28" t="str">
        <x:v>Ürün kimliği korundu; eksik alanlar erişilemedi olarak işaretlenecek.</x:v>
      </x:c>
    </x:row>
    <x:row r="789">
      <x:c r="A789" t="str">
        <x:v>Paper Coffee &amp; Chocolate</x:v>
      </x:c>
      <x:c r="B789" t="str">
        <x:v>Ürün kaydı</x:v>
      </x:c>
      <x:c r="C789" t="str">
        <x:v>Espresso - Ethiopia Yirgacheffe Washed</x:v>
      </x:c>
      <x:c r="D789" t="str">
        <x:v>Etiyopya</x:v>
      </x:c>
      <x:c r="E789" s="1" t="str">
        <x:v>Erişilemedi</x:v>
      </x:c>
      <x:c r="F789" s="2" t="n">
        <x:v>1000</x:v>
      </x:c>
      <x:c r="G789" t="str">
        <x:v>Gramaj</x:v>
      </x:c>
      <x:c r="H789" t="str">
        <x:v>Site haritası ürün sayfası</x:v>
      </x:c>
      <x:c r="I789" s="28" t="str">
        <x:v>https://paperroastingcoffee.com/espresso-ethiopia-yirgacheffe-washed</x:v>
      </x:c>
      <x:c r="J789" s="28" t="str">
        <x:v>Ürün kimliği korundu; eksik alanlar erişilemedi olarak işaretlenecek.</x:v>
      </x:c>
    </x:row>
    <x:row r="790">
      <x:c r="A790" t="str">
        <x:v>Paper Coffee &amp; Chocolate</x:v>
      </x:c>
      <x:c r="B790" t="str">
        <x:v>Ürün kaydı</x:v>
      </x:c>
      <x:c r="C790" t="str">
        <x:v>Espresso Yirgacheffe Washed</x:v>
      </x:c>
      <x:c r="D790" t="str">
        <x:v>Etiyopya</x:v>
      </x:c>
      <x:c r="E790" s="1" t="str">
        <x:v>Erişilemedi</x:v>
      </x:c>
      <x:c r="F790" s="2" t="n">
        <x:v>1000</x:v>
      </x:c>
      <x:c r="G790" t="str">
        <x:v>Gramaj</x:v>
      </x:c>
      <x:c r="H790" t="str">
        <x:v>Site haritası ürün sayfası</x:v>
      </x:c>
      <x:c r="I790" s="28" t="str">
        <x:v>https://paperroastingcoffee.com/natural-espresso-yirgacheffe-washed</x:v>
      </x:c>
      <x:c r="J790" s="28" t="str">
        <x:v>Ürün kimliği korundu; eksik alanlar erişilemedi olarak işaretlenecek.</x:v>
      </x:c>
    </x:row>
    <x:row r="791">
      <x:c r="A791" t="str">
        <x:v>Paper Coffee &amp; Chocolate</x:v>
      </x:c>
      <x:c r="B791" t="str">
        <x:v>Ürün kaydı</x:v>
      </x:c>
      <x:c r="C791" t="str">
        <x:v>Ethiopia Yirgacheffe Washed</x:v>
      </x:c>
      <x:c r="D791" t="str">
        <x:v>Etiyopya</x:v>
      </x:c>
      <x:c r="E791" s="1" t="str">
        <x:v>Erişilemedi</x:v>
      </x:c>
      <x:c r="F791" s="2" t="n">
        <x:v>1000</x:v>
      </x:c>
      <x:c r="G791" t="str">
        <x:v>Gramaj</x:v>
      </x:c>
      <x:c r="H791" t="str">
        <x:v>Site haritası ürün sayfası</x:v>
      </x:c>
      <x:c r="I791" s="28" t="str">
        <x:v>https://paperroastingcoffee.com/ethiopia-yirgacheffe-washed-1</x:v>
      </x:c>
      <x:c r="J791" s="28" t="str">
        <x:v>Ürün kimliği korundu; eksik alanlar erişilemedi olarak işaretlenecek.</x:v>
      </x:c>
    </x:row>
    <x:row r="792">
      <x:c r="A792" t="str">
        <x:v>Paper Coffee &amp; Chocolate</x:v>
      </x:c>
      <x:c r="B792" t="str">
        <x:v>Ürün kaydı</x:v>
      </x:c>
      <x:c r="C792" t="str">
        <x:v>Guess? Espresso Blend</x:v>
      </x:c>
      <x:c r="D792" t="str">
        <x:v>Harman – menşe belirtilmemiş</x:v>
      </x:c>
      <x:c r="E792" s="1" t="str">
        <x:v>Erişilemedi</x:v>
      </x:c>
      <x:c r="F792" s="2" t="n">
        <x:v>1000</x:v>
      </x:c>
      <x:c r="G792" t="str">
        <x:v>Gramaj</x:v>
      </x:c>
      <x:c r="H792" t="str">
        <x:v>Site haritası ürün sayfası</x:v>
      </x:c>
      <x:c r="I792" s="28" t="str">
        <x:v>https://paperroastingcoffee.com/guess-espresso-blend-250-gr-1</x:v>
      </x:c>
      <x:c r="J792" s="28" t="str">
        <x:v>Ürün kimliği korundu; eksik alanlar erişilemedi olarak işaretlenecek.</x:v>
      </x:c>
    </x:row>
    <x:row r="793">
      <x:c r="A793" t="str">
        <x:v>Paper Coffee &amp; Chocolate</x:v>
      </x:c>
      <x:c r="B793" t="str">
        <x:v>Ürün kaydı</x:v>
      </x:c>
      <x:c r="C793" t="str">
        <x:v>Kitap - Nitelikli Kahve 3. Basım - Uğur Asilsoy</x:v>
      </x:c>
      <x:c r="D793" t="str">
        <x:v>Menşe belirtilmemiş</x:v>
      </x:c>
      <x:c r="E793" s="1" t="str">
        <x:v>Erişilemedi</x:v>
      </x:c>
      <x:c r="F793" s="2" t="n">
        <x:v>1000</x:v>
      </x:c>
      <x:c r="G793" t="str">
        <x:v>Gramaj</x:v>
      </x:c>
      <x:c r="H793" t="str">
        <x:v>Site haritası ürün sayfası</x:v>
      </x:c>
      <x:c r="I793" s="28" t="str">
        <x:v>https://paperroastingcoffee.com/kitap-nitelikli-kahve-ugur-asilsoy</x:v>
      </x:c>
      <x:c r="J793" s="28" t="str">
        <x:v>Ürün kimliği korundu; eksik alanlar erişilemedi olarak işaretlenecek.</x:v>
      </x:c>
    </x:row>
    <x:row r="794">
      <x:c r="A794" t="str">
        <x:v>Paper Coffee &amp; Chocolate</x:v>
      </x:c>
      <x:c r="B794" t="str">
        <x:v>Ürün kaydı</x:v>
      </x:c>
      <x:c r="C794" t="str">
        <x:v>Paper Chocolate - El Salvador La Carrera %25 Kakao Nibi - Sütlü Çikolata</x:v>
      </x:c>
      <x:c r="D794" t="str">
        <x:v>El Salvador</x:v>
      </x:c>
      <x:c r="E794" s="1" t="str">
        <x:v>Erişilemedi</x:v>
      </x:c>
      <x:c r="F794" s="2" t="n">
        <x:v>1000</x:v>
      </x:c>
      <x:c r="G794" t="str">
        <x:v>Gramaj</x:v>
      </x:c>
      <x:c r="H794" t="str">
        <x:v>Site haritası ürün sayfası</x:v>
      </x:c>
      <x:c r="I794" s="28" t="str">
        <x:v>https://paperroastingcoffee.com/paper-chocolate-el-salvador-la-carrera-25-sutlu</x:v>
      </x:c>
      <x:c r="J794" s="28" t="str">
        <x:v>Ürün kimliği korundu; eksik alanlar erişilemedi olarak işaretlenecek.</x:v>
      </x:c>
    </x:row>
    <x:row r="795">
      <x:c r="A795" t="str">
        <x:v>Paper Coffee &amp; Chocolate</x:v>
      </x:c>
      <x:c r="B795" t="str">
        <x:v>Ürün kaydı</x:v>
      </x:c>
      <x:c r="C795" t="str">
        <x:v>Paper Chocolate - El Salvador La Carrera %70 Kakao Nibi - Bitter Çikolata</x:v>
      </x:c>
      <x:c r="D795" t="str">
        <x:v>El Salvador</x:v>
      </x:c>
      <x:c r="E795" s="1" t="str">
        <x:v>Erişilemedi</x:v>
      </x:c>
      <x:c r="F795" s="2" t="n">
        <x:v>1000</x:v>
      </x:c>
      <x:c r="G795" t="str">
        <x:v>Gramaj</x:v>
      </x:c>
      <x:c r="H795" t="str">
        <x:v>Site haritası ürün sayfası</x:v>
      </x:c>
      <x:c r="I795" s="28" t="str">
        <x:v>https://paperroastingcoffee.com/paper-chocolate-el-salvador-la-carrera-70-kakao-nibi-bitter-cikolata</x:v>
      </x:c>
      <x:c r="J795" s="28" t="str">
        <x:v>Ürün kimliği korundu; eksik alanlar erişilemedi olarak işaretlenecek.</x:v>
      </x:c>
    </x:row>
    <x:row r="796">
      <x:c r="A796" t="str">
        <x:v>Paper Coffee &amp; Chocolate</x:v>
      </x:c>
      <x:c r="B796" t="str">
        <x:v>Ürün kaydı</x:v>
      </x:c>
      <x:c r="C796" t="str">
        <x:v>SCA BARISTA SKILLS - INTERMEDIATE (5-6 EYLÜL)</x:v>
      </x:c>
      <x:c r="D796" t="str">
        <x:v>Menşe belirtilmemiş</x:v>
      </x:c>
      <x:c r="E796" s="1" t="str">
        <x:v>Erişilemedi</x:v>
      </x:c>
      <x:c r="F796" s="2" t="n">
        <x:v>1000</x:v>
      </x:c>
      <x:c r="G796" t="str">
        <x:v>Gramaj</x:v>
      </x:c>
      <x:c r="H796" t="str">
        <x:v>Site haritası ürün sayfası</x:v>
      </x:c>
      <x:c r="I796" s="28" t="str">
        <x:v>https://paperroastingcoffee.com/sca-barista-skills-intermediate-15-16-mayis</x:v>
      </x:c>
      <x:c r="J796" s="28" t="str">
        <x:v>Ürün kimliği korundu; eksik alanlar erişilemedi olarak işaretlenecek.</x:v>
      </x:c>
    </x:row>
    <x:row r="797">
      <x:c r="A797" t="str">
        <x:v>Paper Coffee &amp; Chocolate</x:v>
      </x:c>
      <x:c r="B797" t="str">
        <x:v>Ürün kaydı</x:v>
      </x:c>
      <x:c r="C797" t="str">
        <x:v>SCA Sensory Skills - FOUNDATION (23 AĞUSTOS)</x:v>
      </x:c>
      <x:c r="D797" t="str">
        <x:v>Menşe belirtilmemiş</x:v>
      </x:c>
      <x:c r="E797" s="1" t="str">
        <x:v>Erişilemedi</x:v>
      </x:c>
      <x:c r="F797" s="2" t="n">
        <x:v>1000</x:v>
      </x:c>
      <x:c r="G797" t="str">
        <x:v>Gramaj</x:v>
      </x:c>
      <x:c r="H797" t="str">
        <x:v>Site haritası ürün sayfası</x:v>
      </x:c>
      <x:c r="I797" s="28" t="str">
        <x:v>https://paperroastingcoffee.com/sca-brewing-foundation-8-mayis</x:v>
      </x:c>
      <x:c r="J797" s="28" t="str">
        <x:v>Ürün kimliği korundu; eksik alanlar erişilemedi olarak işaretlenecek.</x:v>
      </x:c>
    </x:row>
    <x:row r="798">
      <x:c r="A798" t="str">
        <x:v>Paper Coffee &amp; Chocolate</x:v>
      </x:c>
      <x:c r="B798" t="str">
        <x:v>Ürün kaydı</x:v>
      </x:c>
      <x:c r="C798" t="str">
        <x:v>SCA Sensory Skills - INTERMEDIATE (1-2 AĞUSTOS)</x:v>
      </x:c>
      <x:c r="D798" t="str">
        <x:v>Menşe belirtilmemiş</x:v>
      </x:c>
      <x:c r="E798" s="1" t="str">
        <x:v>Erişilemedi</x:v>
      </x:c>
      <x:c r="F798" s="2" t="n">
        <x:v>1000</x:v>
      </x:c>
      <x:c r="G798" t="str">
        <x:v>Gramaj</x:v>
      </x:c>
      <x:c r="H798" t="str">
        <x:v>Site haritası ürün sayfası</x:v>
      </x:c>
      <x:c r="I798" s="28" t="str">
        <x:v>https://paperroastingcoffee.com/sca-sensory-skills-foundation-9-mayis-1</x:v>
      </x:c>
      <x:c r="J798" s="28" t="str">
        <x:v>Ürün kimliği korundu; eksik alanlar erişilemedi olarak işaretlenecek.</x:v>
      </x:c>
    </x:row>
    <x:row r="799">
      <x:c r="A799" t="str">
        <x:v>Paper Coffee &amp; Chocolate</x:v>
      </x:c>
      <x:c r="B799" t="str">
        <x:v>Ürün kaydı</x:v>
      </x:c>
      <x:c r="C799" t="str">
        <x:v>Super Special - Colombia Cafe Granja La Espreanza Potosi XO</x:v>
      </x:c>
      <x:c r="D799" t="str">
        <x:v>Kolombiya</x:v>
      </x:c>
      <x:c r="E799" s="1" t="str">
        <x:v>Erişilemedi</x:v>
      </x:c>
      <x:c r="F799" s="2" t="n">
        <x:v>1000</x:v>
      </x:c>
      <x:c r="G799" t="str">
        <x:v>Gramaj</x:v>
      </x:c>
      <x:c r="H799" t="str">
        <x:v>Site haritası ürün sayfası</x:v>
      </x:c>
      <x:c r="I799" s="28" t="str">
        <x:v>https://paperroastingcoffee.com/super-special---colombia-cafe-granja-la-espreanza-potosi-xo---250-gr</x:v>
      </x:c>
      <x:c r="J799" s="28" t="str">
        <x:v>Ürün kimliği korundu; eksik alanlar erişilemedi olarak işaretlenecek.</x:v>
      </x:c>
    </x:row>
    <x:row r="800">
      <x:c r="A800" t="str">
        <x:v>Paper Coffee &amp; Chocolate</x:v>
      </x:c>
      <x:c r="B800" t="str">
        <x:v>Ürün kaydı</x:v>
      </x:c>
      <x:c r="C800" t="str">
        <x:v>Time More Black Mirror Basic 3 Scale | Hassas Tartı</x:v>
      </x:c>
      <x:c r="D800" t="str">
        <x:v>Menşe belirtilmemiş</x:v>
      </x:c>
      <x:c r="E800" s="1" t="str">
        <x:v>Erişilemedi</x:v>
      </x:c>
      <x:c r="F800" s="2" t="n">
        <x:v>1000</x:v>
      </x:c>
      <x:c r="G800" t="str">
        <x:v>Gramaj</x:v>
      </x:c>
      <x:c r="H800" t="str">
        <x:v>Site haritası ürün sayfası</x:v>
      </x:c>
      <x:c r="I800" s="28" t="str">
        <x:v>https://paperroastingcoffee.com/time-more-black-mirror-basic-3-scale-hassas-tarti</x:v>
      </x:c>
      <x:c r="J800" s="28" t="str">
        <x:v>Ürün kimliği korundu; eksik alanlar erişilemedi olarak işaretlenecek.</x:v>
      </x:c>
    </x:row>
    <x:row r="801">
      <x:c r="A801" t="str">
        <x:v>Paper Coffee &amp; Chocolate</x:v>
      </x:c>
      <x:c r="B801" t="str">
        <x:v>Ürün kaydı</x:v>
      </x:c>
      <x:c r="C801" t="str">
        <x:v>Türk Kahvesi</x:v>
      </x:c>
      <x:c r="D801" t="str">
        <x:v>Brezilya</x:v>
      </x:c>
      <x:c r="E801" s="1" t="str">
        <x:v>Erişilemedi</x:v>
      </x:c>
      <x:c r="F801" s="2" t="n">
        <x:v>1000</x:v>
      </x:c>
      <x:c r="G801" t="str">
        <x:v>Gramaj</x:v>
      </x:c>
      <x:c r="H801" t="str">
        <x:v>Site haritası ürün sayfası</x:v>
      </x:c>
      <x:c r="I801" s="28" t="str">
        <x:v>https://paperroastingcoffee.com/turk-kahvesi-250-gr-1</x:v>
      </x:c>
      <x:c r="J801" s="28" t="str">
        <x:v>Ürün kimliği korundu; eksik alanlar erişilemedi olarak işaretlenecek.</x:v>
      </x:c>
    </x:row>
    <x:row r="802">
      <x:c r="A802" t="str">
        <x:v>Paper Coffee &amp; Chocolate</x:v>
      </x:c>
      <x:c r="B802" t="str">
        <x:v>Ürün kaydı</x:v>
      </x:c>
      <x:c r="C802" t="str">
        <x:v>Whose? Filter Blend</x:v>
      </x:c>
      <x:c r="D802" t="str">
        <x:v>Harman – menşe belirtilmemiş</x:v>
      </x:c>
      <x:c r="E802" s="1" t="str">
        <x:v>Erişilemedi</x:v>
      </x:c>
      <x:c r="F802" s="2" t="n">
        <x:v>1000</x:v>
      </x:c>
      <x:c r="G802" t="str">
        <x:v>Gramaj</x:v>
      </x:c>
      <x:c r="H802" t="str">
        <x:v>Site haritası ürün sayfası</x:v>
      </x:c>
      <x:c r="I802" s="28" t="str">
        <x:v>https://paperroastingcoffee.com/whose-filter-blend-250gr-1-1</x:v>
      </x:c>
      <x:c r="J802" s="28" t="str">
        <x:v>Ürün kimliği korundu; eksik alanlar erişilemedi olarak işaretlenecek.</x:v>
      </x:c>
    </x:row>
    <x:row r="803">
      <x:c r="A803" t="str">
        <x:v>Paper Coffee &amp; Chocolate</x:v>
      </x:c>
      <x:c r="B803" t="str">
        <x:v>Ürün kaydı</x:v>
      </x:c>
      <x:c r="C803" t="str">
        <x:v>Wilfa - Aroma Konik Dişli Kahve Öğütücü - CGWS-130B</x:v>
      </x:c>
      <x:c r="D803" t="str">
        <x:v>Menşe belirtilmemiş</x:v>
      </x:c>
      <x:c r="E803" s="1" t="str">
        <x:v>Erişilemedi</x:v>
      </x:c>
      <x:c r="F803" s="2" t="n">
        <x:v>1000</x:v>
      </x:c>
      <x:c r="G803" t="str">
        <x:v>Gramaj</x:v>
      </x:c>
      <x:c r="H803" t="str">
        <x:v>Site haritası ürün sayfası</x:v>
      </x:c>
      <x:c r="I803" s="28" t="str">
        <x:v>https://paperroastingcoffee.com/wilfa---aroma-konik-disli-kahve-ogutucu---cgws-130b</x:v>
      </x:c>
      <x:c r="J803" s="28" t="str">
        <x:v>Ürün kimliği korundu; eksik alanlar erişilemedi olarak işaretlenecek.</x:v>
      </x:c>
    </x:row>
    <x:row r="804">
      <x:c r="A804" t="str">
        <x:v>Paper Coffee &amp; Chocolate</x:v>
      </x:c>
      <x:c r="B804" t="str">
        <x:v>Ürün kaydı</x:v>
      </x:c>
      <x:c r="C804" t="str">
        <x:v>Wilfa - Uniform 58mm Flat Dişli Kahve Öğütücü - Gümüş</x:v>
      </x:c>
      <x:c r="D804" t="str">
        <x:v>Menşe belirtilmemiş</x:v>
      </x:c>
      <x:c r="E804" s="1" t="str">
        <x:v>Erişilemedi</x:v>
      </x:c>
      <x:c r="F804" s="2" t="n">
        <x:v>1000</x:v>
      </x:c>
      <x:c r="G804" t="str">
        <x:v>Gramaj</x:v>
      </x:c>
      <x:c r="H804" t="str">
        <x:v>Site haritası ürün sayfası</x:v>
      </x:c>
      <x:c r="I804" s="28" t="str">
        <x:v>https://paperroastingcoffee.com/wilfa---uniform-58mm-flat-disli-kahve-ogutucu---gumus</x:v>
      </x:c>
      <x:c r="J804" s="28" t="str">
        <x:v>Ürün kimliği korundu; eksik alanlar erişilemedi olarak işaretlenecek.</x:v>
      </x:c>
    </x:row>
    <x:row r="805">
      <x:c r="A805" t="str">
        <x:v>Paper Coffee &amp; Chocolate</x:v>
      </x:c>
      <x:c r="B805" t="str">
        <x:v>Ürün kaydı</x:v>
      </x:c>
      <x:c r="C805" t="str">
        <x:v>Wilfa - Uniform+ 58mm Flat Dişli Tartılı Kahve Öğütücü - Siyah</x:v>
      </x:c>
      <x:c r="D805" t="str">
        <x:v>Menşe belirtilmemiş</x:v>
      </x:c>
      <x:c r="E805" s="1" t="str">
        <x:v>Erişilemedi</x:v>
      </x:c>
      <x:c r="F805" s="2" t="n">
        <x:v>1000</x:v>
      </x:c>
      <x:c r="G805" t="str">
        <x:v>Gramaj</x:v>
      </x:c>
      <x:c r="H805" t="str">
        <x:v>Site haritası ürün sayfası</x:v>
      </x:c>
      <x:c r="I805" s="28" t="str">
        <x:v>https://paperroastingcoffee.com/wilfa---uniform-58mm-flat-disli-tartili-kahve-ogutucu---siyah</x:v>
      </x:c>
      <x:c r="J805" s="28" t="str">
        <x:v>Ürün kimliği korundu; eksik alanlar erişilemedi olarak işaretlenecek.</x:v>
      </x:c>
    </x:row>
    <x:row r="806">
      <x:c r="A806" t="str">
        <x:v>Parsa Coffee Roasters</x:v>
      </x:c>
      <x:c r="B806" t="str">
        <x:v>Ürün kaydı</x:v>
      </x:c>
      <x:c r="C806" t="str">
        <x:v>Brazil Irmas Pereira</x:v>
      </x:c>
      <x:c r="D806" t="str">
        <x:v>Brezilya</x:v>
      </x:c>
      <x:c r="E806" s="1" t="str">
        <x:v>Erişilemedi</x:v>
      </x:c>
      <x:c r="F806" s="2" t="n">
        <x:v>1000</x:v>
      </x:c>
      <x:c r="G806" t="str">
        <x:v>Gramaj</x:v>
      </x:c>
      <x:c r="H806" t="str">
        <x:v>Site haritası ürün sayfası</x:v>
      </x:c>
      <x:c r="I806" s="28" t="str">
        <x:v>https://parsacoffeeroasters.com/en/kahve/101</x:v>
      </x:c>
      <x:c r="J806" s="28" t="str">
        <x:v>Ürün kimliği korundu; eksik alanlar erişilemedi olarak işaretlenecek.</x:v>
      </x:c>
    </x:row>
    <x:row r="807">
      <x:c r="A807" t="str">
        <x:v>Parsa Coffee Roasters</x:v>
      </x:c>
      <x:c r="B807" t="str">
        <x:v>Ürün kaydı</x:v>
      </x:c>
      <x:c r="C807" t="str">
        <x:v>Choosing the Right Coffee Beans</x:v>
      </x:c>
      <x:c r="D807" t="str">
        <x:v>Menşe belirtilmemiş</x:v>
      </x:c>
      <x:c r="E807" s="1" t="str">
        <x:v>Erişilemedi</x:v>
      </x:c>
      <x:c r="F807" s="2" t="n">
        <x:v>1000</x:v>
      </x:c>
      <x:c r="G807" t="str">
        <x:v>Gramaj</x:v>
      </x:c>
      <x:c r="H807" t="str">
        <x:v>Site haritası ürün sayfası</x:v>
      </x:c>
      <x:c r="I807" s="28" t="str">
        <x:v>https://parsacoffeeroasters.com/en/gunluk/N%C2%B001</x:v>
      </x:c>
      <x:c r="J807" s="28" t="str">
        <x:v>Ürün kimliği korundu; eksik alanlar erişilemedi olarak işaretlenecek.</x:v>
      </x:c>
    </x:row>
    <x:row r="808">
      <x:c r="A808" t="str">
        <x:v>Parsa Coffee Roasters</x:v>
      </x:c>
      <x:c r="B808" t="str">
        <x:v>Ürün kaydı</x:v>
      </x:c>
      <x:c r="C808" t="str">
        <x:v>Colombia Jairo Arcila</x:v>
      </x:c>
      <x:c r="D808" t="str">
        <x:v>Kolombiya</x:v>
      </x:c>
      <x:c r="E808" s="1" t="str">
        <x:v>Erişilemedi</x:v>
      </x:c>
      <x:c r="F808" s="2" t="n">
        <x:v>1000</x:v>
      </x:c>
      <x:c r="G808" t="str">
        <x:v>Gramaj</x:v>
      </x:c>
      <x:c r="H808" t="str">
        <x:v>Site haritası ürün sayfası</x:v>
      </x:c>
      <x:c r="I808" s="28" t="str">
        <x:v>https://parsacoffeeroasters.com/en/kahve/119</x:v>
      </x:c>
      <x:c r="J808" s="28" t="str">
        <x:v>Ürün kimliği korundu; eksik alanlar erişilemedi olarak işaretlenecek.</x:v>
      </x:c>
    </x:row>
    <x:row r="809">
      <x:c r="A809" t="str">
        <x:v>Parsa Coffee Roasters</x:v>
      </x:c>
      <x:c r="B809" t="str">
        <x:v>Ürün kaydı</x:v>
      </x:c>
      <x:c r="C809" t="str">
        <x:v>Colombia Santa Monica Lulo</x:v>
      </x:c>
      <x:c r="D809" t="str">
        <x:v>Kolombiya</x:v>
      </x:c>
      <x:c r="E809" s="1" t="str">
        <x:v>Erişilemedi</x:v>
      </x:c>
      <x:c r="F809" s="2" t="n">
        <x:v>1000</x:v>
      </x:c>
      <x:c r="G809" t="str">
        <x:v>Gramaj</x:v>
      </x:c>
      <x:c r="H809" t="str">
        <x:v>Site haritası ürün sayfası</x:v>
      </x:c>
      <x:c r="I809" s="28" t="str">
        <x:v>https://parsacoffeeroasters.com/en/kahve/118</x:v>
      </x:c>
      <x:c r="J809" s="28" t="str">
        <x:v>Ürün kimliği korundu; eksik alanlar erişilemedi olarak işaretlenecek.</x:v>
      </x:c>
    </x:row>
    <x:row r="810">
      <x:c r="A810" t="str">
        <x:v>Parsa Coffee Roasters</x:v>
      </x:c>
      <x:c r="B810" t="str">
        <x:v>Ürün kaydı</x:v>
      </x:c>
      <x:c r="C810" t="str">
        <x:v>Connect Share</x:v>
      </x:c>
      <x:c r="D810" t="str">
        <x:v>Etiyopya | Kolombiya | Brezilya</x:v>
      </x:c>
      <x:c r="E810" s="1" t="str">
        <x:v>Erişilemedi</x:v>
      </x:c>
      <x:c r="F810" s="2" t="n">
        <x:v>1000</x:v>
      </x:c>
      <x:c r="G810" t="str">
        <x:v>Gramaj</x:v>
      </x:c>
      <x:c r="H810" t="str">
        <x:v>Site haritası ürün sayfası</x:v>
      </x:c>
      <x:c r="I810" s="28" t="str">
        <x:v>https://parsacoffeeroasters.com/en/connect</x:v>
      </x:c>
      <x:c r="J810" s="28" t="str">
        <x:v>Ürün kimliği korundu; eksik alanlar erişilemedi olarak işaretlenecek.</x:v>
      </x:c>
    </x:row>
    <x:row r="811">
      <x:c r="A811" t="str">
        <x:v>Parsa Coffee Roasters</x:v>
      </x:c>
      <x:c r="B811" t="str">
        <x:v>Ürün kaydı</x:v>
      </x:c>
      <x:c r="C811" t="str">
        <x:v>Contact</x:v>
      </x:c>
      <x:c r="D811" t="str">
        <x:v>Etiyopya | Kolombiya | Brezilya</x:v>
      </x:c>
      <x:c r="E811" s="1" t="str">
        <x:v>Erişilemedi</x:v>
      </x:c>
      <x:c r="F811" s="2" t="n">
        <x:v>1000</x:v>
      </x:c>
      <x:c r="G811" t="str">
        <x:v>Gramaj</x:v>
      </x:c>
      <x:c r="H811" t="str">
        <x:v>Site haritası ürün sayfası</x:v>
      </x:c>
      <x:c r="I811" s="28" t="str">
        <x:v>https://parsacoffeeroasters.com/en/iletisim</x:v>
      </x:c>
      <x:c r="J811" s="28" t="str">
        <x:v>Ürün kimliği korundu; eksik alanlar erişilemedi olarak işaretlenecek.</x:v>
      </x:c>
    </x:row>
    <x:row r="812">
      <x:c r="A812" t="str">
        <x:v>Parsa Coffee Roasters</x:v>
      </x:c>
      <x:c r="B812" t="str">
        <x:v>Ürün kaydı</x:v>
      </x:c>
      <x:c r="C812" t="str">
        <x:v>CVA Form Coffee Evaluation System</x:v>
      </x:c>
      <x:c r="D812" t="str">
        <x:v>Menşe belirtilmemiş</x:v>
      </x:c>
      <x:c r="E812" s="1" t="str">
        <x:v>Erişilemedi</x:v>
      </x:c>
      <x:c r="F812" s="2" t="n">
        <x:v>1000</x:v>
      </x:c>
      <x:c r="G812" t="str">
        <x:v>Gramaj</x:v>
      </x:c>
      <x:c r="H812" t="str">
        <x:v>Site haritası ürün sayfası</x:v>
      </x:c>
      <x:c r="I812" s="28" t="str">
        <x:v>https://parsacoffeeroasters.com/en/gunluk/N%C2%B003</x:v>
      </x:c>
      <x:c r="J812" s="28" t="str">
        <x:v>Ürün kimliği korundu; eksik alanlar erişilemedi olarak işaretlenecek.</x:v>
      </x:c>
    </x:row>
    <x:row r="813">
      <x:c r="A813" t="str">
        <x:v>Parsa Coffee Roasters</x:v>
      </x:c>
      <x:c r="B813" t="str">
        <x:v>Ürün kaydı</x:v>
      </x:c>
      <x:c r="C813" t="str">
        <x:v>Defter&amp;#x27; den .</x:v>
      </x:c>
      <x:c r="D813" t="str">
        <x:v>Etiyopya | Kolombiya | Brezilya</x:v>
      </x:c>
      <x:c r="E813" s="1" t="str">
        <x:v>Erişilemedi</x:v>
      </x:c>
      <x:c r="F813" s="2" t="n">
        <x:v>1000</x:v>
      </x:c>
      <x:c r="G813" t="str">
        <x:v>Gramaj</x:v>
      </x:c>
      <x:c r="H813" t="str">
        <x:v>Site haritası ürün sayfası</x:v>
      </x:c>
      <x:c r="I813" s="28" t="str">
        <x:v>https://parsacoffeeroasters.com/tr/gunluk</x:v>
      </x:c>
      <x:c r="J813" s="28" t="str">
        <x:v>Ürün kimliği korundu; eksik alanlar erişilemedi olarak işaretlenecek.</x:v>
      </x:c>
    </x:row>
    <x:row r="814">
      <x:c r="A814" t="str">
        <x:v>Parsa Coffee Roasters</x:v>
      </x:c>
      <x:c r="B814" t="str">
        <x:v>Ürün kaydı</x:v>
      </x:c>
      <x:c r="C814" t="str">
        <x:v>Doğru Kahve Çekirdeklerini Seçmek</x:v>
      </x:c>
      <x:c r="D814" t="str">
        <x:v>Menşe belirtilmemiş</x:v>
      </x:c>
      <x:c r="E814" s="1" t="str">
        <x:v>Erişilemedi</x:v>
      </x:c>
      <x:c r="F814" s="2" t="n">
        <x:v>1000</x:v>
      </x:c>
      <x:c r="G814" t="str">
        <x:v>Gramaj</x:v>
      </x:c>
      <x:c r="H814" t="str">
        <x:v>Site haritası ürün sayfası</x:v>
      </x:c>
      <x:c r="I814" s="28" t="str">
        <x:v>https://parsacoffeeroasters.com/tr/gunluk/N%C2%B001</x:v>
      </x:c>
      <x:c r="J814" s="28" t="str">
        <x:v>Ürün kimliği korundu; eksik alanlar erişilemedi olarak işaretlenecek.</x:v>
      </x:c>
    </x:row>
    <x:row r="815">
      <x:c r="A815" t="str">
        <x:v>Parsa Coffee Roasters</x:v>
      </x:c>
      <x:c r="B815" t="str">
        <x:v>Ürün kaydı</x:v>
      </x:c>
      <x:c r="C815" t="str">
        <x:v>Ethiopia Guji</x:v>
      </x:c>
      <x:c r="D815" t="str">
        <x:v>Etiyopya</x:v>
      </x:c>
      <x:c r="E815" s="1" t="str">
        <x:v>Erişilemedi</x:v>
      </x:c>
      <x:c r="F815" s="2" t="n">
        <x:v>1000</x:v>
      </x:c>
      <x:c r="G815" t="str">
        <x:v>Gramaj</x:v>
      </x:c>
      <x:c r="H815" t="str">
        <x:v>Site haritası ürün sayfası</x:v>
      </x:c>
      <x:c r="I815" s="28" t="str">
        <x:v>https://parsacoffeeroasters.com/en/kahve/110</x:v>
      </x:c>
      <x:c r="J815" s="28" t="str">
        <x:v>Ürün kimliği korundu; eksik alanlar erişilemedi olarak işaretlenecek.</x:v>
      </x:c>
    </x:row>
    <x:row r="816">
      <x:c r="A816" t="str">
        <x:v>Parsa Coffee Roasters</x:v>
      </x:c>
      <x:c r="B816" t="str">
        <x:v>Ürün kaydı</x:v>
      </x:c>
      <x:c r="C816" t="str">
        <x:v>Ethiopia Hambella Bella</x:v>
      </x:c>
      <x:c r="D816" t="str">
        <x:v>Etiyopya</x:v>
      </x:c>
      <x:c r="E816" s="1" t="str">
        <x:v>Erişilemedi</x:v>
      </x:c>
      <x:c r="F816" s="2" t="n">
        <x:v>1000</x:v>
      </x:c>
      <x:c r="G816" t="str">
        <x:v>Gramaj</x:v>
      </x:c>
      <x:c r="H816" t="str">
        <x:v>Site haritası ürün sayfası</x:v>
      </x:c>
      <x:c r="I816" s="28" t="str">
        <x:v>https://parsacoffeeroasters.com/en/kahve/112</x:v>
      </x:c>
      <x:c r="J816" s="28" t="str">
        <x:v>Ürün kimliği korundu; eksik alanlar erişilemedi olarak işaretlenecek.</x:v>
      </x:c>
    </x:row>
    <x:row r="817">
      <x:c r="A817" t="str">
        <x:v>Parsa Coffee Roasters</x:v>
      </x:c>
      <x:c r="B817" t="str">
        <x:v>Ürün kaydı</x:v>
      </x:c>
      <x:c r="C817" t="str">
        <x:v>Ethiopia Lalesa</x:v>
      </x:c>
      <x:c r="D817" t="str">
        <x:v>Etiyopya</x:v>
      </x:c>
      <x:c r="E817" s="1" t="str">
        <x:v>Erişilemedi</x:v>
      </x:c>
      <x:c r="F817" s="2" t="n">
        <x:v>1000</x:v>
      </x:c>
      <x:c r="G817" t="str">
        <x:v>Gramaj</x:v>
      </x:c>
      <x:c r="H817" t="str">
        <x:v>Site haritası ürün sayfası</x:v>
      </x:c>
      <x:c r="I817" s="28" t="str">
        <x:v>https://parsacoffeeroasters.com/en/kahve/113</x:v>
      </x:c>
      <x:c r="J817" s="28" t="str">
        <x:v>Ürün kimliği korundu; eksik alanlar erişilemedi olarak işaretlenecek.</x:v>
      </x:c>
    </x:row>
    <x:row r="818">
      <x:c r="A818" t="str">
        <x:v>Parsa Coffee Roasters</x:v>
      </x:c>
      <x:c r="B818" t="str">
        <x:v>Ürün kaydı</x:v>
      </x:c>
      <x:c r="C818" t="str">
        <x:v>Ethiopia Yirgacheffe Danche</x:v>
      </x:c>
      <x:c r="D818" t="str">
        <x:v>Etiyopya</x:v>
      </x:c>
      <x:c r="E818" s="1" t="str">
        <x:v>Erişilemedi</x:v>
      </x:c>
      <x:c r="F818" s="2" t="n">
        <x:v>1000</x:v>
      </x:c>
      <x:c r="G818" t="str">
        <x:v>Gramaj</x:v>
      </x:c>
      <x:c r="H818" t="str">
        <x:v>Site haritası ürün sayfası</x:v>
      </x:c>
      <x:c r="I818" s="28" t="str">
        <x:v>https://parsacoffeeroasters.com/en/kahve/111</x:v>
      </x:c>
      <x:c r="J818" s="28" t="str">
        <x:v>Ürün kimliği korundu; eksik alanlar erişilemedi olarak işaretlenecek.</x:v>
      </x:c>
    </x:row>
    <x:row r="819">
      <x:c r="A819" t="str">
        <x:v>Parsa Coffee Roasters</x:v>
      </x:c>
      <x:c r="B819" t="str">
        <x:v>Ürün kaydı</x:v>
      </x:c>
      <x:c r="C819" t="str">
        <x:v>Favorilerim</x:v>
      </x:c>
      <x:c r="D819" t="str">
        <x:v>Etiyopya | Kolombiya | Brezilya</x:v>
      </x:c>
      <x:c r="E819" s="1" t="str">
        <x:v>Erişilemedi</x:v>
      </x:c>
      <x:c r="F819" s="2" t="n">
        <x:v>1000</x:v>
      </x:c>
      <x:c r="G819" t="str">
        <x:v>Gramaj</x:v>
      </x:c>
      <x:c r="H819" t="str">
        <x:v>Site haritası ürün sayfası</x:v>
      </x:c>
      <x:c r="I819" s="28" t="str">
        <x:v>https://parsacoffeeroasters.com/tr/favoriler</x:v>
      </x:c>
      <x:c r="J819" s="28" t="str">
        <x:v>Ürün kimliği korundu; eksik alanlar erişilemedi olarak işaretlenecek.</x:v>
      </x:c>
    </x:row>
    <x:row r="820">
      <x:c r="A820" t="str">
        <x:v>Parsa Coffee Roasters</x:v>
      </x:c>
      <x:c r="B820" t="str">
        <x:v>Ürün kaydı</x:v>
      </x:c>
      <x:c r="C820" t="str">
        <x:v>From the notebook .</x:v>
      </x:c>
      <x:c r="D820" t="str">
        <x:v>Etiyopya | Kolombiya | Brezilya</x:v>
      </x:c>
      <x:c r="E820" s="1" t="str">
        <x:v>Erişilemedi</x:v>
      </x:c>
      <x:c r="F820" s="2" t="n">
        <x:v>1000</x:v>
      </x:c>
      <x:c r="G820" t="str">
        <x:v>Gramaj</x:v>
      </x:c>
      <x:c r="H820" t="str">
        <x:v>Site haritası ürün sayfası</x:v>
      </x:c>
      <x:c r="I820" s="28" t="str">
        <x:v>https://parsacoffeeroasters.com/en/gunluk</x:v>
      </x:c>
      <x:c r="J820" s="28" t="str">
        <x:v>Ürün kimliği korundu; eksik alanlar erişilemedi olarak işaretlenecek.</x:v>
      </x:c>
    </x:row>
    <x:row r="821">
      <x:c r="A821" t="str">
        <x:v>Parsa Coffee Roasters</x:v>
      </x:c>
      <x:c r="B821" t="str">
        <x:v>Ürün kaydı</x:v>
      </x:c>
      <x:c r="C821" t="str">
        <x:v>Geisha Floral Symphony</x:v>
      </x:c>
      <x:c r="D821" t="str">
        <x:v>Menşe belirtilmemiş</x:v>
      </x:c>
      <x:c r="E821" s="1" t="str">
        <x:v>Erişilemedi</x:v>
      </x:c>
      <x:c r="F821" s="2" t="n">
        <x:v>1000</x:v>
      </x:c>
      <x:c r="G821" t="str">
        <x:v>Gramaj</x:v>
      </x:c>
      <x:c r="H821" t="str">
        <x:v>Site haritası ürün sayfası</x:v>
      </x:c>
      <x:c r="I821" s="28" t="str">
        <x:v>https://parsacoffeeroasters.com/en/kahve/121</x:v>
      </x:c>
      <x:c r="J821" s="28" t="str">
        <x:v>Ürün kimliği korundu; eksik alanlar erişilemedi olarak işaretlenecek.</x:v>
      </x:c>
    </x:row>
    <x:row r="822">
      <x:c r="A822" t="str">
        <x:v>Parsa Coffee Roasters</x:v>
      </x:c>
      <x:c r="B822" t="str">
        <x:v>Ürün kaydı</x:v>
      </x:c>
      <x:c r="C822" t="str">
        <x:v>Guatemala Oriente</x:v>
      </x:c>
      <x:c r="D822" t="str">
        <x:v>Guatemala</x:v>
      </x:c>
      <x:c r="E822" s="1" t="str">
        <x:v>Erişilemedi</x:v>
      </x:c>
      <x:c r="F822" s="2" t="n">
        <x:v>1000</x:v>
      </x:c>
      <x:c r="G822" t="str">
        <x:v>Gramaj</x:v>
      </x:c>
      <x:c r="H822" t="str">
        <x:v>Site haritası ürün sayfası</x:v>
      </x:c>
      <x:c r="I822" s="28" t="str">
        <x:v>https://parsacoffeeroasters.com/en/kahve/103</x:v>
      </x:c>
      <x:c r="J822" s="28" t="str">
        <x:v>Ürün kimliği korundu; eksik alanlar erişilemedi olarak işaretlenecek.</x:v>
      </x:c>
    </x:row>
    <x:row r="823">
      <x:c r="A823" t="str">
        <x:v>Parsa Coffee Roasters</x:v>
      </x:c>
      <x:c r="B823" t="str">
        <x:v>Ürün kaydı</x:v>
      </x:c>
      <x:c r="C823" t="str">
        <x:v>Indonesia Solara</x:v>
      </x:c>
      <x:c r="D823" t="str">
        <x:v>Endonezya</x:v>
      </x:c>
      <x:c r="E823" s="1" t="str">
        <x:v>Erişilemedi</x:v>
      </x:c>
      <x:c r="F823" s="2" t="n">
        <x:v>1000</x:v>
      </x:c>
      <x:c r="G823" t="str">
        <x:v>Gramaj</x:v>
      </x:c>
      <x:c r="H823" t="str">
        <x:v>Site haritası ürün sayfası</x:v>
      </x:c>
      <x:c r="I823" s="28" t="str">
        <x:v>https://parsacoffeeroasters.com/en/kahve/116</x:v>
      </x:c>
      <x:c r="J823" s="28" t="str">
        <x:v>Ürün kimliği korundu; eksik alanlar erişilemedi olarak işaretlenecek.</x:v>
      </x:c>
    </x:row>
    <x:row r="824">
      <x:c r="A824" t="str">
        <x:v>Parsa Coffee Roasters</x:v>
      </x:c>
      <x:c r="B824" t="str">
        <x:v>Ürün kaydı</x:v>
      </x:c>
      <x:c r="C824" t="str">
        <x:v>İletişim</x:v>
      </x:c>
      <x:c r="D824" t="str">
        <x:v>Etiyopya | Kolombiya | Brezilya</x:v>
      </x:c>
      <x:c r="E824" s="1" t="str">
        <x:v>Erişilemedi</x:v>
      </x:c>
      <x:c r="F824" s="2" t="n">
        <x:v>1000</x:v>
      </x:c>
      <x:c r="G824" t="str">
        <x:v>Gramaj</x:v>
      </x:c>
      <x:c r="H824" t="str">
        <x:v>Site haritası ürün sayfası</x:v>
      </x:c>
      <x:c r="I824" s="28" t="str">
        <x:v>https://parsacoffeeroasters.com/tr/iletisim</x:v>
      </x:c>
      <x:c r="J824" s="28" t="str">
        <x:v>Ürün kimliği korundu; eksik alanlar erişilemedi olarak işaretlenecek.</x:v>
      </x:c>
    </x:row>
    <x:row r="825">
      <x:c r="A825" t="str">
        <x:v>Parsa Coffee Roasters</x:v>
      </x:c>
      <x:c r="B825" t="str">
        <x:v>Ürün kaydı</x:v>
      </x:c>
      <x:c r="C825" t="str">
        <x:v>My Wishlist</x:v>
      </x:c>
      <x:c r="D825" t="str">
        <x:v>Etiyopya | Kolombiya | Brezilya</x:v>
      </x:c>
      <x:c r="E825" s="1" t="str">
        <x:v>Erişilemedi</x:v>
      </x:c>
      <x:c r="F825" s="2" t="n">
        <x:v>1000</x:v>
      </x:c>
      <x:c r="G825" t="str">
        <x:v>Gramaj</x:v>
      </x:c>
      <x:c r="H825" t="str">
        <x:v>Site haritası ürün sayfası</x:v>
      </x:c>
      <x:c r="I825" s="28" t="str">
        <x:v>https://parsacoffeeroasters.com/en/favoriler</x:v>
      </x:c>
      <x:c r="J825" s="28" t="str">
        <x:v>Ürün kimliği korundu; eksik alanlar erişilemedi olarak işaretlenecek.</x:v>
      </x:c>
    </x:row>
    <x:row r="826">
      <x:c r="A826" t="str">
        <x:v>Parsa Coffee Roasters</x:v>
      </x:c>
      <x:c r="B826" t="str">
        <x:v>Ürün kaydı</x:v>
      </x:c>
      <x:c r="C826" t="str">
        <x:v>Nitekli Kahvenin Geleceği</x:v>
      </x:c>
      <x:c r="D826" t="str">
        <x:v>Menşe belirtilmemiş</x:v>
      </x:c>
      <x:c r="E826" s="1" t="str">
        <x:v>Erişilemedi</x:v>
      </x:c>
      <x:c r="F826" s="2" t="n">
        <x:v>1000</x:v>
      </x:c>
      <x:c r="G826" t="str">
        <x:v>Gramaj</x:v>
      </x:c>
      <x:c r="H826" t="str">
        <x:v>Site haritası ürün sayfası</x:v>
      </x:c>
      <x:c r="I826" s="28" t="str">
        <x:v>https://parsacoffeeroasters.com/tr/gunluk/N%C2%B002</x:v>
      </x:c>
      <x:c r="J826" s="28" t="str">
        <x:v>Ürün kimliği korundu; eksik alanlar erişilemedi olarak işaretlenecek.</x:v>
      </x:c>
    </x:row>
    <x:row r="827">
      <x:c r="A827" t="str">
        <x:v>Parsa Coffee Roasters</x:v>
      </x:c>
      <x:c r="B827" t="str">
        <x:v>Ürün kaydı</x:v>
      </x:c>
      <x:c r="C827" t="str">
        <x:v>Opal Geisha</x:v>
      </x:c>
      <x:c r="D827" t="str">
        <x:v>Menşe belirtilmemiş</x:v>
      </x:c>
      <x:c r="E827" s="1" t="str">
        <x:v>Erişilemedi</x:v>
      </x:c>
      <x:c r="F827" s="2" t="n">
        <x:v>1000</x:v>
      </x:c>
      <x:c r="G827" t="str">
        <x:v>Gramaj</x:v>
      </x:c>
      <x:c r="H827" t="str">
        <x:v>Site haritası ürün sayfası</x:v>
      </x:c>
      <x:c r="I827" s="28" t="str">
        <x:v>https://parsacoffeeroasters.com/en/kahve/122</x:v>
      </x:c>
      <x:c r="J827" s="28" t="str">
        <x:v>Ürün kimliği korundu; eksik alanlar erişilemedi olarak işaretlenecek.</x:v>
      </x:c>
    </x:row>
    <x:row r="828">
      <x:c r="A828" t="str">
        <x:v>Parsa Coffee Roasters</x:v>
      </x:c>
      <x:c r="B828" t="str">
        <x:v>Ürün kaydı</x:v>
      </x:c>
      <x:c r="C828" t="str">
        <x:v>Parsa Coffee Roasters · Specialty Coffee, İstanbul · Parsa Coffee Roasters</x:v>
      </x:c>
      <x:c r="D828" t="str">
        <x:v>Etiyopya | Kolombiya | Brezilya</x:v>
      </x:c>
      <x:c r="E828" s="1" t="str">
        <x:v>Erişilemedi</x:v>
      </x:c>
      <x:c r="F828" s="2" t="n">
        <x:v>1000</x:v>
      </x:c>
      <x:c r="G828" t="str">
        <x:v>Gramaj</x:v>
      </x:c>
      <x:c r="H828" t="str">
        <x:v>Site haritası ürün sayfası</x:v>
      </x:c>
      <x:c r="I828" s="28" t="str">
        <x:v>https://parsacoffeeroasters.com/en</x:v>
      </x:c>
      <x:c r="J828" s="28" t="str">
        <x:v>Ürün kimliği korundu; eksik alanlar erişilemedi olarak işaretlenecek.</x:v>
      </x:c>
    </x:row>
    <x:row r="829">
      <x:c r="A829" t="str">
        <x:v>Parsa Coffee Roasters</x:v>
      </x:c>
      <x:c r="B829" t="str">
        <x:v>Ürün kaydı</x:v>
      </x:c>
      <x:c r="C829" t="str">
        <x:v>Parsa Coffee Roasters · Taze Kavrum, İstanbul Beyoğlu · Parsa Coffee Roasters</x:v>
      </x:c>
      <x:c r="D829" t="str">
        <x:v>Etiyopya | Kolombiya | Brezilya</x:v>
      </x:c>
      <x:c r="E829" s="1" t="str">
        <x:v>Erişilemedi</x:v>
      </x:c>
      <x:c r="F829" s="2" t="n">
        <x:v>1000</x:v>
      </x:c>
      <x:c r="G829" t="str">
        <x:v>Gramaj</x:v>
      </x:c>
      <x:c r="H829" t="str">
        <x:v>Site haritası ürün sayfası</x:v>
      </x:c>
      <x:c r="I829" s="28" t="str">
        <x:v>https://parsacoffeeroasters.com/tr</x:v>
      </x:c>
      <x:c r="J829" s="28" t="str">
        <x:v>Ürün kimliği korundu; eksik alanlar erişilemedi olarak işaretlenecek.</x:v>
      </x:c>
    </x:row>
    <x:row r="830">
      <x:c r="A830" t="str">
        <x:v>Parsa Coffee Roasters</x:v>
      </x:c>
      <x:c r="B830" t="str">
        <x:v>Ürün kaydı</x:v>
      </x:c>
      <x:c r="C830" t="str">
        <x:v>Peru Pichanaki</x:v>
      </x:c>
      <x:c r="D830" t="str">
        <x:v>Peru</x:v>
      </x:c>
      <x:c r="E830" s="1" t="str">
        <x:v>Erişilemedi</x:v>
      </x:c>
      <x:c r="F830" s="2" t="n">
        <x:v>1000</x:v>
      </x:c>
      <x:c r="G830" t="str">
        <x:v>Gramaj</x:v>
      </x:c>
      <x:c r="H830" t="str">
        <x:v>Site haritası ürün sayfası</x:v>
      </x:c>
      <x:c r="I830" s="28" t="str">
        <x:v>https://parsacoffeeroasters.com/en/kahve/102</x:v>
      </x:c>
      <x:c r="J830" s="28" t="str">
        <x:v>Ürün kimliği korundu; eksik alanlar erişilemedi olarak işaretlenecek.</x:v>
      </x:c>
    </x:row>
    <x:row r="831">
      <x:c r="A831" t="str">
        <x:v>Parsa Coffee Roasters</x:v>
      </x:c>
      <x:c r="B831" t="str">
        <x:v>Ürün kaydı</x:v>
      </x:c>
      <x:c r="C831" t="str">
        <x:v>Rwanda Akagera</x:v>
      </x:c>
      <x:c r="D831" t="str">
        <x:v>Ruanda</x:v>
      </x:c>
      <x:c r="E831" s="1" t="str">
        <x:v>Erişilemedi</x:v>
      </x:c>
      <x:c r="F831" s="2" t="n">
        <x:v>1000</x:v>
      </x:c>
      <x:c r="G831" t="str">
        <x:v>Gramaj</x:v>
      </x:c>
      <x:c r="H831" t="str">
        <x:v>Site haritası ürün sayfası</x:v>
      </x:c>
      <x:c r="I831" s="28" t="str">
        <x:v>https://parsacoffeeroasters.com/en/kahve/117</x:v>
      </x:c>
      <x:c r="J831" s="28" t="str">
        <x:v>Ürün kimliği korundu; eksik alanlar erişilemedi olarak işaretlenecek.</x:v>
      </x:c>
    </x:row>
    <x:row r="832">
      <x:c r="A832" t="str">
        <x:v>Parsa Coffee Roasters</x:v>
      </x:c>
      <x:c r="B832" t="str">
        <x:v>Ürün kaydı</x:v>
      </x:c>
      <x:c r="C832" t="str">
        <x:v>Sohbet Paylaşım</x:v>
      </x:c>
      <x:c r="D832" t="str">
        <x:v>Etiyopya | Kolombiya | Brezilya</x:v>
      </x:c>
      <x:c r="E832" s="1" t="str">
        <x:v>Erişilemedi</x:v>
      </x:c>
      <x:c r="F832" s="2" t="n">
        <x:v>1000</x:v>
      </x:c>
      <x:c r="G832" t="str">
        <x:v>Gramaj</x:v>
      </x:c>
      <x:c r="H832" t="str">
        <x:v>Site haritası ürün sayfası</x:v>
      </x:c>
      <x:c r="I832" s="28" t="str">
        <x:v>https://parsacoffeeroasters.com/tr/connect</x:v>
      </x:c>
      <x:c r="J832" s="28" t="str">
        <x:v>Ürün kimliği korundu; eksik alanlar erişilemedi olarak işaretlenecek.</x:v>
      </x:c>
    </x:row>
    <x:row r="833">
      <x:c r="A833" t="str">
        <x:v>Parsa Coffee Roasters</x:v>
      </x:c>
      <x:c r="B833" t="str">
        <x:v>Ürün kaydı</x:v>
      </x:c>
      <x:c r="C833" t="str">
        <x:v>The Future of Specialty Coffee</x:v>
      </x:c>
      <x:c r="D833" t="str">
        <x:v>Menşe belirtilmemiş</x:v>
      </x:c>
      <x:c r="E833" s="1" t="str">
        <x:v>Erişilemedi</x:v>
      </x:c>
      <x:c r="F833" s="2" t="n">
        <x:v>1000</x:v>
      </x:c>
      <x:c r="G833" t="str">
        <x:v>Gramaj</x:v>
      </x:c>
      <x:c r="H833" t="str">
        <x:v>Site haritası ürün sayfası</x:v>
      </x:c>
      <x:c r="I833" s="28" t="str">
        <x:v>https://parsacoffeeroasters.com/en/gunluk/N%C2%B002</x:v>
      </x:c>
      <x:c r="J833" s="28" t="str">
        <x:v>Ürün kimliği korundu; eksik alanlar erişilemedi olarak işaretlenecek.</x:v>
      </x:c>
    </x:row>
    <x:row r="834">
      <x:c r="A834" t="str">
        <x:v>Parsa Coffee Roasters</x:v>
      </x:c>
      <x:c r="B834" t="str">
        <x:v>Ürün kaydı</x:v>
      </x:c>
      <x:c r="C834" t="str">
        <x:v>Through the years, with patience.</x:v>
      </x:c>
      <x:c r="D834" t="str">
        <x:v>Etiyopya | Kolombiya | Brezilya</x:v>
      </x:c>
      <x:c r="E834" s="1" t="str">
        <x:v>Erişilemedi</x:v>
      </x:c>
      <x:c r="F834" s="2" t="n">
        <x:v>1000</x:v>
      </x:c>
      <x:c r="G834" t="str">
        <x:v>Gramaj</x:v>
      </x:c>
      <x:c r="H834" t="str">
        <x:v>Site haritası ürün sayfası</x:v>
      </x:c>
      <x:c r="I834" s="28" t="str">
        <x:v>https://parsacoffeeroasters.com/en/basarilar</x:v>
      </x:c>
      <x:c r="J834" s="28" t="str">
        <x:v>Ürün kimliği korundu; eksik alanlar erişilemedi olarak işaretlenecek.</x:v>
      </x:c>
    </x:row>
    <x:row r="835">
      <x:c r="A835" t="str">
        <x:v>Parsa Coffee Roasters</x:v>
      </x:c>
      <x:c r="B835" t="str">
        <x:v>Ürün kaydı</x:v>
      </x:c>
      <x:c r="C835" t="str">
        <x:v>Toptan</x:v>
      </x:c>
      <x:c r="D835" t="str">
        <x:v>Etiyopya | Kolombiya | Brezilya</x:v>
      </x:c>
      <x:c r="E835" s="1" t="str">
        <x:v>Erişilemedi</x:v>
      </x:c>
      <x:c r="F835" s="2" t="n">
        <x:v>1000</x:v>
      </x:c>
      <x:c r="G835" t="str">
        <x:v>Gramaj</x:v>
      </x:c>
      <x:c r="H835" t="str">
        <x:v>Site haritası ürün sayfası</x:v>
      </x:c>
      <x:c r="I835" s="28" t="str">
        <x:v>https://parsacoffeeroasters.com/tr/toptan</x:v>
      </x:c>
      <x:c r="J835" s="28" t="str">
        <x:v>Ürün kimliği korundu; eksik alanlar erişilemedi olarak işaretlenecek.</x:v>
      </x:c>
    </x:row>
    <x:row r="836">
      <x:c r="A836" t="str">
        <x:v>Parsa Coffee Roasters</x:v>
      </x:c>
      <x:c r="B836" t="str">
        <x:v>Ürün kaydı</x:v>
      </x:c>
      <x:c r="C836" t="str">
        <x:v>Wholesale</x:v>
      </x:c>
      <x:c r="D836" t="str">
        <x:v>Etiyopya | Kolombiya | Brezilya</x:v>
      </x:c>
      <x:c r="E836" s="1" t="str">
        <x:v>Erişilemedi</x:v>
      </x:c>
      <x:c r="F836" s="2" t="n">
        <x:v>1000</x:v>
      </x:c>
      <x:c r="G836" t="str">
        <x:v>Gramaj</x:v>
      </x:c>
      <x:c r="H836" t="str">
        <x:v>Site haritası ürün sayfası</x:v>
      </x:c>
      <x:c r="I836" s="28" t="str">
        <x:v>https://parsacoffeeroasters.com/en/toptan</x:v>
      </x:c>
      <x:c r="J836" s="28" t="str">
        <x:v>Ürün kimliği korundu; eksik alanlar erişilemedi olarak işaretlenecek.</x:v>
      </x:c>
    </x:row>
    <x:row r="837">
      <x:c r="A837" t="str">
        <x:v>Parsa Coffee Roasters</x:v>
      </x:c>
      <x:c r="B837" t="str">
        <x:v>Ürün kaydı</x:v>
      </x:c>
      <x:c r="C837" t="str">
        <x:v>Yıllar boyunca, sabırla.</x:v>
      </x:c>
      <x:c r="D837" t="str">
        <x:v>Etiyopya | Kolombiya | Brezilya</x:v>
      </x:c>
      <x:c r="E837" s="1" t="str">
        <x:v>Erişilemedi</x:v>
      </x:c>
      <x:c r="F837" s="2" t="n">
        <x:v>1000</x:v>
      </x:c>
      <x:c r="G837" t="str">
        <x:v>Gramaj</x:v>
      </x:c>
      <x:c r="H837" t="str">
        <x:v>Site haritası ürün sayfası</x:v>
      </x:c>
      <x:c r="I837" s="28" t="str">
        <x:v>https://parsacoffeeroasters.com/tr/basarilar</x:v>
      </x:c>
      <x:c r="J837" s="28" t="str">
        <x:v>Ürün kimliği korundu; eksik alanlar erişilemedi olarak işaretlenecek.</x:v>
      </x:c>
    </x:row>
    <x:row r="838">
      <x:c r="A838" t="str">
        <x:v>Parsa Coffee Roasters</x:v>
      </x:c>
      <x:c r="B838" t="str">
        <x:v>Ürün kaydı</x:v>
      </x:c>
      <x:c r="C838" t="str">
        <x:v>Yirgacheffe — Çiftliğin Hikayesi</x:v>
      </x:c>
      <x:c r="D838" t="str">
        <x:v>Etiyopya</x:v>
      </x:c>
      <x:c r="E838" s="1" t="str">
        <x:v>Erişilemedi</x:v>
      </x:c>
      <x:c r="F838" s="2" t="n">
        <x:v>1000</x:v>
      </x:c>
      <x:c r="G838" t="str">
        <x:v>Gramaj</x:v>
      </x:c>
      <x:c r="H838" t="str">
        <x:v>Site haritası ürün sayfası</x:v>
      </x:c>
      <x:c r="I838" s="28" t="str">
        <x:v>https://parsacoffeeroasters.com/tr/gunluk/N%C2%B003</x:v>
      </x:c>
      <x:c r="J838" s="28" t="str">
        <x:v>Ürün kimliği korundu; eksik alanlar erişilemedi olarak işaretlenecek.</x:v>
      </x:c>
    </x:row>
    <x:row r="839">
      <x:c r="A839" t="str">
        <x:v>People of Coffee</x:v>
      </x:c>
      <x:c r="B839" t="str">
        <x:v>Katalog takip kaydı</x:v>
      </x:c>
      <x:c r="C839" t="str">
        <x:v>Ürün kataloğu — ayrıntılı ürün verisine erişilemedi</x:v>
      </x:c>
      <x:c r="D839" t="str">
        <x:v>Erişilemedi</x:v>
      </x:c>
      <x:c r="E839" s="1" t="str">
        <x:v>Erişilemedi</x:v>
      </x:c>
      <x:c r="F839" s="2" t="str">
        <x:v>Erişilemedi</x:v>
      </x:c>
      <x:c r="G839" t="str">
        <x:v>Gramaj + fiyat</x:v>
      </x:c>
      <x:c r="H839" t="str">
        <x:v>Mağaza/katalog bağlantısı</x:v>
      </x:c>
      <x:c r="I839" s="28" t="str">
        <x:v>https://www.peopleofcoffee.com.tr/</x:v>
      </x:c>
      <x:c r="J839" s="28" t="str">
        <x:v>Ürün adı, gramaj ve fiyat birlikte çıkarılamadı. Bağlantı manuel inceleme için korundu.</x:v>
      </x:c>
    </x:row>
    <x:row r="840">
      <x:c r="A840" t="str">
        <x:v>Perkup Coffee</x:v>
      </x:c>
      <x:c r="B840" t="str">
        <x:v>Ürün kaydı</x:v>
      </x:c>
      <x:c r="C840" t="str">
        <x:v>Don't Give Up The Fight Blend Çikolata - 100gr</x:v>
      </x:c>
      <x:c r="D840" t="str">
        <x:v>Harman – menşe belirtilmemiş</x:v>
      </x:c>
      <x:c r="E840" s="1" t="n">
        <x:v>100</x:v>
      </x:c>
      <x:c r="F840" s="2" t="str">
        <x:v>Erişilemedi</x:v>
      </x:c>
      <x:c r="G840" t="str">
        <x:v>Fiyat</x:v>
      </x:c>
      <x:c r="H840" t="str">
        <x:v>Shopify ürün akışı</x:v>
      </x:c>
      <x:c r="I840" s="28" t="str">
        <x:v>https://perkupcoffee.co/products/dont-give-up-the-fight-blend-cikolata-100gr</x:v>
      </x:c>
      <x:c r="J840" s="28" t="str">
        <x:v>Satış varyantı erişilemedi.</x:v>
      </x:c>
    </x:row>
    <x:row r="841">
      <x:c r="A841" t="str">
        <x:v>Perkup Coffee</x:v>
      </x:c>
      <x:c r="B841" t="str">
        <x:v>Ürün kaydı</x:v>
      </x:c>
      <x:c r="C841" t="str">
        <x:v>Endonezya Sumatra Blue Mandheling (Orang Utan) - 250gr</x:v>
      </x:c>
      <x:c r="D841" t="str">
        <x:v>Endonezya</x:v>
      </x:c>
      <x:c r="E841" s="1" t="n">
        <x:v>250</x:v>
      </x:c>
      <x:c r="F841" s="2" t="str">
        <x:v>Erişilemedi</x:v>
      </x:c>
      <x:c r="G841" t="str">
        <x:v>Fiyat</x:v>
      </x:c>
      <x:c r="H841" t="str">
        <x:v>Shopify ürün akışı</x:v>
      </x:c>
      <x:c r="I841" s="28" t="str">
        <x:v>https://perkupcoffee.co/products/endonezya-sumatra-blue-mandheling-orang-utan-250gr</x:v>
      </x:c>
      <x:c r="J841" s="28" t="str">
        <x:v>Satış varyantı erişilemedi.</x:v>
      </x:c>
    </x:row>
    <x:row r="842">
      <x:c r="A842" t="str">
        <x:v>Perkup Coffee</x:v>
      </x:c>
      <x:c r="B842" t="str">
        <x:v>Ürün kaydı</x:v>
      </x:c>
      <x:c r="C842" t="str">
        <x:v>Etiyopya Guji Hambela Bontiana</x:v>
      </x:c>
      <x:c r="D842" t="str">
        <x:v>Etiyopya</x:v>
      </x:c>
      <x:c r="E842" s="1" t="str">
        <x:v>Erişilemedi</x:v>
      </x:c>
      <x:c r="F842" s="2" t="str">
        <x:v>Erişilemedi</x:v>
      </x:c>
      <x:c r="G842" t="str">
        <x:v>Gramaj + fiyat</x:v>
      </x:c>
      <x:c r="H842" t="str">
        <x:v>Shopify ürün akışı</x:v>
      </x:c>
      <x:c r="I842" s="28" t="str">
        <x:v>https://perkupcoffee.co/products/etiyopya-guji-hambela-bontiana</x:v>
      </x:c>
      <x:c r="J842" s="28" t="str">
        <x:v>Satış varyantı erişilemedi.</x:v>
      </x:c>
    </x:row>
    <x:row r="843">
      <x:c r="A843" t="str">
        <x:v>Perkup Coffee</x:v>
      </x:c>
      <x:c r="B843" t="str">
        <x:v>Ürün kaydı</x:v>
      </x:c>
      <x:c r="C843" t="str">
        <x:v>Etiyopya Kochere Burtukaana – 100gr</x:v>
      </x:c>
      <x:c r="D843" t="str">
        <x:v>Etiyopya</x:v>
      </x:c>
      <x:c r="E843" s="1" t="n">
        <x:v>100</x:v>
      </x:c>
      <x:c r="F843" s="2" t="str">
        <x:v>Erişilemedi</x:v>
      </x:c>
      <x:c r="G843" t="str">
        <x:v>Fiyat</x:v>
      </x:c>
      <x:c r="H843" t="str">
        <x:v>Shopify ürün akışı</x:v>
      </x:c>
      <x:c r="I843" s="28" t="str">
        <x:v>https://perkupcoffee.co/products/etiyopya-kochere-burtukaana-100gr-kahve</x:v>
      </x:c>
      <x:c r="J843" s="28" t="str">
        <x:v>Satış varyantı erişilemedi.</x:v>
      </x:c>
    </x:row>
    <x:row r="844">
      <x:c r="A844" t="str">
        <x:v>Perkup Coffee</x:v>
      </x:c>
      <x:c r="B844" t="str">
        <x:v>Ürün kaydı</x:v>
      </x:c>
      <x:c r="C844" t="str">
        <x:v>Kolombiya Huila Çikolata- 100gr</x:v>
      </x:c>
      <x:c r="D844" t="str">
        <x:v>Kolombiya</x:v>
      </x:c>
      <x:c r="E844" s="1" t="n">
        <x:v>100</x:v>
      </x:c>
      <x:c r="F844" s="2" t="str">
        <x:v>Erişilemedi</x:v>
      </x:c>
      <x:c r="G844" t="str">
        <x:v>Fiyat</x:v>
      </x:c>
      <x:c r="H844" t="str">
        <x:v>Shopify ürün akışı</x:v>
      </x:c>
      <x:c r="I844" s="28" t="str">
        <x:v>https://perkupcoffee.co/products/kolombiya-huila-cikolata-100gr</x:v>
      </x:c>
      <x:c r="J844" s="28" t="str">
        <x:v>Satış varyantı erişilemedi.</x:v>
      </x:c>
    </x:row>
    <x:row r="845">
      <x:c r="A845" t="str">
        <x:v>Perkup Coffee</x:v>
      </x:c>
      <x:c r="B845" t="str">
        <x:v>Ürün kaydı</x:v>
      </x:c>
      <x:c r="C845" t="str">
        <x:v>Kolombiya Huila Finca El Puente</x:v>
      </x:c>
      <x:c r="D845" t="str">
        <x:v>Kolombiya</x:v>
      </x:c>
      <x:c r="E845" s="1" t="str">
        <x:v>Erişilemedi</x:v>
      </x:c>
      <x:c r="F845" s="2" t="str">
        <x:v>Erişilemedi</x:v>
      </x:c>
      <x:c r="G845" t="str">
        <x:v>Gramaj + fiyat</x:v>
      </x:c>
      <x:c r="H845" t="str">
        <x:v>Shopify ürün akışı</x:v>
      </x:c>
      <x:c r="I845" s="28" t="str">
        <x:v>https://perkupcoffee.co/products/kolombiya-huila-finca-el-puente</x:v>
      </x:c>
      <x:c r="J845" s="28" t="str">
        <x:v>Satış varyantı erişilemedi.</x:v>
      </x:c>
    </x:row>
    <x:row r="846">
      <x:c r="A846" t="str">
        <x:v>Perkup Coffee</x:v>
      </x:c>
      <x:c r="B846" t="str">
        <x:v>Ürün kaydı</x:v>
      </x:c>
      <x:c r="C846" t="str">
        <x:v>Madagaskar Sambirano No.1 Çikolata - 100gr</x:v>
      </x:c>
      <x:c r="D846" t="str">
        <x:v>Menşe belirtilmemiş</x:v>
      </x:c>
      <x:c r="E846" s="1" t="n">
        <x:v>100</x:v>
      </x:c>
      <x:c r="F846" s="2" t="str">
        <x:v>Erişilemedi</x:v>
      </x:c>
      <x:c r="G846" t="str">
        <x:v>Fiyat</x:v>
      </x:c>
      <x:c r="H846" t="str">
        <x:v>Shopify ürün akışı</x:v>
      </x:c>
      <x:c r="I846" s="28" t="str">
        <x:v>https://perkupcoffee.co/products/madagaskar-sambirano-no-1-cikolata-100gr</x:v>
      </x:c>
      <x:c r="J846" s="28" t="str">
        <x:v>Satış varyantı erişilemedi.</x:v>
      </x:c>
    </x:row>
    <x:row r="847">
      <x:c r="A847" t="str">
        <x:v>Perkup Coffee</x:v>
      </x:c>
      <x:c r="B847" t="str">
        <x:v>Ürün kaydı</x:v>
      </x:c>
      <x:c r="C847" t="str">
        <x:v>Papua Yeni Gine Markham Çikolata - 100gr</x:v>
      </x:c>
      <x:c r="D847" t="str">
        <x:v>Menşe belirtilmemiş</x:v>
      </x:c>
      <x:c r="E847" s="1" t="n">
        <x:v>100</x:v>
      </x:c>
      <x:c r="F847" s="2" t="str">
        <x:v>Erişilemedi</x:v>
      </x:c>
      <x:c r="G847" t="str">
        <x:v>Fiyat</x:v>
      </x:c>
      <x:c r="H847" t="str">
        <x:v>Shopify ürün akışı</x:v>
      </x:c>
      <x:c r="I847" s="28" t="str">
        <x:v>https://perkupcoffee.co/products/papua-yeni-gine-markham-cikolata-100gr</x:v>
      </x:c>
      <x:c r="J847" s="28" t="str">
        <x:v>Satış varyantı erişilemedi.</x:v>
      </x:c>
    </x:row>
    <x:row r="848">
      <x:c r="A848" t="str">
        <x:v>Perkup Coffee</x:v>
      </x:c>
      <x:c r="B848" t="str">
        <x:v>Ürün kaydı</x:v>
      </x:c>
      <x:c r="C848" t="str">
        <x:v>Peru San Martin Çikolata - 100gr</x:v>
      </x:c>
      <x:c r="D848" t="str">
        <x:v>Peru</x:v>
      </x:c>
      <x:c r="E848" s="1" t="n">
        <x:v>100</x:v>
      </x:c>
      <x:c r="F848" s="2" t="str">
        <x:v>Erişilemedi</x:v>
      </x:c>
      <x:c r="G848" t="str">
        <x:v>Fiyat</x:v>
      </x:c>
      <x:c r="H848" t="str">
        <x:v>Shopify ürün akışı</x:v>
      </x:c>
      <x:c r="I848" s="28" t="str">
        <x:v>https://perkupcoffee.co/products/peru-san-martin-cikolata-100gr</x:v>
      </x:c>
      <x:c r="J848" s="28" t="str">
        <x:v>Satış varyantı erişilemedi.</x:v>
      </x:c>
    </x:row>
    <x:row r="849">
      <x:c r="A849" t="str">
        <x:v>Petra Coffee</x:v>
      </x:c>
      <x:c r="B849" t="str">
        <x:v>Ürün kaydı</x:v>
      </x:c>
      <x:c r="C849" t="str">
        <x:v>3'lü Etiyopya Tadım Paketi</x:v>
      </x:c>
      <x:c r="D849" t="str">
        <x:v>Etiyopya</x:v>
      </x:c>
      <x:c r="E849" s="1" t="str">
        <x:v>Erişilemedi</x:v>
      </x:c>
      <x:c r="F849" s="2" t="n">
        <x:v>780</x:v>
      </x:c>
      <x:c r="G849" t="str">
        <x:v>Gramaj</x:v>
      </x:c>
      <x:c r="H849" t="str">
        <x:v>Shopify ürün akışı</x:v>
      </x:c>
      <x:c r="I849" s="28" t="str">
        <x:v>https://www.petracoffee.com/products/3lu-etiyopya-tadim-paketi</x:v>
      </x:c>
      <x:c r="J849" s="28" t="str">
        <x:v>Öğütüm seçenekleri tekilleştirildi.</x:v>
      </x:c>
    </x:row>
    <x:row r="850">
      <x:c r="A850" t="str">
        <x:v>Petra Coffee</x:v>
      </x:c>
      <x:c r="B850" t="str">
        <x:v>Ürün kaydı</x:v>
      </x:c>
      <x:c r="C850" t="str">
        <x:v>ACME Kapsül</x:v>
      </x:c>
      <x:c r="D850" t="str">
        <x:v>Harman – menşe belirtilmemiş</x:v>
      </x:c>
      <x:c r="E850" s="1" t="str">
        <x:v>Erişilemedi</x:v>
      </x:c>
      <x:c r="F850" s="2" t="n">
        <x:v>339</x:v>
      </x:c>
      <x:c r="G850" t="str">
        <x:v>Gramaj</x:v>
      </x:c>
      <x:c r="H850" t="str">
        <x:v>Shopify ürün akışı</x:v>
      </x:c>
      <x:c r="I850" s="28" t="str">
        <x:v>https://www.petracoffee.com/products/acme-kapsul-10lu</x:v>
      </x:c>
      <x:c r="J850" s="28" t="str">
        <x:v>Öğütüm seçenekleri tekilleştirildi.</x:v>
      </x:c>
    </x:row>
    <x:row r="851">
      <x:c r="A851" t="str">
        <x:v>Petra Coffee</x:v>
      </x:c>
      <x:c r="B851" t="str">
        <x:v>Ürün kaydı</x:v>
      </x:c>
      <x:c r="C851" t="str">
        <x:v>ACME Kapsül</x:v>
      </x:c>
      <x:c r="D851" t="str">
        <x:v>Harman – menşe belirtilmemiş</x:v>
      </x:c>
      <x:c r="E851" s="1" t="str">
        <x:v>Erişilemedi</x:v>
      </x:c>
      <x:c r="F851" s="2" t="n">
        <x:v>915</x:v>
      </x:c>
      <x:c r="G851" t="str">
        <x:v>Gramaj</x:v>
      </x:c>
      <x:c r="H851" t="str">
        <x:v>Shopify ürün akışı</x:v>
      </x:c>
      <x:c r="I851" s="28" t="str">
        <x:v>https://www.petracoffee.com/products/acme-kapsul-10lu</x:v>
      </x:c>
      <x:c r="J851" s="28" t="str">
        <x:v>Öğütüm seçenekleri tekilleştirildi.</x:v>
      </x:c>
    </x:row>
    <x:row r="852">
      <x:c r="A852" t="str">
        <x:v>Petra Coffee</x:v>
      </x:c>
      <x:c r="B852" t="str">
        <x:v>Ürün kaydı</x:v>
      </x:c>
      <x:c r="C852" t="str">
        <x:v>Aşırı Kolay Cold Brew</x:v>
      </x:c>
      <x:c r="D852" t="str">
        <x:v>Menşe belirtilmemiş</x:v>
      </x:c>
      <x:c r="E852" s="1" t="str">
        <x:v>Erişilemedi</x:v>
      </x:c>
      <x:c r="F852" s="2" t="n">
        <x:v>150</x:v>
      </x:c>
      <x:c r="G852" t="str">
        <x:v>Gramaj</x:v>
      </x:c>
      <x:c r="H852" t="str">
        <x:v>Shopify ürün akışı</x:v>
      </x:c>
      <x:c r="I852" s="28" t="str">
        <x:v>https://www.petracoffee.com/products/ready-to-brew-cold-brew-coffee</x:v>
      </x:c>
      <x:c r="J852" s="28" t="str">
        <x:v>Öğütüm seçenekleri tekilleştirildi.</x:v>
      </x:c>
    </x:row>
    <x:row r="853">
      <x:c r="A853" t="str">
        <x:v>Petra Coffee</x:v>
      </x:c>
      <x:c r="B853" t="str">
        <x:v>Ürün kaydı</x:v>
      </x:c>
      <x:c r="C853" t="str">
        <x:v>Cam Şişede 4’lü Cold Brew</x:v>
      </x:c>
      <x:c r="D853" t="str">
        <x:v>Menşe belirtilmemiş</x:v>
      </x:c>
      <x:c r="E853" s="1" t="str">
        <x:v>Erişilemedi</x:v>
      </x:c>
      <x:c r="F853" s="2" t="n">
        <x:v>1500</x:v>
      </x:c>
      <x:c r="G853" t="str">
        <x:v>Gramaj</x:v>
      </x:c>
      <x:c r="H853" t="str">
        <x:v>Shopify ürün akışı</x:v>
      </x:c>
      <x:c r="I853" s="28" t="str">
        <x:v>https://www.petracoffee.com/products/cam-sisede-cold-brew</x:v>
      </x:c>
      <x:c r="J853" s="28" t="str">
        <x:v>Öğütüm seçenekleri tekilleştirildi.</x:v>
      </x:c>
    </x:row>
    <x:row r="854">
      <x:c r="A854" t="str">
        <x:v>Petra Coffee</x:v>
      </x:c>
      <x:c r="B854" t="str">
        <x:v>Ürün kaydı</x:v>
      </x:c>
      <x:c r="C854" t="str">
        <x:v>Hediye Çeki</x:v>
      </x:c>
      <x:c r="D854" t="str">
        <x:v>Menşe belirtilmemiş</x:v>
      </x:c>
      <x:c r="E854" s="1" t="str">
        <x:v>Erişilemedi</x:v>
      </x:c>
      <x:c r="F854" s="2" t="n">
        <x:v>495</x:v>
      </x:c>
      <x:c r="G854" t="str">
        <x:v>Gramaj</x:v>
      </x:c>
      <x:c r="H854" t="str">
        <x:v>Shopify ürün akışı</x:v>
      </x:c>
      <x:c r="I854" s="28" t="str">
        <x:v>https://www.petracoffee.com/products/petra-apocalyptic-gift-card</x:v>
      </x:c>
      <x:c r="J854" s="28" t="str">
        <x:v>Öğütüm seçenekleri tekilleştirildi.</x:v>
      </x:c>
    </x:row>
    <x:row r="855">
      <x:c r="A855" t="str">
        <x:v>Petra Coffee</x:v>
      </x:c>
      <x:c r="B855" t="str">
        <x:v>Ürün kaydı</x:v>
      </x:c>
      <x:c r="C855" t="str">
        <x:v>Hediye Çeki</x:v>
      </x:c>
      <x:c r="D855" t="str">
        <x:v>Menşe belirtilmemiş</x:v>
      </x:c>
      <x:c r="E855" s="1" t="str">
        <x:v>Erişilemedi</x:v>
      </x:c>
      <x:c r="F855" s="2" t="n">
        <x:v>715</x:v>
      </x:c>
      <x:c r="G855" t="str">
        <x:v>Gramaj</x:v>
      </x:c>
      <x:c r="H855" t="str">
        <x:v>Shopify ürün akışı</x:v>
      </x:c>
      <x:c r="I855" s="28" t="str">
        <x:v>https://www.petracoffee.com/products/petra-apocalyptic-gift-card</x:v>
      </x:c>
      <x:c r="J855" s="28" t="str">
        <x:v>Öğütüm seçenekleri tekilleştirildi.</x:v>
      </x:c>
    </x:row>
    <x:row r="856">
      <x:c r="A856" t="str">
        <x:v>Petra Coffee</x:v>
      </x:c>
      <x:c r="B856" t="str">
        <x:v>Ürün kaydı</x:v>
      </x:c>
      <x:c r="C856" t="str">
        <x:v>Hediye Çeki</x:v>
      </x:c>
      <x:c r="D856" t="str">
        <x:v>Menşe belirtilmemiş</x:v>
      </x:c>
      <x:c r="E856" s="1" t="str">
        <x:v>Erişilemedi</x:v>
      </x:c>
      <x:c r="F856" s="2" t="n">
        <x:v>1220</x:v>
      </x:c>
      <x:c r="G856" t="str">
        <x:v>Gramaj</x:v>
      </x:c>
      <x:c r="H856" t="str">
        <x:v>Shopify ürün akışı</x:v>
      </x:c>
      <x:c r="I856" s="28" t="str">
        <x:v>https://www.petracoffee.com/products/petra-apocalyptic-gift-card</x:v>
      </x:c>
      <x:c r="J856" s="28" t="str">
        <x:v>Öğütüm seçenekleri tekilleştirildi.</x:v>
      </x:c>
    </x:row>
    <x:row r="857">
      <x:c r="A857" t="str">
        <x:v>Petra Coffee</x:v>
      </x:c>
      <x:c r="B857" t="str">
        <x:v>Ürün kaydı</x:v>
      </x:c>
      <x:c r="C857" t="str">
        <x:v>Hediye Çeki</x:v>
      </x:c>
      <x:c r="D857" t="str">
        <x:v>Menşe belirtilmemiş</x:v>
      </x:c>
      <x:c r="E857" s="1" t="str">
        <x:v>Erişilemedi</x:v>
      </x:c>
      <x:c r="F857" s="2" t="n">
        <x:v>2285</x:v>
      </x:c>
      <x:c r="G857" t="str">
        <x:v>Gramaj</x:v>
      </x:c>
      <x:c r="H857" t="str">
        <x:v>Shopify ürün akışı</x:v>
      </x:c>
      <x:c r="I857" s="28" t="str">
        <x:v>https://www.petracoffee.com/products/petra-apocalyptic-gift-card</x:v>
      </x:c>
      <x:c r="J857" s="28" t="str">
        <x:v>Öğütüm seçenekleri tekilleştirildi.</x:v>
      </x:c>
    </x:row>
    <x:row r="858">
      <x:c r="A858" t="str">
        <x:v>Petra Coffee</x:v>
      </x:c>
      <x:c r="B858" t="str">
        <x:v>Ürün kaydı</x:v>
      </x:c>
      <x:c r="C858" t="str">
        <x:v>Hediye Çeki</x:v>
      </x:c>
      <x:c r="D858" t="str">
        <x:v>Menşe belirtilmemiş</x:v>
      </x:c>
      <x:c r="E858" s="1" t="str">
        <x:v>Erişilemedi</x:v>
      </x:c>
      <x:c r="F858" s="2" t="n">
        <x:v>2860</x:v>
      </x:c>
      <x:c r="G858" t="str">
        <x:v>Gramaj</x:v>
      </x:c>
      <x:c r="H858" t="str">
        <x:v>Shopify ürün akışı</x:v>
      </x:c>
      <x:c r="I858" s="28" t="str">
        <x:v>https://www.petracoffee.com/products/petra-apocalyptic-gift-card</x:v>
      </x:c>
      <x:c r="J858" s="28" t="str">
        <x:v>Öğütüm seçenekleri tekilleştirildi.</x:v>
      </x:c>
    </x:row>
    <x:row r="859">
      <x:c r="A859" t="str">
        <x:v>Petra Coffee</x:v>
      </x:c>
      <x:c r="B859" t="str">
        <x:v>Ürün kaydı</x:v>
      </x:c>
      <x:c r="C859" t="str">
        <x:v>Long Shot Kapsül</x:v>
      </x:c>
      <x:c r="D859" t="str">
        <x:v>Menşe belirtilmemiş</x:v>
      </x:c>
      <x:c r="E859" s="1" t="str">
        <x:v>Erişilemedi</x:v>
      </x:c>
      <x:c r="F859" s="2" t="n">
        <x:v>339</x:v>
      </x:c>
      <x:c r="G859" t="str">
        <x:v>Gramaj</x:v>
      </x:c>
      <x:c r="H859" t="str">
        <x:v>Shopify ürün akışı</x:v>
      </x:c>
      <x:c r="I859" s="28" t="str">
        <x:v>https://www.petracoffee.com/products/long-shot-kapsul-10lu</x:v>
      </x:c>
      <x:c r="J859" s="28" t="str">
        <x:v>Öğütüm seçenekleri tekilleştirildi.</x:v>
      </x:c>
    </x:row>
    <x:row r="860">
      <x:c r="A860" t="str">
        <x:v>Petra Coffee</x:v>
      </x:c>
      <x:c r="B860" t="str">
        <x:v>Ürün kaydı</x:v>
      </x:c>
      <x:c r="C860" t="str">
        <x:v>Long Shot Kapsül</x:v>
      </x:c>
      <x:c r="D860" t="str">
        <x:v>Menşe belirtilmemiş</x:v>
      </x:c>
      <x:c r="E860" s="1" t="str">
        <x:v>Erişilemedi</x:v>
      </x:c>
      <x:c r="F860" s="2" t="n">
        <x:v>915</x:v>
      </x:c>
      <x:c r="G860" t="str">
        <x:v>Gramaj</x:v>
      </x:c>
      <x:c r="H860" t="str">
        <x:v>Shopify ürün akışı</x:v>
      </x:c>
      <x:c r="I860" s="28" t="str">
        <x:v>https://www.petracoffee.com/products/long-shot-kapsul-10lu</x:v>
      </x:c>
      <x:c r="J860" s="28" t="str">
        <x:v>Öğütüm seçenekleri tekilleştirildi.</x:v>
      </x:c>
    </x:row>
    <x:row r="861">
      <x:c r="A861" t="str">
        <x:v>Petra Coffee</x:v>
      </x:c>
      <x:c r="B861" t="str">
        <x:v>Ürün kaydı</x:v>
      </x:c>
      <x:c r="C861" t="str">
        <x:v>Petra Breakfast Tea</x:v>
      </x:c>
      <x:c r="D861" t="str">
        <x:v>Menşe belirtilmemiş</x:v>
      </x:c>
      <x:c r="E861" s="1" t="str">
        <x:v>Erişilemedi</x:v>
      </x:c>
      <x:c r="F861" s="2" t="n">
        <x:v>380</x:v>
      </x:c>
      <x:c r="G861" t="str">
        <x:v>Gramaj</x:v>
      </x:c>
      <x:c r="H861" t="str">
        <x:v>Shopify ürün akışı</x:v>
      </x:c>
      <x:c r="I861" s="28" t="str">
        <x:v>https://www.petracoffee.com/products/petra-breakfast-tea</x:v>
      </x:c>
      <x:c r="J861" s="28" t="str">
        <x:v>Öğütüm seçenekleri tekilleştirildi.</x:v>
      </x:c>
    </x:row>
    <x:row r="862">
      <x:c r="A862" t="str">
        <x:v>Petra Coffee</x:v>
      </x:c>
      <x:c r="B862" t="str">
        <x:v>Ürün kaydı</x:v>
      </x:c>
      <x:c r="C862" t="str">
        <x:v>Petra Kapsül Tanışma Paketi (3'lü)</x:v>
      </x:c>
      <x:c r="D862" t="str">
        <x:v>Harman – menşe belirtilmemiş</x:v>
      </x:c>
      <x:c r="E862" s="1" t="str">
        <x:v>Erişilemedi</x:v>
      </x:c>
      <x:c r="F862" s="2" t="n">
        <x:v>1057</x:v>
      </x:c>
      <x:c r="G862" t="str">
        <x:v>Gramaj</x:v>
      </x:c>
      <x:c r="H862" t="str">
        <x:v>Shopify ürün akışı</x:v>
      </x:c>
      <x:c r="I862" s="28" t="str">
        <x:v>https://www.petracoffee.com/products/petra-nitelikli-kapsuller-3lu-paket</x:v>
      </x:c>
      <x:c r="J862" s="28" t="str">
        <x:v>Öğütüm seçenekleri tekilleştirildi.</x:v>
      </x:c>
    </x:row>
    <x:row r="863">
      <x:c r="A863" t="str">
        <x:v>Petra Coffee</x:v>
      </x:c>
      <x:c r="B863" t="str">
        <x:v>Ürün kaydı</x:v>
      </x:c>
      <x:c r="C863" t="str">
        <x:v>Sweet Blend Kapsül</x:v>
      </x:c>
      <x:c r="D863" t="str">
        <x:v>Harman – menşe belirtilmemiş</x:v>
      </x:c>
      <x:c r="E863" s="1" t="str">
        <x:v>Erişilemedi</x:v>
      </x:c>
      <x:c r="F863" s="2" t="n">
        <x:v>379</x:v>
      </x:c>
      <x:c r="G863" t="str">
        <x:v>Gramaj</x:v>
      </x:c>
      <x:c r="H863" t="str">
        <x:v>Shopify ürün akışı</x:v>
      </x:c>
      <x:c r="I863" s="28" t="str">
        <x:v>https://www.petracoffee.com/products/sweet-blend-kapsul-10lu</x:v>
      </x:c>
      <x:c r="J863" s="28" t="str">
        <x:v>Öğütüm seçenekleri tekilleştirildi.</x:v>
      </x:c>
    </x:row>
    <x:row r="864">
      <x:c r="A864" t="str">
        <x:v>Petra Coffee</x:v>
      </x:c>
      <x:c r="B864" t="str">
        <x:v>Ürün kaydı</x:v>
      </x:c>
      <x:c r="C864" t="str">
        <x:v>Sweet Blend Kapsül</x:v>
      </x:c>
      <x:c r="D864" t="str">
        <x:v>Harman – menşe belirtilmemiş</x:v>
      </x:c>
      <x:c r="E864" s="1" t="str">
        <x:v>Erişilemedi</x:v>
      </x:c>
      <x:c r="F864" s="2" t="n">
        <x:v>1024</x:v>
      </x:c>
      <x:c r="G864" t="str">
        <x:v>Gramaj</x:v>
      </x:c>
      <x:c r="H864" t="str">
        <x:v>Shopify ürün akışı</x:v>
      </x:c>
      <x:c r="I864" s="28" t="str">
        <x:v>https://www.petracoffee.com/products/sweet-blend-kapsul-10lu</x:v>
      </x:c>
      <x:c r="J864" s="28" t="str">
        <x:v>Öğütüm seçenekleri tekilleştirildi.</x:v>
      </x:c>
    </x:row>
    <x:row r="865">
      <x:c r="A865" t="str">
        <x:v>Petrikor Coffee</x:v>
      </x:c>
      <x:c r="B865" t="str">
        <x:v>Katalog takip kaydı</x:v>
      </x:c>
      <x:c r="C865" t="str">
        <x:v>Ürün kataloğu — ayrıntılı ürün verisine erişilemedi</x:v>
      </x:c>
      <x:c r="D865" t="str">
        <x:v>Erişilemedi</x:v>
      </x:c>
      <x:c r="E865" s="1" t="str">
        <x:v>Erişilemedi</x:v>
      </x:c>
      <x:c r="F865" s="2" t="str">
        <x:v>Erişilemedi</x:v>
      </x:c>
      <x:c r="G865" t="str">
        <x:v>Gramaj + fiyat</x:v>
      </x:c>
      <x:c r="H865" t="str">
        <x:v>Instagram veya mevcut kaynak</x:v>
      </x:c>
      <x:c r="I865" s="28" t="str">
        <x:v>Erişilemedi</x:v>
      </x:c>
      <x:c r="J865" s="28" t="str">
        <x:v>Ürün adı, gramaj ve fiyat birlikte çıkarılamadı. Bağlantı manuel inceleme için korundu.</x:v>
      </x:c>
    </x:row>
    <x:row r="866">
      <x:c r="A866" t="str">
        <x:v>Poka Coffee Roasters</x:v>
      </x:c>
      <x:c r="B866" t="str">
        <x:v>Ürün kaydı</x:v>
      </x:c>
      <x:c r="C866" t="str">
        <x:v>BREZILYA CERRADO JAGUAR</x:v>
      </x:c>
      <x:c r="D866" t="str">
        <x:v>Brezilya</x:v>
      </x:c>
      <x:c r="E866" s="1" t="str">
        <x:v>Erişilemedi</x:v>
      </x:c>
      <x:c r="F866" s="2" t="n">
        <x:v>480</x:v>
      </x:c>
      <x:c r="G866" t="str">
        <x:v>Gramaj</x:v>
      </x:c>
      <x:c r="H866" t="str">
        <x:v>WooCommerce Store API</x:v>
      </x:c>
      <x:c r="I866" s="28" t="str">
        <x:v>https://poka.coffee/urun/yeni-brezilya-cerrado-jaguar/</x:v>
      </x:c>
      <x:c r="J866" s="28" t="str">
        <x:v>Fiyat veya gramaj eksik olsa da ürün korundu.</x:v>
      </x:c>
    </x:row>
    <x:row r="867">
      <x:c r="A867" t="str">
        <x:v>Poka Coffee Roasters</x:v>
      </x:c>
      <x:c r="B867" t="str">
        <x:v>Ürün kaydı</x:v>
      </x:c>
      <x:c r="C867" t="str">
        <x:v>COLOMBIA SUPREMO MEDELLIN</x:v>
      </x:c>
      <x:c r="D867" t="str">
        <x:v>Kolombiya</x:v>
      </x:c>
      <x:c r="E867" s="1" t="str">
        <x:v>Erişilemedi</x:v>
      </x:c>
      <x:c r="F867" s="2" t="n">
        <x:v>480</x:v>
      </x:c>
      <x:c r="G867" t="str">
        <x:v>Gramaj</x:v>
      </x:c>
      <x:c r="H867" t="str">
        <x:v>WooCommerce Store API</x:v>
      </x:c>
      <x:c r="I867" s="28" t="str">
        <x:v>https://poka.coffee/urun/colombia-supremo-medellin/</x:v>
      </x:c>
      <x:c r="J867" s="28" t="str">
        <x:v>Fiyat veya gramaj eksik olsa da ürün korundu.</x:v>
      </x:c>
    </x:row>
    <x:row r="868">
      <x:c r="A868" t="str">
        <x:v>Poka Coffee Roasters</x:v>
      </x:c>
      <x:c r="B868" t="str">
        <x:v>Ürün kaydı</x:v>
      </x:c>
      <x:c r="C868" t="str">
        <x:v>DECAF (KAFEİNSİZ) MEKSİKA</x:v>
      </x:c>
      <x:c r="D868" t="str">
        <x:v>Menşe belirtilmemiş</x:v>
      </x:c>
      <x:c r="E868" s="1" t="str">
        <x:v>Erişilemedi</x:v>
      </x:c>
      <x:c r="F868" s="2" t="n">
        <x:v>520</x:v>
      </x:c>
      <x:c r="G868" t="str">
        <x:v>Gramaj</x:v>
      </x:c>
      <x:c r="H868" t="str">
        <x:v>WooCommerce Store API</x:v>
      </x:c>
      <x:c r="I868" s="28" t="str">
        <x:v>https://poka.coffee/urun/decaf-kafeinsiz-meksika/</x:v>
      </x:c>
      <x:c r="J868" s="28" t="str">
        <x:v>Fiyat veya gramaj eksik olsa da ürün korundu.</x:v>
      </x:c>
    </x:row>
    <x:row r="869">
      <x:c r="A869" t="str">
        <x:v>Poka Coffee Roasters</x:v>
      </x:c>
      <x:c r="B869" t="str">
        <x:v>Ürün kaydı</x:v>
      </x:c>
      <x:c r="C869" t="str">
        <x:v>ETHIOPIA NENSEBO REFISA</x:v>
      </x:c>
      <x:c r="D869" t="str">
        <x:v>Etiyopya</x:v>
      </x:c>
      <x:c r="E869" s="1" t="str">
        <x:v>Erişilemedi</x:v>
      </x:c>
      <x:c r="F869" s="2" t="n">
        <x:v>650</x:v>
      </x:c>
      <x:c r="G869" t="str">
        <x:v>Gramaj</x:v>
      </x:c>
      <x:c r="H869" t="str">
        <x:v>WooCommerce Store API</x:v>
      </x:c>
      <x:c r="I869" s="28" t="str">
        <x:v>https://poka.coffee/urun/yeni-ethiopia-nensebo-refisa/</x:v>
      </x:c>
      <x:c r="J869" s="28" t="str">
        <x:v>Fiyat veya gramaj eksik olsa da ürün korundu.</x:v>
      </x:c>
    </x:row>
    <x:row r="870">
      <x:c r="A870" t="str">
        <x:v>Poka Coffee Roasters</x:v>
      </x:c>
      <x:c r="B870" t="str">
        <x:v>Ürün kaydı</x:v>
      </x:c>
      <x:c r="C870" t="str">
        <x:v>ETHIOPIA SIDAMA TOP G2</x:v>
      </x:c>
      <x:c r="D870" t="str">
        <x:v>Etiyopya</x:v>
      </x:c>
      <x:c r="E870" s="1" t="str">
        <x:v>Erişilemedi</x:v>
      </x:c>
      <x:c r="F870" s="2" t="n">
        <x:v>620</x:v>
      </x:c>
      <x:c r="G870" t="str">
        <x:v>Gramaj</x:v>
      </x:c>
      <x:c r="H870" t="str">
        <x:v>WooCommerce Store API</x:v>
      </x:c>
      <x:c r="I870" s="28" t="str">
        <x:v>https://poka.coffee/urun/yeni-ethiopia-chelchele-gedeb/</x:v>
      </x:c>
      <x:c r="J870" s="28" t="str">
        <x:v>Fiyat veya gramaj eksik olsa da ürün korundu.</x:v>
      </x:c>
    </x:row>
    <x:row r="871">
      <x:c r="A871" t="str">
        <x:v>Poka Coffee Roasters</x:v>
      </x:c>
      <x:c r="B871" t="str">
        <x:v>Ürün kaydı</x:v>
      </x:c>
      <x:c r="C871" t="str">
        <x:v>GUATEMALA ANTIGUA</x:v>
      </x:c>
      <x:c r="D871" t="str">
        <x:v>Guatemala</x:v>
      </x:c>
      <x:c r="E871" s="1" t="str">
        <x:v>Erişilemedi</x:v>
      </x:c>
      <x:c r="F871" s="2" t="n">
        <x:v>530</x:v>
      </x:c>
      <x:c r="G871" t="str">
        <x:v>Gramaj</x:v>
      </x:c>
      <x:c r="H871" t="str">
        <x:v>WooCommerce Store API</x:v>
      </x:c>
      <x:c r="I871" s="28" t="str">
        <x:v>https://poka.coffee/urun/guatemala-antigua/</x:v>
      </x:c>
      <x:c r="J871" s="28" t="str">
        <x:v>Fiyat veya gramaj eksik olsa da ürün korundu.</x:v>
      </x:c>
    </x:row>
    <x:row r="872">
      <x:c r="A872" t="str">
        <x:v>Poka Coffee Roasters</x:v>
      </x:c>
      <x:c r="B872" t="str">
        <x:v>Ürün kaydı</x:v>
      </x:c>
      <x:c r="C872" t="str">
        <x:v>KENYA NYERI / AA</x:v>
      </x:c>
      <x:c r="D872" t="str">
        <x:v>Kenya</x:v>
      </x:c>
      <x:c r="E872" s="1" t="str">
        <x:v>Erişilemedi</x:v>
      </x:c>
      <x:c r="F872" s="2" t="n">
        <x:v>540</x:v>
      </x:c>
      <x:c r="G872" t="str">
        <x:v>Gramaj</x:v>
      </x:c>
      <x:c r="H872" t="str">
        <x:v>WooCommerce Store API</x:v>
      </x:c>
      <x:c r="I872" s="28" t="str">
        <x:v>https://poka.coffee/urun/kenya-nyeri-aa/</x:v>
      </x:c>
      <x:c r="J872" s="28" t="str">
        <x:v>Fiyat veya gramaj eksik olsa da ürün korundu.</x:v>
      </x:c>
    </x:row>
    <x:row r="873">
      <x:c r="A873" t="str">
        <x:v>Poka Coffee Roasters</x:v>
      </x:c>
      <x:c r="B873" t="str">
        <x:v>Ürün kaydı</x:v>
      </x:c>
      <x:c r="C873" t="str">
        <x:v>NICARAGUA SHG EP SAN JOSE ESTATE</x:v>
      </x:c>
      <x:c r="D873" t="str">
        <x:v>Nikaragua</x:v>
      </x:c>
      <x:c r="E873" s="1" t="str">
        <x:v>Erişilemedi</x:v>
      </x:c>
      <x:c r="F873" s="2" t="n">
        <x:v>600</x:v>
      </x:c>
      <x:c r="G873" t="str">
        <x:v>Gramaj</x:v>
      </x:c>
      <x:c r="H873" t="str">
        <x:v>WooCommerce Store API</x:v>
      </x:c>
      <x:c r="I873" s="28" t="str">
        <x:v>https://poka.coffee/urun/nicaragua-shg-ep-san-jose-estate/</x:v>
      </x:c>
      <x:c r="J873" s="28" t="str">
        <x:v>Fiyat veya gramaj eksik olsa da ürün korundu.</x:v>
      </x:c>
    </x:row>
    <x:row r="874">
      <x:c r="A874" t="str">
        <x:v>Poka Coffee Roasters</x:v>
      </x:c>
      <x:c r="B874" t="str">
        <x:v>Ürün kaydı</x:v>
      </x:c>
      <x:c r="C874" t="str">
        <x:v>PERU CHANCHAMAYO</x:v>
      </x:c>
      <x:c r="D874" t="str">
        <x:v>Peru</x:v>
      </x:c>
      <x:c r="E874" s="1" t="str">
        <x:v>Erişilemedi</x:v>
      </x:c>
      <x:c r="F874" s="2" t="n">
        <x:v>530</x:v>
      </x:c>
      <x:c r="G874" t="str">
        <x:v>Gramaj</x:v>
      </x:c>
      <x:c r="H874" t="str">
        <x:v>WooCommerce Store API</x:v>
      </x:c>
      <x:c r="I874" s="28" t="str">
        <x:v>https://poka.coffee/urun/peru-chanchamayo/</x:v>
      </x:c>
      <x:c r="J874" s="28" t="str">
        <x:v>Fiyat veya gramaj eksik olsa da ürün korundu.</x:v>
      </x:c>
    </x:row>
    <x:row r="875">
      <x:c r="A875" t="str">
        <x:v>Poka Coffee Roasters</x:v>
      </x:c>
      <x:c r="B875" t="str">
        <x:v>Ürün kaydı</x:v>
      </x:c>
      <x:c r="C875" t="str">
        <x:v>Poka Cold Brew (Şişe Dahil)(İçilmeye Hazır)</x:v>
      </x:c>
      <x:c r="D875" t="str">
        <x:v>Menşe belirtilmemiş</x:v>
      </x:c>
      <x:c r="E875" s="1" t="str">
        <x:v>Erişilemedi</x:v>
      </x:c>
      <x:c r="F875" s="2" t="n">
        <x:v>375</x:v>
      </x:c>
      <x:c r="G875" t="str">
        <x:v>Gramaj</x:v>
      </x:c>
      <x:c r="H875" t="str">
        <x:v>WooCommerce Store API</x:v>
      </x:c>
      <x:c r="I875" s="28" t="str">
        <x:v>https://poka.coffee/urun/poka-cold-brew-sise-dahilicilmeye-hazir/</x:v>
      </x:c>
      <x:c r="J875" s="28" t="str">
        <x:v>Fiyat veya gramaj eksik olsa da ürün korundu.</x:v>
      </x:c>
    </x:row>
    <x:row r="876">
      <x:c r="A876" t="str">
        <x:v>Poka Coffee Roasters</x:v>
      </x:c>
      <x:c r="B876" t="str">
        <x:v>Ürün kaydı</x:v>
      </x:c>
      <x:c r="C876" t="str">
        <x:v>POKA ESPRESSO BLEND</x:v>
      </x:c>
      <x:c r="D876" t="str">
        <x:v>Etiyopya | Kolombiya | Peru</x:v>
      </x:c>
      <x:c r="E876" s="1" t="str">
        <x:v>Erişilemedi</x:v>
      </x:c>
      <x:c r="F876" s="2" t="n">
        <x:v>480</x:v>
      </x:c>
      <x:c r="G876" t="str">
        <x:v>Gramaj</x:v>
      </x:c>
      <x:c r="H876" t="str">
        <x:v>WooCommerce Store API</x:v>
      </x:c>
      <x:c r="I876" s="28" t="str">
        <x:v>https://poka.coffee/urun/espresso-blend/</x:v>
      </x:c>
      <x:c r="J876" s="28" t="str">
        <x:v>Fiyat veya gramaj eksik olsa da ürün korundu.</x:v>
      </x:c>
    </x:row>
    <x:row r="877">
      <x:c r="A877" t="str">
        <x:v>Poka Coffee Roasters</x:v>
      </x:c>
      <x:c r="B877" t="str">
        <x:v>Ürün kaydı</x:v>
      </x:c>
      <x:c r="C877" t="str">
        <x:v>POKA FİLTRE KAHVE</x:v>
      </x:c>
      <x:c r="D877" t="str">
        <x:v>Menşe belirtilmemiş</x:v>
      </x:c>
      <x:c r="E877" s="1" t="str">
        <x:v>Erişilemedi</x:v>
      </x:c>
      <x:c r="F877" s="2" t="n">
        <x:v>480</x:v>
      </x:c>
      <x:c r="G877" t="str">
        <x:v>Gramaj</x:v>
      </x:c>
      <x:c r="H877" t="str">
        <x:v>WooCommerce Store API</x:v>
      </x:c>
      <x:c r="I877" s="28" t="str">
        <x:v>https://poka.coffee/urun/poka-filtre-kahve/</x:v>
      </x:c>
      <x:c r="J877" s="28" t="str">
        <x:v>Fiyat veya gramaj eksik olsa da ürün korundu.</x:v>
      </x:c>
    </x:row>
    <x:row r="878">
      <x:c r="A878" t="str">
        <x:v>Poka Coffee Roasters</x:v>
      </x:c>
      <x:c r="B878" t="str">
        <x:v>Ürün kaydı</x:v>
      </x:c>
      <x:c r="C878" t="str">
        <x:v>Poka Kızı Kahve Kupası</x:v>
      </x:c>
      <x:c r="D878" t="str">
        <x:v>Menşe belirtilmemiş</x:v>
      </x:c>
      <x:c r="E878" s="1" t="str">
        <x:v>Erişilemedi</x:v>
      </x:c>
      <x:c r="F878" s="2" t="n">
        <x:v>215</x:v>
      </x:c>
      <x:c r="G878" t="str">
        <x:v>Gramaj</x:v>
      </x:c>
      <x:c r="H878" t="str">
        <x:v>WooCommerce Store API</x:v>
      </x:c>
      <x:c r="I878" s="28" t="str">
        <x:v>https://poka.coffee/urun/poka-kizi-kahve-kupasi/</x:v>
      </x:c>
      <x:c r="J878" s="28" t="str">
        <x:v>Fiyat veya gramaj eksik olsa da ürün korundu.</x:v>
      </x:c>
    </x:row>
    <x:row r="879">
      <x:c r="A879" t="str">
        <x:v>Poka Coffee Roasters</x:v>
      </x:c>
      <x:c r="B879" t="str">
        <x:v>Ürün kaydı</x:v>
      </x:c>
      <x:c r="C879" t="str">
        <x:v>Toptan Giriş</x:v>
      </x:c>
      <x:c r="D879" t="str">
        <x:v>Menşe belirtilmemiş</x:v>
      </x:c>
      <x:c r="E879" s="1" t="str">
        <x:v>Erişilemedi</x:v>
      </x:c>
      <x:c r="F879" s="2" t="n">
        <x:v>12877.5</x:v>
      </x:c>
      <x:c r="G879" t="str">
        <x:v>Gramaj</x:v>
      </x:c>
      <x:c r="H879" t="str">
        <x:v>WooCommerce Store API</x:v>
      </x:c>
      <x:c r="I879" s="28" t="str">
        <x:v>https://poka.coffee/urun/toptan-giris/</x:v>
      </x:c>
      <x:c r="J879" s="28" t="str">
        <x:v>Fiyat veya gramaj eksik olsa da ürün korundu.</x:v>
      </x:c>
    </x:row>
    <x:row r="880">
      <x:c r="A880" t="str">
        <x:v>Poka Coffee Roasters</x:v>
      </x:c>
      <x:c r="B880" t="str">
        <x:v>Ürün kaydı</x:v>
      </x:c>
      <x:c r="C880" t="str">
        <x:v>TÜRK KAHVESİ HARMANI</x:v>
      </x:c>
      <x:c r="D880" t="str">
        <x:v>Etiyopya | Kolombiya | Brezilya</x:v>
      </x:c>
      <x:c r="E880" s="1" t="str">
        <x:v>Erişilemedi</x:v>
      </x:c>
      <x:c r="F880" s="2" t="n">
        <x:v>400</x:v>
      </x:c>
      <x:c r="G880" t="str">
        <x:v>Gramaj</x:v>
      </x:c>
      <x:c r="H880" t="str">
        <x:v>WooCommerce Store API</x:v>
      </x:c>
      <x:c r="I880" s="28" t="str">
        <x:v>https://poka.coffee/urun/turk-kahvesi-harmani/</x:v>
      </x:c>
      <x:c r="J880" s="28" t="str">
        <x:v>Fiyat veya gramaj eksik olsa da ürün korundu.</x:v>
      </x:c>
    </x:row>
    <x:row r="881">
      <x:c r="A881" t="str">
        <x:v>Poka Coffee Roasters</x:v>
      </x:c>
      <x:c r="B881" t="str">
        <x:v>Ürün kaydı</x:v>
      </x:c>
      <x:c r="C881" t="str">
        <x:v>YENİ COLOMBIA BOURBON WHISKEY BARREL NATURAL</x:v>
      </x:c>
      <x:c r="D881" t="str">
        <x:v>Kolombiya</x:v>
      </x:c>
      <x:c r="E881" s="1" t="str">
        <x:v>Erişilemedi</x:v>
      </x:c>
      <x:c r="F881" s="2" t="n">
        <x:v>600</x:v>
      </x:c>
      <x:c r="G881" t="str">
        <x:v>Gramaj</x:v>
      </x:c>
      <x:c r="H881" t="str">
        <x:v>WooCommerce Store API</x:v>
      </x:c>
      <x:c r="I881" s="28" t="str">
        <x:v>https://poka.coffee/urun/yeni-colombia-narino-anaerobic/</x:v>
      </x:c>
      <x:c r="J881" s="28" t="str">
        <x:v>Fiyat veya gramaj eksik olsa da ürün korundu.</x:v>
      </x:c>
    </x:row>
    <x:row r="882">
      <x:c r="A882" t="str">
        <x:v>Probador Colectiva</x:v>
      </x:c>
      <x:c r="B882" t="str">
        <x:v>Ürün kaydı</x:v>
      </x:c>
      <x:c r="C882" t="str">
        <x:v>3 PIECES BURLAP COFFEE BAG (SUPPORT UNICEF)</x:v>
      </x:c>
      <x:c r="D882" t="str">
        <x:v>Menşe belirtilmemiş</x:v>
      </x:c>
      <x:c r="E882" s="1" t="str">
        <x:v>Erişilemedi</x:v>
      </x:c>
      <x:c r="F882" s="2" t="n">
        <x:v>1200</x:v>
      </x:c>
      <x:c r="G882" t="str">
        <x:v>Gramaj</x:v>
      </x:c>
      <x:c r="H882" t="str">
        <x:v>Site haritası ürün sayfası</x:v>
      </x:c>
      <x:c r="I882" s="28" t="str">
        <x:v>https://probadorcolectiva.com/en/3-pieces-burlap-coffee-bag-support-unicef</x:v>
      </x:c>
      <x:c r="J882" s="28" t="str">
        <x:v>Ürün kimliği korundu; eksik alanlar erişilemedi olarak işaretlenecek.</x:v>
      </x:c>
    </x:row>
    <x:row r="883">
      <x:c r="A883" t="str">
        <x:v>Probador Colectiva</x:v>
      </x:c>
      <x:c r="B883" t="str">
        <x:v>Ürün kaydı</x:v>
      </x:c>
      <x:c r="C883" t="str">
        <x:v>AFRICAN COFFEES SAMPLE SET 1</x:v>
      </x:c>
      <x:c r="D883" t="str">
        <x:v>Menşe belirtilmemiş</x:v>
      </x:c>
      <x:c r="E883" s="1" t="str">
        <x:v>Erişilemedi</x:v>
      </x:c>
      <x:c r="F883" s="2" t="str">
        <x:v>Erişilemedi</x:v>
      </x:c>
      <x:c r="G883" t="str">
        <x:v>Gramaj + fiyat</x:v>
      </x:c>
      <x:c r="H883" t="str">
        <x:v>Site haritası ürün sayfası</x:v>
      </x:c>
      <x:c r="I883" s="28" t="str">
        <x:v>https://probadorcolectiva.com/en/african-coffees-sample-set-1</x:v>
      </x:c>
      <x:c r="J883" s="28" t="str">
        <x:v>Ürün kimliği korundu; eksik alanlar erişilemedi olarak işaretlenecek.</x:v>
      </x:c>
    </x:row>
    <x:row r="884">
      <x:c r="A884" t="str">
        <x:v>Probador Colectiva</x:v>
      </x:c>
      <x:c r="B884" t="str">
        <x:v>Ürün kaydı</x:v>
      </x:c>
      <x:c r="C884" t="str">
        <x:v>AFRICAN COFFEES SAMPLE SET 2</x:v>
      </x:c>
      <x:c r="D884" t="str">
        <x:v>Menşe belirtilmemiş</x:v>
      </x:c>
      <x:c r="E884" s="1" t="str">
        <x:v>Erişilemedi</x:v>
      </x:c>
      <x:c r="F884" s="2" t="str">
        <x:v>Erişilemedi</x:v>
      </x:c>
      <x:c r="G884" t="str">
        <x:v>Gramaj + fiyat</x:v>
      </x:c>
      <x:c r="H884" t="str">
        <x:v>Site haritası ürün sayfası</x:v>
      </x:c>
      <x:c r="I884" s="28" t="str">
        <x:v>https://probadorcolectiva.com/en/african-coffees-sample-set-2</x:v>
      </x:c>
      <x:c r="J884" s="28" t="str">
        <x:v>Ürün kimliği korundu; eksik alanlar erişilemedi olarak işaretlenecek.</x:v>
      </x:c>
    </x:row>
    <x:row r="885">
      <x:c r="A885" t="str">
        <x:v>Probador Colectiva</x:v>
      </x:c>
      <x:c r="B885" t="str">
        <x:v>Ürün kaydı</x:v>
      </x:c>
      <x:c r="C885" t="str">
        <x:v>AMERICAN COFFEES SAMPLE SET 1</x:v>
      </x:c>
      <x:c r="D885" t="str">
        <x:v>Menşe belirtilmemiş</x:v>
      </x:c>
      <x:c r="E885" s="1" t="str">
        <x:v>Erişilemedi</x:v>
      </x:c>
      <x:c r="F885" s="2" t="str">
        <x:v>Erişilemedi</x:v>
      </x:c>
      <x:c r="G885" t="str">
        <x:v>Gramaj + fiyat</x:v>
      </x:c>
      <x:c r="H885" t="str">
        <x:v>Site haritası ürün sayfası</x:v>
      </x:c>
      <x:c r="I885" s="28" t="str">
        <x:v>https://probadorcolectiva.com/en/american-coffees-sample-set-1</x:v>
      </x:c>
      <x:c r="J885" s="28" t="str">
        <x:v>Ürün kimliği korundu; eksik alanlar erişilemedi olarak işaretlenecek.</x:v>
      </x:c>
    </x:row>
    <x:row r="886">
      <x:c r="A886" t="str">
        <x:v>Probador Colectiva</x:v>
      </x:c>
      <x:c r="B886" t="str">
        <x:v>Ürün kaydı</x:v>
      </x:c>
      <x:c r="C886" t="str">
        <x:v>AMERICAN COFFEES SAMPLE SET 2</x:v>
      </x:c>
      <x:c r="D886" t="str">
        <x:v>Menşe belirtilmemiş</x:v>
      </x:c>
      <x:c r="E886" s="1" t="str">
        <x:v>Erişilemedi</x:v>
      </x:c>
      <x:c r="F886" s="2" t="str">
        <x:v>Erişilemedi</x:v>
      </x:c>
      <x:c r="G886" t="str">
        <x:v>Gramaj + fiyat</x:v>
      </x:c>
      <x:c r="H886" t="str">
        <x:v>Site haritası ürün sayfası</x:v>
      </x:c>
      <x:c r="I886" s="28" t="str">
        <x:v>https://probadorcolectiva.com/en/american-coffees-sample-set-2</x:v>
      </x:c>
      <x:c r="J886" s="28" t="str">
        <x:v>Ürün kimliği korundu; eksik alanlar erişilemedi olarak işaretlenecek.</x:v>
      </x:c>
    </x:row>
    <x:row r="887">
      <x:c r="A887" t="str">
        <x:v>Probador Colectiva</x:v>
      </x:c>
      <x:c r="B887" t="str">
        <x:v>Ürün kaydı</x:v>
      </x:c>
      <x:c r="C887" t="str">
        <x:v>AMERICAN COFFEES SAMPLE SET 3</x:v>
      </x:c>
      <x:c r="D887" t="str">
        <x:v>Menşe belirtilmemiş</x:v>
      </x:c>
      <x:c r="E887" s="1" t="str">
        <x:v>Erişilemedi</x:v>
      </x:c>
      <x:c r="F887" s="2" t="str">
        <x:v>Erişilemedi</x:v>
      </x:c>
      <x:c r="G887" t="str">
        <x:v>Gramaj + fiyat</x:v>
      </x:c>
      <x:c r="H887" t="str">
        <x:v>Site haritası ürün sayfası</x:v>
      </x:c>
      <x:c r="I887" s="28" t="str">
        <x:v>https://probadorcolectiva.com/en/american-coffees-sample-set-3</x:v>
      </x:c>
      <x:c r="J887" s="28" t="str">
        <x:v>Ürün kimliği korundu; eksik alanlar erişilemedi olarak işaretlenecek.</x:v>
      </x:c>
    </x:row>
    <x:row r="888">
      <x:c r="A888" t="str">
        <x:v>Probador Colectiva</x:v>
      </x:c>
      <x:c r="B888" t="str">
        <x:v>Ürün kaydı</x:v>
      </x:c>
      <x:c r="C888" t="str">
        <x:v>Coffee Subscriptions</x:v>
      </x:c>
      <x:c r="D888" t="str">
        <x:v>Menşe belirtilmemiş</x:v>
      </x:c>
      <x:c r="E888" s="1" t="str">
        <x:v>Erişilemedi</x:v>
      </x:c>
      <x:c r="F888" s="2" t="str">
        <x:v>Erişilemedi</x:v>
      </x:c>
      <x:c r="G888" t="str">
        <x:v>Gramaj + fiyat</x:v>
      </x:c>
      <x:c r="H888" t="str">
        <x:v>Site haritası ürün sayfası</x:v>
      </x:c>
      <x:c r="I888" s="28" t="str">
        <x:v>https://probadorcolectiva.com/en/coffee-subscription</x:v>
      </x:c>
      <x:c r="J888" s="28" t="str">
        <x:v>Ürün kimliği korundu; eksik alanlar erişilemedi olarak işaretlenecek.</x:v>
      </x:c>
    </x:row>
    <x:row r="889">
      <x:c r="A889" t="str">
        <x:v>Probador Colectiva</x:v>
      </x:c>
      <x:c r="B889" t="str">
        <x:v>Ürün kaydı</x:v>
      </x:c>
      <x:c r="C889" t="str">
        <x:v>ESPRO MICROFILTER FOR COFFEE</x:v>
      </x:c>
      <x:c r="D889" t="str">
        <x:v>Menşe belirtilmemiş</x:v>
      </x:c>
      <x:c r="E889" s="1" t="str">
        <x:v>Erişilemedi</x:v>
      </x:c>
      <x:c r="F889" s="2" t="n">
        <x:v>11700</x:v>
      </x:c>
      <x:c r="G889" t="str">
        <x:v>Gramaj</x:v>
      </x:c>
      <x:c r="H889" t="str">
        <x:v>Site haritası ürün sayfası</x:v>
      </x:c>
      <x:c r="I889" s="28" t="str">
        <x:v>https://probadorcolectiva.com/en/espro-microfilter-for-coffee</x:v>
      </x:c>
      <x:c r="J889" s="28" t="str">
        <x:v>Ürün kimliği korundu; eksik alanlar erişilemedi olarak işaretlenecek.</x:v>
      </x:c>
    </x:row>
    <x:row r="890">
      <x:c r="A890" t="str">
        <x:v>Probador Colectiva</x:v>
      </x:c>
      <x:c r="B890" t="str">
        <x:v>Ürün kaydı</x:v>
      </x:c>
      <x:c r="C890" t="str">
        <x:v>ESPRO MICROFILTER FOR COFFEE 32 OZ</x:v>
      </x:c>
      <x:c r="D890" t="str">
        <x:v>Menşe belirtilmemiş</x:v>
      </x:c>
      <x:c r="E890" s="1" t="str">
        <x:v>Erişilemedi</x:v>
      </x:c>
      <x:c r="F890" s="2" t="str">
        <x:v>Erişilemedi</x:v>
      </x:c>
      <x:c r="G890" t="str">
        <x:v>Gramaj + fiyat</x:v>
      </x:c>
      <x:c r="H890" t="str">
        <x:v>Site haritası ürün sayfası</x:v>
      </x:c>
      <x:c r="I890" s="28" t="str">
        <x:v>https://probadorcolectiva.com/en/espro-microfilter-for-coffee-32-oz</x:v>
      </x:c>
      <x:c r="J890" s="28" t="str">
        <x:v>Ürün kimliği korundu; eksik alanlar erişilemedi olarak işaretlenecek.</x:v>
      </x:c>
    </x:row>
    <x:row r="891">
      <x:c r="A891" t="str">
        <x:v>Probador Colectiva</x:v>
      </x:c>
      <x:c r="B891" t="str">
        <x:v>Ürün kaydı</x:v>
      </x:c>
      <x:c r="C891" t="str">
        <x:v>ISTABUL COFFEE MAP</x:v>
      </x:c>
      <x:c r="D891" t="str">
        <x:v>Menşe belirtilmemiş</x:v>
      </x:c>
      <x:c r="E891" s="1" t="str">
        <x:v>Erişilemedi</x:v>
      </x:c>
      <x:c r="F891" s="2" t="str">
        <x:v>Erişilemedi</x:v>
      </x:c>
      <x:c r="G891" t="str">
        <x:v>Gramaj + fiyat</x:v>
      </x:c>
      <x:c r="H891" t="str">
        <x:v>Site haritası ürün sayfası</x:v>
      </x:c>
      <x:c r="I891" s="28" t="str">
        <x:v>https://probadorcolectiva.com/en/istabul-coffee-map</x:v>
      </x:c>
      <x:c r="J891" s="28" t="str">
        <x:v>Ürün kimliği korundu; eksik alanlar erişilemedi olarak işaretlenecek.</x:v>
      </x:c>
    </x:row>
    <x:row r="892">
      <x:c r="A892" t="str">
        <x:v>Probador Colectiva</x:v>
      </x:c>
      <x:c r="B892" t="str">
        <x:v>Ürün kaydı</x:v>
      </x:c>
      <x:c r="C892" t="str">
        <x:v>İSTANBUL KAHVE HARİTASI</x:v>
      </x:c>
      <x:c r="D892" t="str">
        <x:v>Menşe belirtilmemiş</x:v>
      </x:c>
      <x:c r="E892" s="1" t="str">
        <x:v>Erişilemedi</x:v>
      </x:c>
      <x:c r="F892" s="2" t="str">
        <x:v>Erişilemedi</x:v>
      </x:c>
      <x:c r="G892" t="str">
        <x:v>Gramaj + fiyat</x:v>
      </x:c>
      <x:c r="H892" t="str">
        <x:v>Site haritası ürün sayfası</x:v>
      </x:c>
      <x:c r="I892" s="28" t="str">
        <x:v>https://probadorcolectiva.com/istanbul-kahve-haritasi</x:v>
      </x:c>
      <x:c r="J892" s="28" t="str">
        <x:v>Ürün kimliği korundu; eksik alanlar erişilemedi olarak işaretlenecek.</x:v>
      </x:c>
    </x:row>
    <x:row r="893">
      <x:c r="A893" t="str">
        <x:v>Probador Colectiva</x:v>
      </x:c>
      <x:c r="B893" t="str">
        <x:v>Ürün kaydı</x:v>
      </x:c>
      <x:c r="C893" t="str">
        <x:v>Nitelikli Kahve Nedir?</x:v>
      </x:c>
      <x:c r="D893" t="str">
        <x:v>Menşe belirtilmemiş</x:v>
      </x:c>
      <x:c r="E893" s="1" t="str">
        <x:v>Erişilemedi</x:v>
      </x:c>
      <x:c r="F893" s="2" t="str">
        <x:v>Erişilemedi</x:v>
      </x:c>
      <x:c r="G893" t="str">
        <x:v>Gramaj + fiyat</x:v>
      </x:c>
      <x:c r="H893" t="str">
        <x:v>Site haritası ürün sayfası</x:v>
      </x:c>
      <x:c r="I893" s="28" t="str">
        <x:v>https://probadorcolectiva.com/nitelikli-kahve-nedir</x:v>
      </x:c>
      <x:c r="J893" s="28" t="str">
        <x:v>Ürün kimliği korundu; eksik alanlar erişilemedi olarak işaretlenecek.</x:v>
      </x:c>
    </x:row>
    <x:row r="894">
      <x:c r="A894" t="str">
        <x:v>Probador Colectiva</x:v>
      </x:c>
      <x:c r="B894" t="str">
        <x:v>Ürün kaydı</x:v>
      </x:c>
      <x:c r="C894" t="str">
        <x:v>Places You Can Enjoy Probador Coffee</x:v>
      </x:c>
      <x:c r="D894" t="str">
        <x:v>Menşe belirtilmemiş</x:v>
      </x:c>
      <x:c r="E894" s="1" t="str">
        <x:v>Erişilemedi</x:v>
      </x:c>
      <x:c r="F894" s="2" t="str">
        <x:v>Erişilemedi</x:v>
      </x:c>
      <x:c r="G894" t="str">
        <x:v>Gramaj + fiyat</x:v>
      </x:c>
      <x:c r="H894" t="str">
        <x:v>Site haritası ürün sayfası</x:v>
      </x:c>
      <x:c r="I894" s="28" t="str">
        <x:v>https://probadorcolectiva.com/en/places-you-can-find-probador-coffee</x:v>
      </x:c>
      <x:c r="J894" s="28" t="str">
        <x:v>Ürün kimliği korundu; eksik alanlar erişilemedi olarak işaretlenecek.</x:v>
      </x:c>
    </x:row>
    <x:row r="895">
      <x:c r="A895" t="str">
        <x:v>Probador Colectiva</x:v>
      </x:c>
      <x:c r="B895" t="str">
        <x:v>Ürün kaydı</x:v>
      </x:c>
      <x:c r="C895" t="str">
        <x:v>Products</x:v>
      </x:c>
      <x:c r="D895" t="str">
        <x:v>Menşe belirtilmemiş</x:v>
      </x:c>
      <x:c r="E895" s="1" t="str">
        <x:v>Erişilemedi</x:v>
      </x:c>
      <x:c r="F895" s="2" t="str">
        <x:v>Erişilemedi</x:v>
      </x:c>
      <x:c r="G895" t="str">
        <x:v>Gramaj + fiyat</x:v>
      </x:c>
      <x:c r="H895" t="str">
        <x:v>Site haritası ürün sayfası</x:v>
      </x:c>
      <x:c r="I895" s="28" t="str">
        <x:v>https://probadorcolectiva.com/en/products</x:v>
      </x:c>
      <x:c r="J895" s="28" t="str">
        <x:v>Ürün kimliği korundu; eksik alanlar erişilemedi olarak işaretlenecek.</x:v>
      </x:c>
    </x:row>
    <x:row r="896">
      <x:c r="A896" t="str">
        <x:v>Probador Colectiva</x:v>
      </x:c>
      <x:c r="B896" t="str">
        <x:v>Ürün kaydı</x:v>
      </x:c>
      <x:c r="C896" t="str">
        <x:v>SPECIALTY COFFEE</x:v>
      </x:c>
      <x:c r="D896" t="str">
        <x:v>Menşe belirtilmemiş</x:v>
      </x:c>
      <x:c r="E896" s="1" t="str">
        <x:v>Erişilemedi</x:v>
      </x:c>
      <x:c r="F896" s="2" t="str">
        <x:v>Erişilemedi</x:v>
      </x:c>
      <x:c r="G896" t="str">
        <x:v>Gramaj + fiyat</x:v>
      </x:c>
      <x:c r="H896" t="str">
        <x:v>Site haritası ürün sayfası</x:v>
      </x:c>
      <x:c r="I896" s="28" t="str">
        <x:v>https://probadorcolectiva.com/en/coffee</x:v>
      </x:c>
      <x:c r="J896" s="28" t="str">
        <x:v>Ürün kimliği korundu; eksik alanlar erişilemedi olarak işaretlenecek.</x:v>
      </x:c>
    </x:row>
    <x:row r="897">
      <x:c r="A897" t="str">
        <x:v>Probador Colectiva</x:v>
      </x:c>
      <x:c r="B897" t="str">
        <x:v>Ürün kaydı</x:v>
      </x:c>
      <x:c r="C897" t="str">
        <x:v>WASHED COFFEES SAMPLE SET 1</x:v>
      </x:c>
      <x:c r="D897" t="str">
        <x:v>Menşe belirtilmemiş</x:v>
      </x:c>
      <x:c r="E897" s="1" t="str">
        <x:v>Erişilemedi</x:v>
      </x:c>
      <x:c r="F897" s="2" t="str">
        <x:v>Erişilemedi</x:v>
      </x:c>
      <x:c r="G897" t="str">
        <x:v>Gramaj + fiyat</x:v>
      </x:c>
      <x:c r="H897" t="str">
        <x:v>Site haritası ürün sayfası</x:v>
      </x:c>
      <x:c r="I897" s="28" t="str">
        <x:v>https://probadorcolectiva.com/en/washed-coffees-sample-set-1</x:v>
      </x:c>
      <x:c r="J897" s="28" t="str">
        <x:v>Ürün kimliği korundu; eksik alanlar erişilemedi olarak işaretlenecek.</x:v>
      </x:c>
    </x:row>
    <x:row r="898">
      <x:c r="A898" t="str">
        <x:v>Probador Colectiva</x:v>
      </x:c>
      <x:c r="B898" t="str">
        <x:v>Ürün kaydı</x:v>
      </x:c>
      <x:c r="C898" t="str">
        <x:v>WASHED COFFEES SAMPLE SET 2</x:v>
      </x:c>
      <x:c r="D898" t="str">
        <x:v>Menşe belirtilmemiş</x:v>
      </x:c>
      <x:c r="E898" s="1" t="str">
        <x:v>Erişilemedi</x:v>
      </x:c>
      <x:c r="F898" s="2" t="str">
        <x:v>Erişilemedi</x:v>
      </x:c>
      <x:c r="G898" t="str">
        <x:v>Gramaj + fiyat</x:v>
      </x:c>
      <x:c r="H898" t="str">
        <x:v>Site haritası ürün sayfası</x:v>
      </x:c>
      <x:c r="I898" s="28" t="str">
        <x:v>https://probadorcolectiva.com/en/washed-coffees-sample-set-2</x:v>
      </x:c>
      <x:c r="J898" s="28" t="str">
        <x:v>Ürün kimliği korundu; eksik alanlar erişilemedi olarak işaretlenecek.</x:v>
      </x:c>
    </x:row>
    <x:row r="899">
      <x:c r="A899" t="str">
        <x:v>Probador Colectiva</x:v>
      </x:c>
      <x:c r="B899" t="str">
        <x:v>Ürün kaydı</x:v>
      </x:c>
      <x:c r="C899" t="str">
        <x:v>WHOLESALE COFFEE</x:v>
      </x:c>
      <x:c r="D899" t="str">
        <x:v>Menşe belirtilmemiş</x:v>
      </x:c>
      <x:c r="E899" s="1" t="str">
        <x:v>Erişilemedi</x:v>
      </x:c>
      <x:c r="F899" s="2" t="str">
        <x:v>Erişilemedi</x:v>
      </x:c>
      <x:c r="G899" t="str">
        <x:v>Gramaj + fiyat</x:v>
      </x:c>
      <x:c r="H899" t="str">
        <x:v>Site haritası ürün sayfası</x:v>
      </x:c>
      <x:c r="I899" s="28" t="str">
        <x:v>https://probadorcolectiva.com/en/wholesale-coffee</x:v>
      </x:c>
      <x:c r="J899" s="28" t="str">
        <x:v>Ürün kimliği korundu; eksik alanlar erişilemedi olarak işaretlenecek.</x:v>
      </x:c>
    </x:row>
    <x:row r="900">
      <x:c r="A900" t="str">
        <x:v>Punctum Coffee</x:v>
      </x:c>
      <x:c r="B900" t="str">
        <x:v>Katalog takip kaydı</x:v>
      </x:c>
      <x:c r="C900" t="str">
        <x:v>Ürün kataloğu — ayrıntılı ürün verisine erişilemedi</x:v>
      </x:c>
      <x:c r="D900" t="str">
        <x:v>Erişilemedi</x:v>
      </x:c>
      <x:c r="E900" s="1" t="str">
        <x:v>Erişilemedi</x:v>
      </x:c>
      <x:c r="F900" s="2" t="str">
        <x:v>Erişilemedi</x:v>
      </x:c>
      <x:c r="G900" t="str">
        <x:v>Gramaj + fiyat</x:v>
      </x:c>
      <x:c r="H900" t="str">
        <x:v>Mağaza/katalog bağlantısı</x:v>
      </x:c>
      <x:c r="I900" s="28" t="str">
        <x:v>https://punctumcoffee.com/</x:v>
      </x:c>
      <x:c r="J900" s="28" t="str">
        <x:v>Ürün adı, gramaj ve fiyat birlikte çıkarılamadı. Bağlantı manuel inceleme için korundu.</x:v>
      </x:c>
    </x:row>
    <x:row r="901">
      <x:c r="A901" t="str">
        <x:v>Resmo Roasting Co.</x:v>
      </x:c>
      <x:c r="B901" t="str">
        <x:v>Katalog takip kaydı</x:v>
      </x:c>
      <x:c r="C901" t="str">
        <x:v>Ürün kataloğu — ayrıntılı ürün verisine erişilemedi</x:v>
      </x:c>
      <x:c r="D901" t="str">
        <x:v>Erişilemedi</x:v>
      </x:c>
      <x:c r="E901" s="1" t="str">
        <x:v>Erişilemedi</x:v>
      </x:c>
      <x:c r="F901" s="2" t="str">
        <x:v>Erişilemedi</x:v>
      </x:c>
      <x:c r="G901" t="str">
        <x:v>Gramaj + fiyat</x:v>
      </x:c>
      <x:c r="H901" t="str">
        <x:v>Instagram veya mevcut kaynak</x:v>
      </x:c>
      <x:c r="I901" s="28" t="str">
        <x:v>Erişilemedi</x:v>
      </x:c>
      <x:c r="J901" s="28" t="str">
        <x:v>Ürün adı, gramaj ve fiyat birlikte çıkarılamadı. Bağlantı manuel inceleme için korundu.</x:v>
      </x:c>
    </x:row>
    <x:row r="902">
      <x:c r="A902" t="str">
        <x:v>Rispetto Coffee</x:v>
      </x:c>
      <x:c r="B902" t="str">
        <x:v>Katalog takip kaydı</x:v>
      </x:c>
      <x:c r="C902" t="str">
        <x:v>Ürün kataloğu — ayrıntılı ürün verisine erişilemedi</x:v>
      </x:c>
      <x:c r="D902" t="str">
        <x:v>Erişilemedi</x:v>
      </x:c>
      <x:c r="E902" s="1" t="str">
        <x:v>Erişilemedi</x:v>
      </x:c>
      <x:c r="F902" s="2" t="str">
        <x:v>Erişilemedi</x:v>
      </x:c>
      <x:c r="G902" t="str">
        <x:v>Gramaj + fiyat</x:v>
      </x:c>
      <x:c r="H902" t="str">
        <x:v>Instagram veya mevcut kaynak</x:v>
      </x:c>
      <x:c r="I902" s="28" t="str">
        <x:v>Erişilemedi</x:v>
      </x:c>
      <x:c r="J902" s="28" t="str">
        <x:v>Ürün adı, gramaj ve fiyat birlikte çıkarılamadı. Bağlantı manuel inceleme için korundu.</x:v>
      </x:c>
    </x:row>
    <x:row r="903">
      <x:c r="A903" t="str">
        <x:v>Roast Room</x:v>
      </x:c>
      <x:c r="B903" t="str">
        <x:v>Ürün kaydı</x:v>
      </x:c>
      <x:c r="C903" t="str">
        <x:v>Dark Room Blend / 18 Adet Kapsül Kahve</x:v>
      </x:c>
      <x:c r="D903" t="str">
        <x:v>Brezilya | Hindistan</x:v>
      </x:c>
      <x:c r="E903" s="1" t="str">
        <x:v>Erişilemedi</x:v>
      </x:c>
      <x:c r="F903" s="2" t="n">
        <x:v>510</x:v>
      </x:c>
      <x:c r="G903" t="str">
        <x:v>Gramaj</x:v>
      </x:c>
      <x:c r="H903" t="str">
        <x:v>Shopify ürün akışı</x:v>
      </x:c>
      <x:c r="I903" s="28" t="str">
        <x:v>https://theroastroom.co/products/dark-room-blend-18-adet-kapsul-kahve</x:v>
      </x:c>
      <x:c r="J903" s="28" t="str">
        <x:v>Öğütüm seçenekleri tekilleştirildi.</x:v>
      </x:c>
    </x:row>
    <x:row r="904">
      <x:c r="A904" t="str">
        <x:v>Roast Room</x:v>
      </x:c>
      <x:c r="B904" t="str">
        <x:v>Ürün kaydı</x:v>
      </x:c>
      <x:c r="C904" t="str">
        <x:v>Morning Coffee / 18 Adet Kapsül Kahve</x:v>
      </x:c>
      <x:c r="D904" t="str">
        <x:v>Guatemala</x:v>
      </x:c>
      <x:c r="E904" s="1" t="str">
        <x:v>Erişilemedi</x:v>
      </x:c>
      <x:c r="F904" s="2" t="n">
        <x:v>500</x:v>
      </x:c>
      <x:c r="G904" t="str">
        <x:v>Gramaj</x:v>
      </x:c>
      <x:c r="H904" t="str">
        <x:v>Shopify ürün akışı</x:v>
      </x:c>
      <x:c r="I904" s="28" t="str">
        <x:v>https://theroastroom.co/products/morning-coffee-18-adet-kapsul-kahve</x:v>
      </x:c>
      <x:c r="J904" s="28" t="str">
        <x:v>Öğütüm seçenekleri tekilleştirildi.</x:v>
      </x:c>
    </x:row>
    <x:row r="905">
      <x:c r="A905" t="str">
        <x:v>Roasterlab</x:v>
      </x:c>
      <x:c r="B905" t="str">
        <x:v>Katalog takip kaydı</x:v>
      </x:c>
      <x:c r="C905" t="str">
        <x:v>Ürün kataloğu — ayrıntılı ürün verisine erişilemedi</x:v>
      </x:c>
      <x:c r="D905" t="str">
        <x:v>Erişilemedi</x:v>
      </x:c>
      <x:c r="E905" s="1" t="str">
        <x:v>Erişilemedi</x:v>
      </x:c>
      <x:c r="F905" s="2" t="str">
        <x:v>Erişilemedi</x:v>
      </x:c>
      <x:c r="G905" t="str">
        <x:v>Gramaj + fiyat</x:v>
      </x:c>
      <x:c r="H905" t="str">
        <x:v>Mağaza/katalog bağlantısı</x:v>
      </x:c>
      <x:c r="I905" s="28" t="str">
        <x:v>https://roasterlab.com.tr/</x:v>
      </x:c>
      <x:c r="J905" s="28" t="str">
        <x:v>Ürün adı, gramaj ve fiyat birlikte çıkarılamadı. Bağlantı manuel inceleme için korundu.</x:v>
      </x:c>
    </x:row>
    <x:row r="906">
      <x:c r="A906" t="str">
        <x:v>RoasterLab</x:v>
      </x:c>
      <x:c r="B906" t="str">
        <x:v>Katalog takip kaydı</x:v>
      </x:c>
      <x:c r="C906" t="str">
        <x:v>Ürün kataloğu — ayrıntılı ürün verisine erişilemedi</x:v>
      </x:c>
      <x:c r="D906" t="str">
        <x:v>Erişilemedi</x:v>
      </x:c>
      <x:c r="E906" s="1" t="str">
        <x:v>Erişilemedi</x:v>
      </x:c>
      <x:c r="F906" s="2" t="str">
        <x:v>Erişilemedi</x:v>
      </x:c>
      <x:c r="G906" t="str">
        <x:v>Gramaj + fiyat</x:v>
      </x:c>
      <x:c r="H906" t="str">
        <x:v>Mağaza/katalog bağlantısı</x:v>
      </x:c>
      <x:c r="I906" s="28" t="str">
        <x:v>https://roasterlab.com.tr/</x:v>
      </x:c>
      <x:c r="J906" s="28" t="str">
        <x:v>Ürün adı, gramaj ve fiyat birlikte çıkarılamadı. Bağlantı manuel inceleme için korundu.</x:v>
      </x:c>
    </x:row>
    <x:row r="907">
      <x:c r="A907" t="str">
        <x:v>Roastery ACME</x:v>
      </x:c>
      <x:c r="B907" t="str">
        <x:v>Katalog takip kaydı</x:v>
      </x:c>
      <x:c r="C907" t="str">
        <x:v>Ürün kataloğu — ayrıntılı ürün verisine erişilemedi</x:v>
      </x:c>
      <x:c r="D907" t="str">
        <x:v>Erişilemedi</x:v>
      </x:c>
      <x:c r="E907" s="1" t="str">
        <x:v>Erişilemedi</x:v>
      </x:c>
      <x:c r="F907" s="2" t="str">
        <x:v>Erişilemedi</x:v>
      </x:c>
      <x:c r="G907" t="str">
        <x:v>Gramaj + fiyat</x:v>
      </x:c>
      <x:c r="H907" t="str">
        <x:v>Instagram veya mevcut kaynak</x:v>
      </x:c>
      <x:c r="I907" s="28" t="str">
        <x:v>Erişilemedi</x:v>
      </x:c>
      <x:c r="J907" s="28" t="str">
        <x:v>Ürün adı, gramaj ve fiyat birlikte çıkarılamadı. Bağlantı manuel inceleme için korundu.</x:v>
      </x:c>
    </x:row>
    <x:row r="908">
      <x:c r="A908" t="str">
        <x:v>ROR Cafe &amp; Roastery</x:v>
      </x:c>
      <x:c r="B908" t="str">
        <x:v>Katalog takip kaydı</x:v>
      </x:c>
      <x:c r="C908" t="str">
        <x:v>Ürün kataloğu — ayrıntılı ürün verisine erişilemedi</x:v>
      </x:c>
      <x:c r="D908" t="str">
        <x:v>Erişilemedi</x:v>
      </x:c>
      <x:c r="E908" s="1" t="str">
        <x:v>Erişilemedi</x:v>
      </x:c>
      <x:c r="F908" s="2" t="str">
        <x:v>Erişilemedi</x:v>
      </x:c>
      <x:c r="G908" t="str">
        <x:v>Gramaj + fiyat</x:v>
      </x:c>
      <x:c r="H908" t="str">
        <x:v>Instagram veya mevcut kaynak</x:v>
      </x:c>
      <x:c r="I908" s="28" t="str">
        <x:v>Erişilemedi</x:v>
      </x:c>
      <x:c r="J908" s="28" t="str">
        <x:v>Ürün adı, gramaj ve fiyat birlikte çıkarılamadı. Bağlantı manuel inceleme için korundu.</x:v>
      </x:c>
    </x:row>
    <x:row r="909">
      <x:c r="A909" t="str">
        <x:v>Rott Coffee</x:v>
      </x:c>
      <x:c r="B909" t="str">
        <x:v>Katalog takip kaydı</x:v>
      </x:c>
      <x:c r="C909" t="str">
        <x:v>Ürün kataloğu — ayrıntılı ürün verisine erişilemedi</x:v>
      </x:c>
      <x:c r="D909" t="str">
        <x:v>Erişilemedi</x:v>
      </x:c>
      <x:c r="E909" s="1" t="str">
        <x:v>Erişilemedi</x:v>
      </x:c>
      <x:c r="F909" s="2" t="str">
        <x:v>Erişilemedi</x:v>
      </x:c>
      <x:c r="G909" t="str">
        <x:v>Gramaj + fiyat</x:v>
      </x:c>
      <x:c r="H909" t="str">
        <x:v>Instagram veya mevcut kaynak</x:v>
      </x:c>
      <x:c r="I909" s="28" t="str">
        <x:v>Erişilemedi</x:v>
      </x:c>
      <x:c r="J909" s="28" t="str">
        <x:v>Ürün adı, gramaj ve fiyat birlikte çıkarılamadı. Bağlantı manuel inceleme için korundu.</x:v>
      </x:c>
    </x:row>
    <x:row r="910">
      <x:c r="A910" t="str">
        <x:v>Rubber Soul Coffee</x:v>
      </x:c>
      <x:c r="B910" t="str">
        <x:v>Katalog takip kaydı</x:v>
      </x:c>
      <x:c r="C910" t="str">
        <x:v>Ürün kataloğu — ayrıntılı ürün verisine erişilemedi</x:v>
      </x:c>
      <x:c r="D910" t="str">
        <x:v>Erişilemedi</x:v>
      </x:c>
      <x:c r="E910" s="1" t="str">
        <x:v>Erişilemedi</x:v>
      </x:c>
      <x:c r="F910" s="2" t="str">
        <x:v>Erişilemedi</x:v>
      </x:c>
      <x:c r="G910" t="str">
        <x:v>Gramaj + fiyat</x:v>
      </x:c>
      <x:c r="H910" t="str">
        <x:v>Instagram veya mevcut kaynak</x:v>
      </x:c>
      <x:c r="I910" s="28" t="str">
        <x:v>Erişilemedi</x:v>
      </x:c>
      <x:c r="J910" s="28" t="str">
        <x:v>Ürün adı, gramaj ve fiyat birlikte çıkarılamadı. Bağlantı manuel inceleme için korundu.</x:v>
      </x:c>
    </x:row>
    <x:row r="911">
      <x:c r="A911" t="str">
        <x:v>Rumo Coffee</x:v>
      </x:c>
      <x:c r="B911" t="str">
        <x:v>Katalog takip kaydı</x:v>
      </x:c>
      <x:c r="C911" t="str">
        <x:v>Ürün kataloğu — ayrıntılı ürün verisine erişilemedi</x:v>
      </x:c>
      <x:c r="D911" t="str">
        <x:v>Erişilemedi</x:v>
      </x:c>
      <x:c r="E911" s="1" t="str">
        <x:v>Erişilemedi</x:v>
      </x:c>
      <x:c r="F911" s="2" t="str">
        <x:v>Erişilemedi</x:v>
      </x:c>
      <x:c r="G911" t="str">
        <x:v>Gramaj + fiyat</x:v>
      </x:c>
      <x:c r="H911" t="str">
        <x:v>Instagram veya mevcut kaynak</x:v>
      </x:c>
      <x:c r="I911" s="28" t="str">
        <x:v>Erişilemedi</x:v>
      </x:c>
      <x:c r="J911" s="28" t="str">
        <x:v>Ürün adı, gramaj ve fiyat birlikte çıkarılamadı. Bağlantı manuel inceleme için korundu.</x:v>
      </x:c>
    </x:row>
    <x:row r="912">
      <x:c r="A912" t="str">
        <x:v>Sade'ce Kahve</x:v>
      </x:c>
      <x:c r="B912" t="str">
        <x:v>Katalog takip kaydı</x:v>
      </x:c>
      <x:c r="C912" t="str">
        <x:v>Ürün kataloğu — ayrıntılı ürün verisine erişilemedi</x:v>
      </x:c>
      <x:c r="D912" t="str">
        <x:v>Erişilemedi</x:v>
      </x:c>
      <x:c r="E912" s="1" t="str">
        <x:v>Erişilemedi</x:v>
      </x:c>
      <x:c r="F912" s="2" t="str">
        <x:v>Erişilemedi</x:v>
      </x:c>
      <x:c r="G912" t="str">
        <x:v>Gramaj + fiyat</x:v>
      </x:c>
      <x:c r="H912" t="str">
        <x:v>Instagram veya mevcut kaynak</x:v>
      </x:c>
      <x:c r="I912" s="28" t="str">
        <x:v>Erişilemedi</x:v>
      </x:c>
      <x:c r="J912" s="28" t="str">
        <x:v>Ürün adı, gramaj ve fiyat birlikte çıkarılamadı. Bağlantı manuel inceleme için korundu.</x:v>
      </x:c>
    </x:row>
    <x:row r="913">
      <x:c r="A913" t="str">
        <x:v>Sanal Baharat</x:v>
      </x:c>
      <x:c r="B913" t="str">
        <x:v>Ürün kaydı</x:v>
      </x:c>
      <x:c r="C913" t="str">
        <x:v>Aluminyum Valfli Zipli Kahve Torbası</x:v>
      </x:c>
      <x:c r="D913" t="str">
        <x:v>Menşe belirtilmemiş</x:v>
      </x:c>
      <x:c r="E913" s="1" t="str">
        <x:v>Erişilemedi</x:v>
      </x:c>
      <x:c r="F913" s="2" t="n">
        <x:v>131</x:v>
      </x:c>
      <x:c r="G913" t="str">
        <x:v>Gramaj</x:v>
      </x:c>
      <x:c r="H913" t="str">
        <x:v>Site haritası ürün sayfası</x:v>
      </x:c>
      <x:c r="I913" s="28" t="str">
        <x:v>https://www.sanalbaharat.com/urun/aluminyum-valfli-zipli-kahve-torbasi</x:v>
      </x:c>
      <x:c r="J913" s="28" t="str">
        <x:v>Ürün kimliği korundu; eksik alanlar erişilemedi olarak işaretlenecek.</x:v>
      </x:c>
    </x:row>
    <x:row r="914">
      <x:c r="A914" t="str">
        <x:v>Sanal Baharat</x:v>
      </x:c>
      <x:c r="B914" t="str">
        <x:v>Ürün kaydı</x:v>
      </x:c>
      <x:c r="C914" t="str">
        <x:v>Atom Çayı-Kış Çayı</x:v>
      </x:c>
      <x:c r="D914" t="str">
        <x:v>Menşe belirtilmemiş</x:v>
      </x:c>
      <x:c r="E914" s="1" t="str">
        <x:v>Erişilemedi</x:v>
      </x:c>
      <x:c r="F914" s="2" t="n">
        <x:v>131</x:v>
      </x:c>
      <x:c r="G914" t="str">
        <x:v>Gramaj</x:v>
      </x:c>
      <x:c r="H914" t="str">
        <x:v>Site haritası ürün sayfası</x:v>
      </x:c>
      <x:c r="I914" s="28" t="str">
        <x:v>https://www.sanalbaharat.com/urun/atom-cayi-kis-cayi</x:v>
      </x:c>
      <x:c r="J914" s="28" t="str">
        <x:v>Ürün kimliği korundu; eksik alanlar erişilemedi olarak işaretlenecek.</x:v>
      </x:c>
    </x:row>
    <x:row r="915">
      <x:c r="A915" t="str">
        <x:v>Sanal Baharat</x:v>
      </x:c>
      <x:c r="B915" t="str">
        <x:v>Ürün kaydı</x:v>
      </x:c>
      <x:c r="C915" t="str">
        <x:v>Atom Nane Limon Melisa Çayı</x:v>
      </x:c>
      <x:c r="D915" t="str">
        <x:v>Menşe belirtilmemiş</x:v>
      </x:c>
      <x:c r="E915" s="1" t="str">
        <x:v>Erişilemedi</x:v>
      </x:c>
      <x:c r="F915" s="2" t="n">
        <x:v>131</x:v>
      </x:c>
      <x:c r="G915" t="str">
        <x:v>Gramaj</x:v>
      </x:c>
      <x:c r="H915" t="str">
        <x:v>Site haritası ürün sayfası</x:v>
      </x:c>
      <x:c r="I915" s="28" t="str">
        <x:v>https://www.sanalbaharat.com/urun/atom-nane-limon-melisa-cayi</x:v>
      </x:c>
      <x:c r="J915" s="28" t="str">
        <x:v>Ürün kimliği korundu; eksik alanlar erişilemedi olarak işaretlenecek.</x:v>
      </x:c>
    </x:row>
    <x:row r="916">
      <x:c r="A916" t="str">
        <x:v>Sanal Baharat</x:v>
      </x:c>
      <x:c r="B916" t="str">
        <x:v>Ürün kaydı</x:v>
      </x:c>
      <x:c r="C916" t="str">
        <x:v>Blend Kahve Kavrulmuş -Harman</x:v>
      </x:c>
      <x:c r="D916" t="str">
        <x:v>Harman – menşe belirtilmemiş</x:v>
      </x:c>
      <x:c r="E916" s="1" t="str">
        <x:v>Erişilemedi</x:v>
      </x:c>
      <x:c r="F916" s="2" t="n">
        <x:v>131</x:v>
      </x:c>
      <x:c r="G916" t="str">
        <x:v>Gramaj</x:v>
      </x:c>
      <x:c r="H916" t="str">
        <x:v>Site haritası ürün sayfası</x:v>
      </x:c>
      <x:c r="I916" s="28" t="str">
        <x:v>https://www.sanalbaharat.com/urun/blend-harman</x:v>
      </x:c>
      <x:c r="J916" s="28" t="str">
        <x:v>Ürün kimliği korundu; eksik alanlar erişilemedi olarak işaretlenecek.</x:v>
      </x:c>
    </x:row>
    <x:row r="917">
      <x:c r="A917" t="str">
        <x:v>Sanal Baharat</x:v>
      </x:c>
      <x:c r="B917" t="str">
        <x:v>Ürün kaydı</x:v>
      </x:c>
      <x:c r="C917" t="str">
        <x:v>Colombia Supremo Kahve Kavrulmuş</x:v>
      </x:c>
      <x:c r="D917" t="str">
        <x:v>Kolombiya</x:v>
      </x:c>
      <x:c r="E917" s="1" t="str">
        <x:v>Erişilemedi</x:v>
      </x:c>
      <x:c r="F917" s="2" t="n">
        <x:v>131</x:v>
      </x:c>
      <x:c r="G917" t="str">
        <x:v>Gramaj</x:v>
      </x:c>
      <x:c r="H917" t="str">
        <x:v>Site haritası ürün sayfası</x:v>
      </x:c>
      <x:c r="I917" s="28" t="str">
        <x:v>https://www.sanalbaharat.com/urun/colombia-supremo-kahve-kavrulmus</x:v>
      </x:c>
      <x:c r="J917" s="28" t="str">
        <x:v>Ürün kimliği korundu; eksik alanlar erişilemedi olarak işaretlenecek.</x:v>
      </x:c>
    </x:row>
    <x:row r="918">
      <x:c r="A918" t="str">
        <x:v>Sanal Baharat</x:v>
      </x:c>
      <x:c r="B918" t="str">
        <x:v>Ürün kaydı</x:v>
      </x:c>
      <x:c r="C918" t="str">
        <x:v>Costa Rica Tarrazu</x:v>
      </x:c>
      <x:c r="D918" t="str">
        <x:v>Kosta Rika</x:v>
      </x:c>
      <x:c r="E918" s="1" t="str">
        <x:v>Erişilemedi</x:v>
      </x:c>
      <x:c r="F918" s="2" t="n">
        <x:v>131</x:v>
      </x:c>
      <x:c r="G918" t="str">
        <x:v>Gramaj</x:v>
      </x:c>
      <x:c r="H918" t="str">
        <x:v>Site haritası ürün sayfası</x:v>
      </x:c>
      <x:c r="I918" s="28" t="str">
        <x:v>https://www.sanalbaharat.com/urun/costa-rica-arabica-shb-ep</x:v>
      </x:c>
      <x:c r="J918" s="28" t="str">
        <x:v>Ürün kimliği korundu; eksik alanlar erişilemedi olarak işaretlenecek.</x:v>
      </x:c>
    </x:row>
    <x:row r="919">
      <x:c r="A919" t="str">
        <x:v>Sanal Baharat</x:v>
      </x:c>
      <x:c r="B919" t="str">
        <x:v>Ürün kaydı</x:v>
      </x:c>
      <x:c r="C919" t="str">
        <x:v>Decaf(Kafeinsiz) Colombia Kavrulmuş Kahve</x:v>
      </x:c>
      <x:c r="D919" t="str">
        <x:v>Kolombiya</x:v>
      </x:c>
      <x:c r="E919" s="1" t="str">
        <x:v>Erişilemedi</x:v>
      </x:c>
      <x:c r="F919" s="2" t="n">
        <x:v>0</x:v>
      </x:c>
      <x:c r="G919" t="str">
        <x:v>Gramaj + fiyat</x:v>
      </x:c>
      <x:c r="H919" t="str">
        <x:v>Site haritası ürün sayfası</x:v>
      </x:c>
      <x:c r="I919" s="28" t="str">
        <x:v>https://www.sanalbaharat.com/urun/decaff-colombia-supremo-kavrulmus-kahve</x:v>
      </x:c>
      <x:c r="J919" s="28" t="str">
        <x:v>Ürün kimliği korundu; eksik alanlar erişilemedi olarak işaretlenecek.</x:v>
      </x:c>
    </x:row>
    <x:row r="920">
      <x:c r="A920" t="str">
        <x:v>Sanal Baharat</x:v>
      </x:c>
      <x:c r="B920" t="str">
        <x:v>Ürün kaydı</x:v>
      </x:c>
      <x:c r="C920" t="str">
        <x:v>Etiyopya Sidamo Gr2 Kavrulmuş Kahve</x:v>
      </x:c>
      <x:c r="D920" t="str">
        <x:v>Etiyopya</x:v>
      </x:c>
      <x:c r="E920" s="1" t="str">
        <x:v>Erişilemedi</x:v>
      </x:c>
      <x:c r="F920" s="2" t="n">
        <x:v>131</x:v>
      </x:c>
      <x:c r="G920" t="str">
        <x:v>Gramaj</x:v>
      </x:c>
      <x:c r="H920" t="str">
        <x:v>Site haritası ürün sayfası</x:v>
      </x:c>
      <x:c r="I920" s="28" t="str">
        <x:v>https://www.sanalbaharat.com/urun/etiyopya-sidamo-gr2-kavrulmus-kahve</x:v>
      </x:c>
      <x:c r="J920" s="28" t="str">
        <x:v>Ürün kimliği korundu; eksik alanlar erişilemedi olarak işaretlenecek.</x:v>
      </x:c>
    </x:row>
    <x:row r="921">
      <x:c r="A921" t="str">
        <x:v>Sanal Baharat</x:v>
      </x:c>
      <x:c r="B921" t="str">
        <x:v>Ürün kaydı</x:v>
      </x:c>
      <x:c r="C921" t="str">
        <x:v>Etiyopya Sidamo Gr4 Kavrulmuş Kahve</x:v>
      </x:c>
      <x:c r="D921" t="str">
        <x:v>Etiyopya</x:v>
      </x:c>
      <x:c r="E921" s="1" t="str">
        <x:v>Erişilemedi</x:v>
      </x:c>
      <x:c r="F921" s="2" t="n">
        <x:v>131</x:v>
      </x:c>
      <x:c r="G921" t="str">
        <x:v>Gramaj</x:v>
      </x:c>
      <x:c r="H921" t="str">
        <x:v>Site haritası ürün sayfası</x:v>
      </x:c>
      <x:c r="I921" s="28" t="str">
        <x:v>https://www.sanalbaharat.com/urun/etiyopya-sidamo-gr4-kavrulmus-kahve</x:v>
      </x:c>
      <x:c r="J921" s="28" t="str">
        <x:v>Ürün kimliği korundu; eksik alanlar erişilemedi olarak işaretlenecek.</x:v>
      </x:c>
    </x:row>
    <x:row r="922">
      <x:c r="A922" t="str">
        <x:v>Sanal Baharat</x:v>
      </x:c>
      <x:c r="B922" t="str">
        <x:v>Ürün kaydı</x:v>
      </x:c>
      <x:c r="C922" t="str">
        <x:v>Etiyopya Yirgacheffe Gr2 Kavr. Kahve</x:v>
      </x:c>
      <x:c r="D922" t="str">
        <x:v>Etiyopya</x:v>
      </x:c>
      <x:c r="E922" s="1" t="str">
        <x:v>Erişilemedi</x:v>
      </x:c>
      <x:c r="F922" s="2" t="n">
        <x:v>131</x:v>
      </x:c>
      <x:c r="G922" t="str">
        <x:v>Gramaj</x:v>
      </x:c>
      <x:c r="H922" t="str">
        <x:v>Site haritası ürün sayfası</x:v>
      </x:c>
      <x:c r="I922" s="28" t="str">
        <x:v>https://www.sanalbaharat.com/urun/etiyopya-yirgacheffe-gr1-kavr-kahve</x:v>
      </x:c>
      <x:c r="J922" s="28" t="str">
        <x:v>Ürün kimliği korundu; eksik alanlar erişilemedi olarak işaretlenecek.</x:v>
      </x:c>
    </x:row>
    <x:row r="923">
      <x:c r="A923" t="str">
        <x:v>Sanal Baharat</x:v>
      </x:c>
      <x:c r="B923" t="str">
        <x:v>Ürün kaydı</x:v>
      </x:c>
      <x:c r="C923" t="str">
        <x:v>Guatemala Arabica</x:v>
      </x:c>
      <x:c r="D923" t="str">
        <x:v>Guatemala</x:v>
      </x:c>
      <x:c r="E923" s="1" t="str">
        <x:v>Erişilemedi</x:v>
      </x:c>
      <x:c r="F923" s="2" t="n">
        <x:v>131</x:v>
      </x:c>
      <x:c r="G923" t="str">
        <x:v>Gramaj</x:v>
      </x:c>
      <x:c r="H923" t="str">
        <x:v>Site haritası ürün sayfası</x:v>
      </x:c>
      <x:c r="I923" s="28" t="str">
        <x:v>https://www.sanalbaharat.com/urun/guatemala-arabica-1kg</x:v>
      </x:c>
      <x:c r="J923" s="28" t="str">
        <x:v>Ürün kimliği korundu; eksik alanlar erişilemedi olarak işaretlenecek.</x:v>
      </x:c>
    </x:row>
    <x:row r="924">
      <x:c r="A924" t="str">
        <x:v>Sanal Baharat</x:v>
      </x:c>
      <x:c r="B924" t="str">
        <x:v>Ürün kaydı</x:v>
      </x:c>
      <x:c r="C924" t="str">
        <x:v>Kahve Çekirdek Gurme Blend</x:v>
      </x:c>
      <x:c r="D924" t="str">
        <x:v>Harman – menşe belirtilmemiş</x:v>
      </x:c>
      <x:c r="E924" s="1" t="str">
        <x:v>Erişilemedi</x:v>
      </x:c>
      <x:c r="F924" s="2" t="n">
        <x:v>131</x:v>
      </x:c>
      <x:c r="G924" t="str">
        <x:v>Gramaj</x:v>
      </x:c>
      <x:c r="H924" t="str">
        <x:v>Site haritası ürün sayfası</x:v>
      </x:c>
      <x:c r="I924" s="28" t="str">
        <x:v>https://www.sanalbaharat.com/urun/kahve-cekirdek-gurme-blend</x:v>
      </x:c>
      <x:c r="J924" s="28" t="str">
        <x:v>Ürün kimliği korundu; eksik alanlar erişilemedi olarak işaretlenecek.</x:v>
      </x:c>
    </x:row>
    <x:row r="925">
      <x:c r="A925" t="str">
        <x:v>Sanal Baharat</x:v>
      </x:c>
      <x:c r="B925" t="str">
        <x:v>Ürün kaydı</x:v>
      </x:c>
      <x:c r="C925" t="str">
        <x:v>Kahve Etiyopya Djimmah Kavrulmuş Kahve</x:v>
      </x:c>
      <x:c r="D925" t="str">
        <x:v>Etiyopya</x:v>
      </x:c>
      <x:c r="E925" s="1" t="str">
        <x:v>Erişilemedi</x:v>
      </x:c>
      <x:c r="F925" s="2" t="n">
        <x:v>131</x:v>
      </x:c>
      <x:c r="G925" t="str">
        <x:v>Gramaj</x:v>
      </x:c>
      <x:c r="H925" t="str">
        <x:v>Site haritası ürün sayfası</x:v>
      </x:c>
      <x:c r="I925" s="28" t="str">
        <x:v>https://www.sanalbaharat.com/urun/kahve-etiyopya-djimmah</x:v>
      </x:c>
      <x:c r="J925" s="28" t="str">
        <x:v>Ürün kimliği korundu; eksik alanlar erişilemedi olarak işaretlenecek.</x:v>
      </x:c>
    </x:row>
    <x:row r="926">
      <x:c r="A926" t="str">
        <x:v>Sanal Baharat</x:v>
      </x:c>
      <x:c r="B926" t="str">
        <x:v>Ürün kaydı</x:v>
      </x:c>
      <x:c r="C926" t="str">
        <x:v>Kakule 1 Kg</x:v>
      </x:c>
      <x:c r="D926" t="str">
        <x:v>Menşe belirtilmemiş</x:v>
      </x:c>
      <x:c r="E926" s="1" t="n">
        <x:v>1000</x:v>
      </x:c>
      <x:c r="F926" s="2" t="n">
        <x:v>0</x:v>
      </x:c>
      <x:c r="G926" t="str">
        <x:v>Fiyat</x:v>
      </x:c>
      <x:c r="H926" t="str">
        <x:v>Site haritası ürün sayfası</x:v>
      </x:c>
      <x:c r="I926" s="28" t="str">
        <x:v>https://www.sanalbaharat.com/urun/kakule-1-kg</x:v>
      </x:c>
      <x:c r="J926" s="28" t="str">
        <x:v>Ürün kimliği korundu; eksik alanlar erişilemedi olarak işaretlenecek.</x:v>
      </x:c>
    </x:row>
    <x:row r="927">
      <x:c r="A927" t="str">
        <x:v>Sanal Baharat</x:v>
      </x:c>
      <x:c r="B927" t="str">
        <x:v>Ürün kaydı</x:v>
      </x:c>
      <x:c r="C927" t="str">
        <x:v>Karabiber Toz 1 Kg</x:v>
      </x:c>
      <x:c r="D927" t="str">
        <x:v>Menşe belirtilmemiş</x:v>
      </x:c>
      <x:c r="E927" s="1" t="n">
        <x:v>1000</x:v>
      </x:c>
      <x:c r="F927" s="2" t="n">
        <x:v>0</x:v>
      </x:c>
      <x:c r="G927" t="str">
        <x:v>Fiyat</x:v>
      </x:c>
      <x:c r="H927" t="str">
        <x:v>Site haritası ürün sayfası</x:v>
      </x:c>
      <x:c r="I927" s="28" t="str">
        <x:v>https://www.sanalbaharat.com/urun/karabiber-toz-1-kg</x:v>
      </x:c>
      <x:c r="J927" s="28" t="str">
        <x:v>Ürün kimliği korundu; eksik alanlar erişilemedi olarak işaretlenecek.</x:v>
      </x:c>
    </x:row>
    <x:row r="928">
      <x:c r="A928" t="str">
        <x:v>Sanal Baharat</x:v>
      </x:c>
      <x:c r="B928" t="str">
        <x:v>Ürün kaydı</x:v>
      </x:c>
      <x:c r="C928" t="str">
        <x:v>Karanfil 1 Kg</x:v>
      </x:c>
      <x:c r="D928" t="str">
        <x:v>Menşe belirtilmemiş</x:v>
      </x:c>
      <x:c r="E928" s="1" t="n">
        <x:v>1000</x:v>
      </x:c>
      <x:c r="F928" s="2" t="n">
        <x:v>0</x:v>
      </x:c>
      <x:c r="G928" t="str">
        <x:v>Fiyat</x:v>
      </x:c>
      <x:c r="H928" t="str">
        <x:v>Site haritası ürün sayfası</x:v>
      </x:c>
      <x:c r="I928" s="28" t="str">
        <x:v>https://www.sanalbaharat.com/urun/karanfil-1-kg</x:v>
      </x:c>
      <x:c r="J928" s="28" t="str">
        <x:v>Ürün kimliği korundu; eksik alanlar erişilemedi olarak işaretlenecek.</x:v>
      </x:c>
    </x:row>
    <x:row r="929">
      <x:c r="A929" t="str">
        <x:v>Sanal Baharat</x:v>
      </x:c>
      <x:c r="B929" t="str">
        <x:v>Ürün kaydı</x:v>
      </x:c>
      <x:c r="C929" t="str">
        <x:v>Kavrulmuş Karabuğday (Greçka) 1 KG</x:v>
      </x:c>
      <x:c r="D929" t="str">
        <x:v>Menşe belirtilmemiş</x:v>
      </x:c>
      <x:c r="E929" s="1" t="n">
        <x:v>1000</x:v>
      </x:c>
      <x:c r="F929" s="2" t="n">
        <x:v>0</x:v>
      </x:c>
      <x:c r="G929" t="str">
        <x:v>Fiyat</x:v>
      </x:c>
      <x:c r="H929" t="str">
        <x:v>Site haritası ürün sayfası</x:v>
      </x:c>
      <x:c r="I929" s="28" t="str">
        <x:v>https://www.sanalbaharat.com/urun/karabugday-grecka</x:v>
      </x:c>
      <x:c r="J929" s="28" t="str">
        <x:v>Ürün kimliği korundu; eksik alanlar erişilemedi olarak işaretlenecek.</x:v>
      </x:c>
    </x:row>
    <x:row r="930">
      <x:c r="A930" t="str">
        <x:v>Sanal Baharat</x:v>
      </x:c>
      <x:c r="B930" t="str">
        <x:v>Ürün kaydı</x:v>
      </x:c>
      <x:c r="C930" t="str">
        <x:v>Kaynar Çayı</x:v>
      </x:c>
      <x:c r="D930" t="str">
        <x:v>Menşe belirtilmemiş</x:v>
      </x:c>
      <x:c r="E930" s="1" t="str">
        <x:v>Erişilemedi</x:v>
      </x:c>
      <x:c r="F930" s="2" t="n">
        <x:v>131</x:v>
      </x:c>
      <x:c r="G930" t="str">
        <x:v>Gramaj</x:v>
      </x:c>
      <x:c r="H930" t="str">
        <x:v>Site haritası ürün sayfası</x:v>
      </x:c>
      <x:c r="I930" s="28" t="str">
        <x:v>https://www.sanalbaharat.com/urun/kaynar-cayi</x:v>
      </x:c>
      <x:c r="J930" s="28" t="str">
        <x:v>Ürün kimliği korundu; eksik alanlar erişilemedi olarak işaretlenecek.</x:v>
      </x:c>
    </x:row>
    <x:row r="931">
      <x:c r="A931" t="str">
        <x:v>Sanal Baharat</x:v>
      </x:c>
      <x:c r="B931" t="str">
        <x:v>Ürün kaydı</x:v>
      </x:c>
      <x:c r="C931" t="str">
        <x:v>Kenya Arabica AA TOP AROMA Kavrulmuş Kahve</x:v>
      </x:c>
      <x:c r="D931" t="str">
        <x:v>Kenya</x:v>
      </x:c>
      <x:c r="E931" s="1" t="str">
        <x:v>Erişilemedi</x:v>
      </x:c>
      <x:c r="F931" s="2" t="n">
        <x:v>0</x:v>
      </x:c>
      <x:c r="G931" t="str">
        <x:v>Gramaj + fiyat</x:v>
      </x:c>
      <x:c r="H931" t="str">
        <x:v>Site haritası ürün sayfası</x:v>
      </x:c>
      <x:c r="I931" s="28" t="str">
        <x:v>https://www.sanalbaharat.com/urun/kahve-kenya-arabica-aa-plus</x:v>
      </x:c>
      <x:c r="J931" s="28" t="str">
        <x:v>Ürün kimliği korundu; eksik alanlar erişilemedi olarak işaretlenecek.</x:v>
      </x:c>
    </x:row>
    <x:row r="932">
      <x:c r="A932" t="str">
        <x:v>Sanal Baharat</x:v>
      </x:c>
      <x:c r="B932" t="str">
        <x:v>Ürün kaydı</x:v>
      </x:c>
      <x:c r="C932" t="str">
        <x:v>Kenya Natural Kavrulmuş Kahve</x:v>
      </x:c>
      <x:c r="D932" t="str">
        <x:v>Kenya</x:v>
      </x:c>
      <x:c r="E932" s="1" t="str">
        <x:v>Erişilemedi</x:v>
      </x:c>
      <x:c r="F932" s="2" t="n">
        <x:v>131</x:v>
      </x:c>
      <x:c r="G932" t="str">
        <x:v>Gramaj</x:v>
      </x:c>
      <x:c r="H932" t="str">
        <x:v>Site haritası ürün sayfası</x:v>
      </x:c>
      <x:c r="I932" s="28" t="str">
        <x:v>https://www.sanalbaharat.com/urun/kenya-natural-kavrulmus-kahve</x:v>
      </x:c>
      <x:c r="J932" s="28" t="str">
        <x:v>Ürün kimliği korundu; eksik alanlar erişilemedi olarak işaretlenecek.</x:v>
      </x:c>
    </x:row>
    <x:row r="933">
      <x:c r="A933" t="str">
        <x:v>Sanal Baharat</x:v>
      </x:c>
      <x:c r="B933" t="str">
        <x:v>Ürün kaydı</x:v>
      </x:c>
      <x:c r="C933" t="str">
        <x:v>Kırmızı Gingseng Çayı</x:v>
      </x:c>
      <x:c r="D933" t="str">
        <x:v>Menşe belirtilmemiş</x:v>
      </x:c>
      <x:c r="E933" s="1" t="str">
        <x:v>Erişilemedi</x:v>
      </x:c>
      <x:c r="F933" s="2" t="n">
        <x:v>131</x:v>
      </x:c>
      <x:c r="G933" t="str">
        <x:v>Gramaj</x:v>
      </x:c>
      <x:c r="H933" t="str">
        <x:v>Site haritası ürün sayfası</x:v>
      </x:c>
      <x:c r="I933" s="28" t="str">
        <x:v>https://www.sanalbaharat.com/urun/kirmizi-gingseng-cayi</x:v>
      </x:c>
      <x:c r="J933" s="28" t="str">
        <x:v>Ürün kimliği korundu; eksik alanlar erişilemedi olarak işaretlenecek.</x:v>
      </x:c>
    </x:row>
    <x:row r="934">
      <x:c r="A934" t="str">
        <x:v>Sanal Baharat</x:v>
      </x:c>
      <x:c r="B934" t="str">
        <x:v>Ürün kaydı</x:v>
      </x:c>
      <x:c r="C934" t="str">
        <x:v>Kuru Kahve - Arabica (Türk Kahvesi)</x:v>
      </x:c>
      <x:c r="D934" t="str">
        <x:v>Menşe belirtilmemiş</x:v>
      </x:c>
      <x:c r="E934" s="1" t="str">
        <x:v>Erişilemedi</x:v>
      </x:c>
      <x:c r="F934" s="2" t="n">
        <x:v>131</x:v>
      </x:c>
      <x:c r="G934" t="str">
        <x:v>Gramaj</x:v>
      </x:c>
      <x:c r="H934" t="str">
        <x:v>Site haritası ürün sayfası</x:v>
      </x:c>
      <x:c r="I934" s="28" t="str">
        <x:v>https://www.sanalbaharat.com/urun/kuru-kahve-ogutulmus-arabica-turk-kahvesi</x:v>
      </x:c>
      <x:c r="J934" s="28" t="str">
        <x:v>Ürün kimliği korundu; eksik alanlar erişilemedi olarak işaretlenecek.</x:v>
      </x:c>
    </x:row>
    <x:row r="935">
      <x:c r="A935" t="str">
        <x:v>Sanal Baharat</x:v>
      </x:c>
      <x:c r="B935" t="str">
        <x:v>Ürün kaydı</x:v>
      </x:c>
      <x:c r="C935" t="str">
        <x:v>Mexico SHG Ep Arabica</x:v>
      </x:c>
      <x:c r="D935" t="str">
        <x:v>Meksika</x:v>
      </x:c>
      <x:c r="E935" s="1" t="str">
        <x:v>Erişilemedi</x:v>
      </x:c>
      <x:c r="F935" s="2" t="n">
        <x:v>131</x:v>
      </x:c>
      <x:c r="G935" t="str">
        <x:v>Gramaj</x:v>
      </x:c>
      <x:c r="H935" t="str">
        <x:v>Site haritası ürün sayfası</x:v>
      </x:c>
      <x:c r="I935" s="28" t="str">
        <x:v>https://www.sanalbaharat.com/urun/mexico-arabica</x:v>
      </x:c>
      <x:c r="J935" s="28" t="str">
        <x:v>Ürün kimliği korundu; eksik alanlar erişilemedi olarak işaretlenecek.</x:v>
      </x:c>
    </x:row>
    <x:row r="936">
      <x:c r="A936" t="str">
        <x:v>Sanal Baharat</x:v>
      </x:c>
      <x:c r="B936" t="str">
        <x:v>Ürün kaydı</x:v>
      </x:c>
      <x:c r="C936" t="str">
        <x:v>Nicaragua SHB EP AAA Arabica Kavrulmuş Kahve</x:v>
      </x:c>
      <x:c r="D936" t="str">
        <x:v>Nikaragua</x:v>
      </x:c>
      <x:c r="E936" s="1" t="str">
        <x:v>Erişilemedi</x:v>
      </x:c>
      <x:c r="F936" s="2" t="n">
        <x:v>0</x:v>
      </x:c>
      <x:c r="G936" t="str">
        <x:v>Gramaj + fiyat</x:v>
      </x:c>
      <x:c r="H936" t="str">
        <x:v>Site haritası ürün sayfası</x:v>
      </x:c>
      <x:c r="I936" s="28" t="str">
        <x:v>https://www.sanalbaharat.com/urun/nicaragua-shb-ep-arabica</x:v>
      </x:c>
      <x:c r="J936" s="28" t="str">
        <x:v>Ürün kimliği korundu; eksik alanlar erişilemedi olarak işaretlenecek.</x:v>
      </x:c>
    </x:row>
    <x:row r="937">
      <x:c r="A937" t="str">
        <x:v>Sanal Baharat</x:v>
      </x:c>
      <x:c r="B937" t="str">
        <x:v>Ürün kaydı</x:v>
      </x:c>
      <x:c r="C937" t="str">
        <x:v>Nohut Unu 1 Kg</x:v>
      </x:c>
      <x:c r="D937" t="str">
        <x:v>Menşe belirtilmemiş</x:v>
      </x:c>
      <x:c r="E937" s="1" t="n">
        <x:v>1000</x:v>
      </x:c>
      <x:c r="F937" s="2" t="n">
        <x:v>0</x:v>
      </x:c>
      <x:c r="G937" t="str">
        <x:v>Fiyat</x:v>
      </x:c>
      <x:c r="H937" t="str">
        <x:v>Site haritası ürün sayfası</x:v>
      </x:c>
      <x:c r="I937" s="28" t="str">
        <x:v>https://www.sanalbaharat.com/urun/nohut-unu-1-kg</x:v>
      </x:c>
      <x:c r="J937" s="28" t="str">
        <x:v>Ürün kimliği korundu; eksik alanlar erişilemedi olarak işaretlenecek.</x:v>
      </x:c>
    </x:row>
    <x:row r="938">
      <x:c r="A938" t="str">
        <x:v>Sanal Baharat</x:v>
      </x:c>
      <x:c r="B938" t="str">
        <x:v>Ürün kaydı</x:v>
      </x:c>
      <x:c r="C938" t="str">
        <x:v>Phin Filtre</x:v>
      </x:c>
      <x:c r="D938" t="str">
        <x:v>Menşe belirtilmemiş</x:v>
      </x:c>
      <x:c r="E938" s="1" t="str">
        <x:v>Erişilemedi</x:v>
      </x:c>
      <x:c r="F938" s="2" t="n">
        <x:v>131</x:v>
      </x:c>
      <x:c r="G938" t="str">
        <x:v>Gramaj</x:v>
      </x:c>
      <x:c r="H938" t="str">
        <x:v>Site haritası ürün sayfası</x:v>
      </x:c>
      <x:c r="I938" s="28" t="str">
        <x:v>https://www.sanalbaharat.com/urun/phin-filtre</x:v>
      </x:c>
      <x:c r="J938" s="28" t="str">
        <x:v>Ürün kimliği korundu; eksik alanlar erişilemedi olarak işaretlenecek.</x:v>
      </x:c>
    </x:row>
    <x:row r="939">
      <x:c r="A939" t="str">
        <x:v>Sanal Baharat</x:v>
      </x:c>
      <x:c r="B939" t="str">
        <x:v>Ürün kaydı</x:v>
      </x:c>
      <x:c r="C939" t="str">
        <x:v>Robusta Kahve Kavrulmuş</x:v>
      </x:c>
      <x:c r="D939" t="str">
        <x:v>Menşe belirtilmemiş</x:v>
      </x:c>
      <x:c r="E939" s="1" t="str">
        <x:v>Erişilemedi</x:v>
      </x:c>
      <x:c r="F939" s="2" t="n">
        <x:v>131</x:v>
      </x:c>
      <x:c r="G939" t="str">
        <x:v>Gramaj</x:v>
      </x:c>
      <x:c r="H939" t="str">
        <x:v>Site haritası ürün sayfası</x:v>
      </x:c>
      <x:c r="I939" s="28" t="str">
        <x:v>https://www.sanalbaharat.com/urun/robusta-kahve-kavrulmus</x:v>
      </x:c>
      <x:c r="J939" s="28" t="str">
        <x:v>Ürün kimliği korundu; eksik alanlar erişilemedi olarak işaretlenecek.</x:v>
      </x:c>
    </x:row>
    <x:row r="940">
      <x:c r="A940" t="str">
        <x:v>Sanal Baharat</x:v>
      </x:c>
      <x:c r="B940" t="str">
        <x:v>Ürün kaydı</x:v>
      </x:c>
      <x:c r="C940" t="str">
        <x:v>Sumatra Gayo Gr1 Kahve Kavrulmuş</x:v>
      </x:c>
      <x:c r="D940" t="str">
        <x:v>Endonezya</x:v>
      </x:c>
      <x:c r="E940" s="1" t="str">
        <x:v>Erişilemedi</x:v>
      </x:c>
      <x:c r="F940" s="2" t="n">
        <x:v>131</x:v>
      </x:c>
      <x:c r="G940" t="str">
        <x:v>Gramaj</x:v>
      </x:c>
      <x:c r="H940" t="str">
        <x:v>Site haritası ürün sayfası</x:v>
      </x:c>
      <x:c r="I940" s="28" t="str">
        <x:v>https://www.sanalbaharat.com/urun/sumatra-mandheling-kahve-cekirdegi-kavrulmus</x:v>
      </x:c>
      <x:c r="J940" s="28" t="str">
        <x:v>Ürün kimliği korundu; eksik alanlar erişilemedi olarak işaretlenecek.</x:v>
      </x:c>
    </x:row>
    <x:row r="941">
      <x:c r="A941" t="str">
        <x:v>Sanal Baharat</x:v>
      </x:c>
      <x:c r="B941" t="str">
        <x:v>Ürün kaydı</x:v>
      </x:c>
      <x:c r="C941" t="str">
        <x:v>Tanzania Arabica AA Washed Kavrulmuş kahve</x:v>
      </x:c>
      <x:c r="D941" t="str">
        <x:v>Tanzanya</x:v>
      </x:c>
      <x:c r="E941" s="1" t="str">
        <x:v>Erişilemedi</x:v>
      </x:c>
      <x:c r="F941" s="2" t="n">
        <x:v>131</x:v>
      </x:c>
      <x:c r="G941" t="str">
        <x:v>Gramaj</x:v>
      </x:c>
      <x:c r="H941" t="str">
        <x:v>Site haritası ürün sayfası</x:v>
      </x:c>
      <x:c r="I941" s="28" t="str">
        <x:v>https://www.sanalbaharat.com/urun/kahve-tanzania-arabica-aa</x:v>
      </x:c>
      <x:c r="J941" s="28" t="str">
        <x:v>Ürün kimliği korundu; eksik alanlar erişilemedi olarak işaretlenecek.</x:v>
      </x:c>
    </x:row>
    <x:row r="942">
      <x:c r="A942" t="str">
        <x:v>Sanal Baharat</x:v>
      </x:c>
      <x:c r="B942" t="str">
        <x:v>Ürün kaydı</x:v>
      </x:c>
      <x:c r="C942" t="str">
        <x:v>Tarçın Parmak (Kesik)</x:v>
      </x:c>
      <x:c r="D942" t="str">
        <x:v>Menşe belirtilmemiş</x:v>
      </x:c>
      <x:c r="E942" s="1" t="str">
        <x:v>Erişilemedi</x:v>
      </x:c>
      <x:c r="F942" s="2" t="n">
        <x:v>131</x:v>
      </x:c>
      <x:c r="G942" t="str">
        <x:v>Gramaj</x:v>
      </x:c>
      <x:c r="H942" t="str">
        <x:v>Site haritası ürün sayfası</x:v>
      </x:c>
      <x:c r="I942" s="28" t="str">
        <x:v>https://www.sanalbaharat.com/urun/tarcin-parmak-kesik</x:v>
      </x:c>
      <x:c r="J942" s="28" t="str">
        <x:v>Ürün kimliği korundu; eksik alanlar erişilemedi olarak işaretlenecek.</x:v>
      </x:c>
    </x:row>
    <x:row r="943">
      <x:c r="A943" t="str">
        <x:v>Sanal Baharat</x:v>
      </x:c>
      <x:c r="B943" t="str">
        <x:v>Ürün kaydı</x:v>
      </x:c>
      <x:c r="C943" t="str">
        <x:v>Tarçın Toz 1 Kg</x:v>
      </x:c>
      <x:c r="D943" t="str">
        <x:v>Menşe belirtilmemiş</x:v>
      </x:c>
      <x:c r="E943" s="1" t="n">
        <x:v>1000</x:v>
      </x:c>
      <x:c r="F943" s="2" t="n">
        <x:v>0</x:v>
      </x:c>
      <x:c r="G943" t="str">
        <x:v>Fiyat</x:v>
      </x:c>
      <x:c r="H943" t="str">
        <x:v>Site haritası ürün sayfası</x:v>
      </x:c>
      <x:c r="I943" s="28" t="str">
        <x:v>https://www.sanalbaharat.com/urun/tarcin-toz-1-kg</x:v>
      </x:c>
      <x:c r="J943" s="28" t="str">
        <x:v>Ürün kimliği korundu; eksik alanlar erişilemedi olarak işaretlenecek.</x:v>
      </x:c>
    </x:row>
    <x:row r="944">
      <x:c r="A944" t="str">
        <x:v>Sanal Baharat</x:v>
      </x:c>
      <x:c r="B944" t="str">
        <x:v>Ürün kaydı</x:v>
      </x:c>
      <x:c r="C944" t="str">
        <x:v>Zencefil Toz 1 kg</x:v>
      </x:c>
      <x:c r="D944" t="str">
        <x:v>Menşe belirtilmemiş</x:v>
      </x:c>
      <x:c r="E944" s="1" t="n">
        <x:v>1000</x:v>
      </x:c>
      <x:c r="F944" s="2" t="n">
        <x:v>0</x:v>
      </x:c>
      <x:c r="G944" t="str">
        <x:v>Fiyat</x:v>
      </x:c>
      <x:c r="H944" t="str">
        <x:v>Site haritası ürün sayfası</x:v>
      </x:c>
      <x:c r="I944" s="28" t="str">
        <x:v>https://www.sanalbaharat.com/urun/zencefil-toz-1-kg</x:v>
      </x:c>
      <x:c r="J944" s="28" t="str">
        <x:v>Ürün kimliği korundu; eksik alanlar erişilemedi olarak işaretlenecek.</x:v>
      </x:c>
    </x:row>
    <x:row r="945">
      <x:c r="A945" t="str">
        <x:v>Sanal Baharat</x:v>
      </x:c>
      <x:c r="B945" t="str">
        <x:v>Ürün kaydı</x:v>
      </x:c>
      <x:c r="C945" t="str">
        <x:v>Zerdeçal (TANE) 1 Kg</x:v>
      </x:c>
      <x:c r="D945" t="str">
        <x:v>Menşe belirtilmemiş</x:v>
      </x:c>
      <x:c r="E945" s="1" t="n">
        <x:v>1000</x:v>
      </x:c>
      <x:c r="F945" s="2" t="n">
        <x:v>0</x:v>
      </x:c>
      <x:c r="G945" t="str">
        <x:v>Fiyat</x:v>
      </x:c>
      <x:c r="H945" t="str">
        <x:v>Site haritası ürün sayfası</x:v>
      </x:c>
      <x:c r="I945" s="28" t="str">
        <x:v>https://www.sanalbaharat.com/urun/zerdecal-1-kg</x:v>
      </x:c>
      <x:c r="J945" s="28" t="str">
        <x:v>Ürün kimliği korundu; eksik alanlar erişilemedi olarak işaretlenecek.</x:v>
      </x:c>
    </x:row>
    <x:row r="946">
      <x:c r="A946" t="str">
        <x:v>Sanal Baharat</x:v>
      </x:c>
      <x:c r="B946" t="str">
        <x:v>Ürün kaydı</x:v>
      </x:c>
      <x:c r="C946" t="str">
        <x:v>Zeytinyağlı Defne Sabunu 4'lÜ</x:v>
      </x:c>
      <x:c r="D946" t="str">
        <x:v>Menşe belirtilmemiş</x:v>
      </x:c>
      <x:c r="E946" s="1" t="str">
        <x:v>Erişilemedi</x:v>
      </x:c>
      <x:c r="F946" s="2" t="n">
        <x:v>131</x:v>
      </x:c>
      <x:c r="G946" t="str">
        <x:v>Gramaj</x:v>
      </x:c>
      <x:c r="H946" t="str">
        <x:v>Site haritası ürün sayfası</x:v>
      </x:c>
      <x:c r="I946" s="28" t="str">
        <x:v>https://www.sanalbaharat.com/urun/zeytinyagli-defne-sabunu-4-lu</x:v>
      </x:c>
      <x:c r="J946" s="28" t="str">
        <x:v>Ürün kimliği korundu; eksik alanlar erişilemedi olarak işaretlenecek.</x:v>
      </x:c>
    </x:row>
    <x:row r="947">
      <x:c r="A947" t="str">
        <x:v>Schiller Kaffeerösterei</x:v>
      </x:c>
      <x:c r="B947" t="str">
        <x:v>Katalog takip kaydı</x:v>
      </x:c>
      <x:c r="C947" t="str">
        <x:v>Ürün kataloğu — ayrıntılı ürün verisine erişilemedi</x:v>
      </x:c>
      <x:c r="D947" t="str">
        <x:v>Erişilemedi</x:v>
      </x:c>
      <x:c r="E947" s="1" t="str">
        <x:v>Erişilemedi</x:v>
      </x:c>
      <x:c r="F947" s="2" t="str">
        <x:v>Erişilemedi</x:v>
      </x:c>
      <x:c r="G947" t="str">
        <x:v>Gramaj + fiyat</x:v>
      </x:c>
      <x:c r="H947" t="str">
        <x:v>Instagram veya mevcut kaynak</x:v>
      </x:c>
      <x:c r="I947" s="28" t="str">
        <x:v>Erişilemedi</x:v>
      </x:c>
      <x:c r="J947" s="28" t="str">
        <x:v>Ürün adı, gramaj ve fiyat birlikte çıkarılamadı. Bağlantı manuel inceleme için korundu.</x:v>
      </x:c>
    </x:row>
    <x:row r="948">
      <x:c r="A948" t="str">
        <x:v>Sedirkent Coffee</x:v>
      </x:c>
      <x:c r="B948" t="str">
        <x:v>Katalog takip kaydı</x:v>
      </x:c>
      <x:c r="C948" t="str">
        <x:v>Ürün kataloğu — ayrıntılı ürün verisine erişilemedi</x:v>
      </x:c>
      <x:c r="D948" t="str">
        <x:v>Erişilemedi</x:v>
      </x:c>
      <x:c r="E948" s="1" t="str">
        <x:v>Erişilemedi</x:v>
      </x:c>
      <x:c r="F948" s="2" t="str">
        <x:v>Erişilemedi</x:v>
      </x:c>
      <x:c r="G948" t="str">
        <x:v>Gramaj + fiyat</x:v>
      </x:c>
      <x:c r="H948" t="str">
        <x:v>Mağaza/katalog bağlantısı</x:v>
      </x:c>
      <x:c r="I948" s="28" t="str">
        <x:v>https://www.sedirkent.com.tr/</x:v>
      </x:c>
      <x:c r="J948" s="28" t="str">
        <x:v>Ürün adı, gramaj ve fiyat birlikte çıkarılamadı. Bağlantı manuel inceleme için korundu.</x:v>
      </x:c>
    </x:row>
    <x:row r="949">
      <x:c r="A949" t="str">
        <x:v>Selamlique İstanbul</x:v>
      </x:c>
      <x:c r="B949" t="str">
        <x:v>Katalog takip kaydı</x:v>
      </x:c>
      <x:c r="C949" t="str">
        <x:v>Ürün kataloğu — ayrıntılı ürün verisine erişilemedi</x:v>
      </x:c>
      <x:c r="D949" t="str">
        <x:v>Erişilemedi</x:v>
      </x:c>
      <x:c r="E949" s="1" t="str">
        <x:v>Erişilemedi</x:v>
      </x:c>
      <x:c r="F949" s="2" t="str">
        <x:v>Erişilemedi</x:v>
      </x:c>
      <x:c r="G949" t="str">
        <x:v>Gramaj + fiyat</x:v>
      </x:c>
      <x:c r="H949" t="str">
        <x:v>Instagram veya mevcut kaynak</x:v>
      </x:c>
      <x:c r="I949" s="28" t="str">
        <x:v>Erişilemedi</x:v>
      </x:c>
      <x:c r="J949" s="28" t="str">
        <x:v>Ürün adı, gramaj ve fiyat birlikte çıkarılamadı. Bağlantı manuel inceleme için korundu.</x:v>
      </x:c>
    </x:row>
    <x:row r="950">
      <x:c r="A950" t="str">
        <x:v>Sezy Coffee</x:v>
      </x:c>
      <x:c r="B950" t="str">
        <x:v>Ürün kaydı</x:v>
      </x:c>
      <x:c r="C950" t="str">
        <x:v>Hario Cafe Press U 300 mL</x:v>
      </x:c>
      <x:c r="D950" t="str">
        <x:v>Menşe belirtilmemiş</x:v>
      </x:c>
      <x:c r="E950" s="1" t="str">
        <x:v>Erişilemedi</x:v>
      </x:c>
      <x:c r="F950" s="2" t="n">
        <x:v>2200</x:v>
      </x:c>
      <x:c r="G950" t="str">
        <x:v>Gramaj</x:v>
      </x:c>
      <x:c r="H950" t="str">
        <x:v>WooCommerce Store API</x:v>
      </x:c>
      <x:c r="I950" s="28" t="str">
        <x:v>https://sezycoffee.com/urun/hario-cafe-press-u-300-ml/</x:v>
      </x:c>
      <x:c r="J950" s="28" t="str">
        <x:v>Fiyat veya gramaj eksik olsa da ürün korundu.</x:v>
      </x:c>
    </x:row>
    <x:row r="951">
      <x:c r="A951" t="str">
        <x:v>Sezy Coffee</x:v>
      </x:c>
      <x:c r="B951" t="str">
        <x:v>Ürün kaydı</x:v>
      </x:c>
      <x:c r="C951" t="str">
        <x:v>Hario Cafe Press U 600 mL</x:v>
      </x:c>
      <x:c r="D951" t="str">
        <x:v>Menşe belirtilmemiş</x:v>
      </x:c>
      <x:c r="E951" s="1" t="str">
        <x:v>Erişilemedi</x:v>
      </x:c>
      <x:c r="F951" s="2" t="n">
        <x:v>2600</x:v>
      </x:c>
      <x:c r="G951" t="str">
        <x:v>Gramaj</x:v>
      </x:c>
      <x:c r="H951" t="str">
        <x:v>WooCommerce Store API</x:v>
      </x:c>
      <x:c r="I951" s="28" t="str">
        <x:v>https://sezycoffee.com/urun/hario-cafe-press-u-600-ml/</x:v>
      </x:c>
      <x:c r="J951" s="28" t="str">
        <x:v>Fiyat veya gramaj eksik olsa da ürün korundu.</x:v>
      </x:c>
    </x:row>
    <x:row r="952">
      <x:c r="A952" t="str">
        <x:v>Sezy Coffee</x:v>
      </x:c>
      <x:c r="B952" t="str">
        <x:v>Ürün kaydı</x:v>
      </x:c>
      <x:c r="C952" t="str">
        <x:v>Hario Syphon Filtre Bezi ( TCA – 2/3/5 )</x:v>
      </x:c>
      <x:c r="D952" t="str">
        <x:v>Menşe belirtilmemiş</x:v>
      </x:c>
      <x:c r="E952" s="1" t="str">
        <x:v>Erişilemedi</x:v>
      </x:c>
      <x:c r="F952" s="2" t="n">
        <x:v>690</x:v>
      </x:c>
      <x:c r="G952" t="str">
        <x:v>Gramaj</x:v>
      </x:c>
      <x:c r="H952" t="str">
        <x:v>WooCommerce Store API</x:v>
      </x:c>
      <x:c r="I952" s="28" t="str">
        <x:v>https://sezycoffee.com/urun/hario-syphon-filtre-bezi/</x:v>
      </x:c>
      <x:c r="J952" s="28" t="str">
        <x:v>Fiyat veya gramaj eksik olsa da ürün korundu.</x:v>
      </x:c>
    </x:row>
    <x:row r="953">
      <x:c r="A953" t="str">
        <x:v>Shazel</x:v>
      </x:c>
      <x:c r="B953" t="str">
        <x:v>Katalog takip kaydı</x:v>
      </x:c>
      <x:c r="C953" t="str">
        <x:v>Ürün kataloğu — ayrıntılı ürün verisine erişilemedi</x:v>
      </x:c>
      <x:c r="D953" t="str">
        <x:v>Erişilemedi</x:v>
      </x:c>
      <x:c r="E953" s="1" t="str">
        <x:v>Erişilemedi</x:v>
      </x:c>
      <x:c r="F953" s="2" t="str">
        <x:v>Erişilemedi</x:v>
      </x:c>
      <x:c r="G953" t="str">
        <x:v>Gramaj + fiyat</x:v>
      </x:c>
      <x:c r="H953" t="str">
        <x:v>Instagram veya mevcut kaynak</x:v>
      </x:c>
      <x:c r="I953" s="28" t="str">
        <x:v>Erişilemedi</x:v>
      </x:c>
      <x:c r="J953" s="28" t="str">
        <x:v>Ürün adı, gramaj ve fiyat birlikte çıkarılamadı. Bağlantı manuel inceleme için korundu.</x:v>
      </x:c>
    </x:row>
    <x:row r="954">
      <x:c r="A954" t="str">
        <x:v>Spada Coffee</x:v>
      </x:c>
      <x:c r="B954" t="str">
        <x:v>Ürün kaydı</x:v>
      </x:c>
      <x:c r="C954" t="str">
        <x:v>Kolombiya / Popayan / Yıkanmış</x:v>
      </x:c>
      <x:c r="D954" t="str">
        <x:v>Kolombiya</x:v>
      </x:c>
      <x:c r="E954" s="1" t="str">
        <x:v>Erişilemedi</x:v>
      </x:c>
      <x:c r="F954" s="2" t="n">
        <x:v>850</x:v>
      </x:c>
      <x:c r="G954" t="str">
        <x:v>Gramaj</x:v>
      </x:c>
      <x:c r="H954" t="str">
        <x:v>Site haritası ürün sayfası</x:v>
      </x:c>
      <x:c r="I954" s="28" t="str">
        <x:v>https://spadacoffee.com/kolombiya-popayan-yikanmis</x:v>
      </x:c>
      <x:c r="J954" s="28" t="str">
        <x:v>Ürün kimliği korundu; eksik alanlar erişilemedi olarak işaretlenecek.</x:v>
      </x:c>
    </x:row>
    <x:row r="955">
      <x:c r="A955" t="str">
        <x:v>Spada Coffee</x:v>
      </x:c>
      <x:c r="B955" t="str">
        <x:v>Ürün kaydı</x:v>
      </x:c>
      <x:c r="C955" t="str">
        <x:v>Kosta Rika / Hacienda Colima / Natural</x:v>
      </x:c>
      <x:c r="D955" t="str">
        <x:v>Kosta Rika</x:v>
      </x:c>
      <x:c r="E955" s="1" t="str">
        <x:v>Erişilemedi</x:v>
      </x:c>
      <x:c r="F955" s="2" t="n">
        <x:v>850</x:v>
      </x:c>
      <x:c r="G955" t="str">
        <x:v>Gramaj</x:v>
      </x:c>
      <x:c r="H955" t="str">
        <x:v>Site haritası ürün sayfası</x:v>
      </x:c>
      <x:c r="I955" s="28" t="str">
        <x:v>https://spadacoffee.com/kosta-rika-hacienda-colima-natural</x:v>
      </x:c>
      <x:c r="J955" s="28" t="str">
        <x:v>Ürün kimliği korundu; eksik alanlar erişilemedi olarak işaretlenecek.</x:v>
      </x:c>
    </x:row>
    <x:row r="956">
      <x:c r="A956" t="str">
        <x:v>Spada Coffee</x:v>
      </x:c>
      <x:c r="B956" t="str">
        <x:v>Ürün kaydı</x:v>
      </x:c>
      <x:c r="C956" t="str">
        <x:v>Kosta Rika / Las Lajas / Natural</x:v>
      </x:c>
      <x:c r="D956" t="str">
        <x:v>Kosta Rika</x:v>
      </x:c>
      <x:c r="E956" s="1" t="str">
        <x:v>Erişilemedi</x:v>
      </x:c>
      <x:c r="F956" s="2" t="n">
        <x:v>850</x:v>
      </x:c>
      <x:c r="G956" t="str">
        <x:v>Gramaj</x:v>
      </x:c>
      <x:c r="H956" t="str">
        <x:v>Site haritası ürün sayfası</x:v>
      </x:c>
      <x:c r="I956" s="28" t="str">
        <x:v>https://spadacoffee.com/kosta-rika-las-lajas-natural</x:v>
      </x:c>
      <x:c r="J956" s="28" t="str">
        <x:v>Ürün kimliği korundu; eksik alanlar erişilemedi olarak işaretlenecek.</x:v>
      </x:c>
    </x:row>
    <x:row r="957">
      <x:c r="A957" t="str">
        <x:v>Spada Coffee</x:v>
      </x:c>
      <x:c r="B957" t="str">
        <x:v>Ürün kaydı</x:v>
      </x:c>
      <x:c r="C957" t="str">
        <x:v>Motion / Natural</x:v>
      </x:c>
      <x:c r="D957" t="str">
        <x:v>Brezilya</x:v>
      </x:c>
      <x:c r="E957" s="1" t="str">
        <x:v>Erişilemedi</x:v>
      </x:c>
      <x:c r="F957" s="2" t="n">
        <x:v>850</x:v>
      </x:c>
      <x:c r="G957" t="str">
        <x:v>Gramaj</x:v>
      </x:c>
      <x:c r="H957" t="str">
        <x:v>Site haritası ürün sayfası</x:v>
      </x:c>
      <x:c r="I957" s="28" t="str">
        <x:v>https://spadacoffee.com/motion-natural-espresso</x:v>
      </x:c>
      <x:c r="J957" s="28" t="str">
        <x:v>Ürün kimliği korundu; eksik alanlar erişilemedi olarak işaretlenecek.</x:v>
      </x:c>
    </x:row>
    <x:row r="958">
      <x:c r="A958" t="str">
        <x:v>Spada Coffee</x:v>
      </x:c>
      <x:c r="B958" t="str">
        <x:v>Ürün kaydı</x:v>
      </x:c>
      <x:c r="C958" t="str">
        <x:v>Motion Dark / Natural</x:v>
      </x:c>
      <x:c r="D958" t="str">
        <x:v>Brezilya</x:v>
      </x:c>
      <x:c r="E958" s="1" t="str">
        <x:v>Erişilemedi</x:v>
      </x:c>
      <x:c r="F958" s="2" t="n">
        <x:v>850</x:v>
      </x:c>
      <x:c r="G958" t="str">
        <x:v>Gramaj</x:v>
      </x:c>
      <x:c r="H958" t="str">
        <x:v>Site haritası ürün sayfası</x:v>
      </x:c>
      <x:c r="I958" s="28" t="str">
        <x:v>https://spadacoffee.com/motion-dark-natural</x:v>
      </x:c>
      <x:c r="J958" s="28" t="str">
        <x:v>Ürün kimliği korundu; eksik alanlar erişilemedi olarak işaretlenecek.</x:v>
      </x:c>
    </x:row>
    <x:row r="959">
      <x:c r="A959" t="str">
        <x:v>Spada Coffee</x:v>
      </x:c>
      <x:c r="B959" t="str">
        <x:v>Ürün kaydı</x:v>
      </x:c>
      <x:c r="C959" t="str">
        <x:v>Pome / Natural</x:v>
      </x:c>
      <x:c r="D959" t="str">
        <x:v>Menşe belirtilmemiş</x:v>
      </x:c>
      <x:c r="E959" s="1" t="str">
        <x:v>Erişilemedi</x:v>
      </x:c>
      <x:c r="F959" s="2" t="n">
        <x:v>850</x:v>
      </x:c>
      <x:c r="G959" t="str">
        <x:v>Gramaj</x:v>
      </x:c>
      <x:c r="H959" t="str">
        <x:v>Site haritası ürün sayfası</x:v>
      </x:c>
      <x:c r="I959" s="28" t="str">
        <x:v>https://spadacoffee.com/pome-natural</x:v>
      </x:c>
      <x:c r="J959" s="28" t="str">
        <x:v>Ürün kimliği korundu; eksik alanlar erişilemedi olarak işaretlenecek.</x:v>
      </x:c>
    </x:row>
    <x:row r="960">
      <x:c r="A960" t="str">
        <x:v>Spada Coffee</x:v>
      </x:c>
      <x:c r="B960" t="str">
        <x:v>Ürün kaydı</x:v>
      </x:c>
      <x:c r="C960" t="str">
        <x:v>Puly Caff Puly Grind 10&amp;#x27;lu Paket</x:v>
      </x:c>
      <x:c r="D960" t="str">
        <x:v>Menşe belirtilmemiş</x:v>
      </x:c>
      <x:c r="E960" s="1" t="str">
        <x:v>Erişilemedi</x:v>
      </x:c>
      <x:c r="F960" s="2" t="n">
        <x:v>850</x:v>
      </x:c>
      <x:c r="G960" t="str">
        <x:v>Gramaj</x:v>
      </x:c>
      <x:c r="H960" t="str">
        <x:v>Site haritası ürün sayfası</x:v>
      </x:c>
      <x:c r="I960" s="28" t="str">
        <x:v>https://spadacoffee.com/puly-caff-puly-grind-10lu-paket</x:v>
      </x:c>
      <x:c r="J960" s="28" t="str">
        <x:v>Ürün kimliği korundu; eksik alanlar erişilemedi olarak işaretlenecek.</x:v>
      </x:c>
    </x:row>
    <x:row r="961">
      <x:c r="A961" t="str">
        <x:v>Spada Coffee</x:v>
      </x:c>
      <x:c r="B961" t="str">
        <x:v>Ürün kaydı</x:v>
      </x:c>
      <x:c r="C961" t="str">
        <x:v>Puly Milk Pulycaff Süt Temizleme Solisyonu</x:v>
      </x:c>
      <x:c r="D961" t="str">
        <x:v>Menşe belirtilmemiş</x:v>
      </x:c>
      <x:c r="E961" s="1" t="str">
        <x:v>Erişilemedi</x:v>
      </x:c>
      <x:c r="F961" s="2" t="n">
        <x:v>850</x:v>
      </x:c>
      <x:c r="G961" t="str">
        <x:v>Gramaj</x:v>
      </x:c>
      <x:c r="H961" t="str">
        <x:v>Site haritası ürün sayfası</x:v>
      </x:c>
      <x:c r="I961" s="28" t="str">
        <x:v>https://spadacoffee.com/puly-milk-pulycaff-sut-temizleme-solisyonu</x:v>
      </x:c>
      <x:c r="J961" s="28" t="str">
        <x:v>Ürün kimliği korundu; eksik alanlar erişilemedi olarak işaretlenecek.</x:v>
      </x:c>
    </x:row>
    <x:row r="962">
      <x:c r="A962" t="str">
        <x:v>Spada Coffee</x:v>
      </x:c>
      <x:c r="B962" t="str">
        <x:v>Ürün kaydı</x:v>
      </x:c>
      <x:c r="C962" t="str">
        <x:v>RUANDA / AKAGERA / HONEY</x:v>
      </x:c>
      <x:c r="D962" t="str">
        <x:v>Ruanda</x:v>
      </x:c>
      <x:c r="E962" s="1" t="str">
        <x:v>Erişilemedi</x:v>
      </x:c>
      <x:c r="F962" s="2" t="n">
        <x:v>850</x:v>
      </x:c>
      <x:c r="G962" t="str">
        <x:v>Gramaj</x:v>
      </x:c>
      <x:c r="H962" t="str">
        <x:v>Site haritası ürün sayfası</x:v>
      </x:c>
      <x:c r="I962" s="28" t="str">
        <x:v>https://spadacoffee.com/ruanda-akagera-honey</x:v>
      </x:c>
      <x:c r="J962" s="28" t="str">
        <x:v>Ürün kimliği korundu; eksik alanlar erişilemedi olarak işaretlenecek.</x:v>
      </x:c>
    </x:row>
    <x:row r="963">
      <x:c r="A963" t="str">
        <x:v>Spada Coffee</x:v>
      </x:c>
      <x:c r="B963" t="str">
        <x:v>Ürün kaydı</x:v>
      </x:c>
      <x:c r="C963" t="str">
        <x:v>Spada Motion / Kapsül Kahve</x:v>
      </x:c>
      <x:c r="D963" t="str">
        <x:v>Menşe belirtilmemiş</x:v>
      </x:c>
      <x:c r="E963" s="1" t="str">
        <x:v>Erişilemedi</x:v>
      </x:c>
      <x:c r="F963" s="2" t="n">
        <x:v>850</x:v>
      </x:c>
      <x:c r="G963" t="str">
        <x:v>Gramaj</x:v>
      </x:c>
      <x:c r="H963" t="str">
        <x:v>Site haritası ürün sayfası</x:v>
      </x:c>
      <x:c r="I963" s="28" t="str">
        <x:v>https://spadacoffee.com/spada-motion-kapsul-kahve</x:v>
      </x:c>
      <x:c r="J963" s="28" t="str">
        <x:v>Ürün kimliği korundu; eksik alanlar erişilemedi olarak işaretlenecek.</x:v>
      </x:c>
    </x:row>
    <x:row r="964">
      <x:c r="A964" t="str">
        <x:v>Spada Coffee</x:v>
      </x:c>
      <x:c r="B964" t="str">
        <x:v>Ürün kaydı</x:v>
      </x:c>
      <x:c r="C964" t="str">
        <x:v>Spada POME / Kapsül Kahve</x:v>
      </x:c>
      <x:c r="D964" t="str">
        <x:v>Menşe belirtilmemiş</x:v>
      </x:c>
      <x:c r="E964" s="1" t="str">
        <x:v>Erişilemedi</x:v>
      </x:c>
      <x:c r="F964" s="2" t="n">
        <x:v>850</x:v>
      </x:c>
      <x:c r="G964" t="str">
        <x:v>Gramaj</x:v>
      </x:c>
      <x:c r="H964" t="str">
        <x:v>Site haritası ürün sayfası</x:v>
      </x:c>
      <x:c r="I964" s="28" t="str">
        <x:v>https://spadacoffee.com/spada-pome-kapsul-kahve</x:v>
      </x:c>
      <x:c r="J964" s="28" t="str">
        <x:v>Ürün kimliği korundu; eksik alanlar erişilemedi olarak işaretlenecek.</x:v>
      </x:c>
    </x:row>
    <x:row r="965">
      <x:c r="A965" t="str">
        <x:v>Story Coffee Roasters</x:v>
      </x:c>
      <x:c r="B965" t="str">
        <x:v>Ürün kaydı</x:v>
      </x:c>
      <x:c r="C965" t="str">
        <x:v>2026 Kahve Koleksiyonu - 9 Kahve Çekirdeği</x:v>
      </x:c>
      <x:c r="D965" t="str">
        <x:v>Etiyopya | Kenya | Guatemala</x:v>
      </x:c>
      <x:c r="E965" s="1" t="str">
        <x:v>Erişilemedi</x:v>
      </x:c>
      <x:c r="F965" s="2" t="n">
        <x:v>1.75</x:v>
      </x:c>
      <x:c r="G965" t="str">
        <x:v>Gramaj</x:v>
      </x:c>
      <x:c r="H965" t="str">
        <x:v>Site haritası ürün sayfası</x:v>
      </x:c>
      <x:c r="I965" s="28" t="str">
        <x:v>https://storyroasters.com/sonbahar-2025-kahve-cekirdegi-koleksiyonu</x:v>
      </x:c>
      <x:c r="J965" s="28" t="str">
        <x:v>Ürün kimliği korundu; eksik alanlar erişilemedi olarak işaretlenecek.</x:v>
      </x:c>
    </x:row>
    <x:row r="966">
      <x:c r="A966" t="str">
        <x:v>Story Coffee Roasters</x:v>
      </x:c>
      <x:c r="B966" t="str">
        <x:v>Ürün kaydı</x:v>
      </x:c>
      <x:c r="C966" t="str">
        <x:v>Afrika Kahve Paketi - 4 Kahve Çekirdeği</x:v>
      </x:c>
      <x:c r="D966" t="str">
        <x:v>Etiyopya | Kenya | Tanzanya</x:v>
      </x:c>
      <x:c r="E966" s="1" t="str">
        <x:v>Erişilemedi</x:v>
      </x:c>
      <x:c r="F966" s="2" t="n">
        <x:v>1.93</x:v>
      </x:c>
      <x:c r="G966" t="str">
        <x:v>Gramaj</x:v>
      </x:c>
      <x:c r="H966" t="str">
        <x:v>Site haritası ürün sayfası</x:v>
      </x:c>
      <x:c r="I966" s="28" t="str">
        <x:v>https://storyroasters.com/afrika-kahve-paketi</x:v>
      </x:c>
      <x:c r="J966" s="28" t="str">
        <x:v>Ürün kimliği korundu; eksik alanlar erişilemedi olarak işaretlenecek.</x:v>
      </x:c>
    </x:row>
    <x:row r="967">
      <x:c r="A967" t="str">
        <x:v>Taft Coffee</x:v>
      </x:c>
      <x:c r="B967" t="str">
        <x:v>Katalog takip kaydı</x:v>
      </x:c>
      <x:c r="C967" t="str">
        <x:v>Ürün kataloğu — ayrıntılı ürün verisine erişilemedi</x:v>
      </x:c>
      <x:c r="D967" t="str">
        <x:v>Erişilemedi</x:v>
      </x:c>
      <x:c r="E967" s="1" t="str">
        <x:v>Erişilemedi</x:v>
      </x:c>
      <x:c r="F967" s="2" t="str">
        <x:v>Erişilemedi</x:v>
      </x:c>
      <x:c r="G967" t="str">
        <x:v>Gramaj + fiyat</x:v>
      </x:c>
      <x:c r="H967" t="str">
        <x:v>Instagram veya mevcut kaynak</x:v>
      </x:c>
      <x:c r="I967" s="28" t="str">
        <x:v>Erişilemedi</x:v>
      </x:c>
      <x:c r="J967" s="28" t="str">
        <x:v>Ürün adı, gramaj ve fiyat birlikte çıkarılamadı. Bağlantı manuel inceleme için korundu.</x:v>
      </x:c>
    </x:row>
    <x:row r="968">
      <x:c r="A968" t="str">
        <x:v>Tahmis Kahvesi</x:v>
      </x:c>
      <x:c r="B968" t="str">
        <x:v>Katalog takip kaydı</x:v>
      </x:c>
      <x:c r="C968" t="str">
        <x:v>Ürün kataloğu — ayrıntılı ürün verisine erişilemedi</x:v>
      </x:c>
      <x:c r="D968" t="str">
        <x:v>Erişilemedi</x:v>
      </x:c>
      <x:c r="E968" s="1" t="str">
        <x:v>Erişilemedi</x:v>
      </x:c>
      <x:c r="F968" s="2" t="str">
        <x:v>Erişilemedi</x:v>
      </x:c>
      <x:c r="G968" t="str">
        <x:v>Gramaj + fiyat</x:v>
      </x:c>
      <x:c r="H968" t="str">
        <x:v>Instagram veya mevcut kaynak</x:v>
      </x:c>
      <x:c r="I968" s="28" t="str">
        <x:v>Erişilemedi</x:v>
      </x:c>
      <x:c r="J968" s="28" t="str">
        <x:v>Ürün adı, gramaj ve fiyat birlikte çıkarılamadı. Bağlantı manuel inceleme için korundu.</x:v>
      </x:c>
    </x:row>
    <x:row r="969">
      <x:c r="A969" t="str">
        <x:v>Tetra N Roastery</x:v>
      </x:c>
      <x:c r="B969" t="str">
        <x:v>Ürün kaydı</x:v>
      </x:c>
      <x:c r="C969" t="str">
        <x:v>Hario V60 Buzlu Kahve Demleyici</x:v>
      </x:c>
      <x:c r="D969" t="str">
        <x:v>Menşe belirtilmemiş</x:v>
      </x:c>
      <x:c r="E969" s="1" t="str">
        <x:v>Erişilemedi</x:v>
      </x:c>
      <x:c r="F969" s="2" t="n">
        <x:v>900</x:v>
      </x:c>
      <x:c r="G969" t="str">
        <x:v>Gramaj</x:v>
      </x:c>
      <x:c r="H969" t="str">
        <x:v>Site haritası ürün sayfası</x:v>
      </x:c>
      <x:c r="I969" s="28" t="str">
        <x:v>https://tetranroastery.com/hario-v60-buzlu-kahve-demleyici</x:v>
      </x:c>
      <x:c r="J969" s="28" t="str">
        <x:v>Ürün kimliği korundu; eksik alanlar erişilemedi olarak işaretlenecek.</x:v>
      </x:c>
    </x:row>
    <x:row r="970">
      <x:c r="A970" t="str">
        <x:v>Tetra N Roastery</x:v>
      </x:c>
      <x:c r="B970" t="str">
        <x:v>Ürün kaydı</x:v>
      </x:c>
      <x:c r="C970" t="str">
        <x:v>Hario V60 Kahve Demleme Seti</x:v>
      </x:c>
      <x:c r="D970" t="str">
        <x:v>Menşe belirtilmemiş</x:v>
      </x:c>
      <x:c r="E970" s="1" t="str">
        <x:v>Erişilemedi</x:v>
      </x:c>
      <x:c r="F970" s="2" t="n">
        <x:v>900</x:v>
      </x:c>
      <x:c r="G970" t="str">
        <x:v>Gramaj</x:v>
      </x:c>
      <x:c r="H970" t="str">
        <x:v>Site haritası ürün sayfası</x:v>
      </x:c>
      <x:c r="I970" s="28" t="str">
        <x:v>https://tetranroastery.com/hario-v60-kahve-demleme-seti</x:v>
      </x:c>
      <x:c r="J970" s="28" t="str">
        <x:v>Ürün kimliği korundu; eksik alanlar erişilemedi olarak işaretlenecek.</x:v>
      </x:c>
    </x:row>
    <x:row r="971">
      <x:c r="A971" t="str">
        <x:v>Tetra N Roastery</x:v>
      </x:c>
      <x:c r="B971" t="str">
        <x:v>Ürün kaydı</x:v>
      </x:c>
      <x:c r="C971" t="str">
        <x:v>MESAİ KAHVESİ</x:v>
      </x:c>
      <x:c r="D971" t="str">
        <x:v>Etiyopya</x:v>
      </x:c>
      <x:c r="E971" s="1" t="str">
        <x:v>Erişilemedi</x:v>
      </x:c>
      <x:c r="F971" s="2" t="n">
        <x:v>900</x:v>
      </x:c>
      <x:c r="G971" t="str">
        <x:v>Gramaj</x:v>
      </x:c>
      <x:c r="H971" t="str">
        <x:v>Site haritası ürün sayfası</x:v>
      </x:c>
      <x:c r="I971" s="28" t="str">
        <x:v>https://tetranroastery.com/mesai-kahvesi</x:v>
      </x:c>
      <x:c r="J971" s="28" t="str">
        <x:v>Ürün kimliği korundu; eksik alanlar erişilemedi olarak işaretlenecek.</x:v>
      </x:c>
    </x:row>
    <x:row r="972">
      <x:c r="A972" t="str">
        <x:v>Tetra N Roastery</x:v>
      </x:c>
      <x:c r="B972" t="str">
        <x:v>Ürün kaydı</x:v>
      </x:c>
      <x:c r="C972" t="str">
        <x:v>Orcamp Barista Kahve İbriği</x:v>
      </x:c>
      <x:c r="D972" t="str">
        <x:v>Menşe belirtilmemiş</x:v>
      </x:c>
      <x:c r="E972" s="1" t="str">
        <x:v>Erişilemedi</x:v>
      </x:c>
      <x:c r="F972" s="2" t="n">
        <x:v>900</x:v>
      </x:c>
      <x:c r="G972" t="str">
        <x:v>Gramaj</x:v>
      </x:c>
      <x:c r="H972" t="str">
        <x:v>Site haritası ürün sayfası</x:v>
      </x:c>
      <x:c r="I972" s="28" t="str">
        <x:v>https://tetranroastery.com/barista-kahve-ibrigi</x:v>
      </x:c>
      <x:c r="J972" s="28" t="str">
        <x:v>Ürün kimliği korundu; eksik alanlar erişilemedi olarak işaretlenecek.</x:v>
      </x:c>
    </x:row>
    <x:row r="973">
      <x:c r="A973" t="str">
        <x:v>The Doors Coffee Roasting Co.</x:v>
      </x:c>
      <x:c r="B973" t="str">
        <x:v>Katalog takip kaydı</x:v>
      </x:c>
      <x:c r="C973" t="str">
        <x:v>Ürün kataloğu — ayrıntılı ürün verisine erişilemedi</x:v>
      </x:c>
      <x:c r="D973" t="str">
        <x:v>Erişilemedi</x:v>
      </x:c>
      <x:c r="E973" s="1" t="str">
        <x:v>Erişilemedi</x:v>
      </x:c>
      <x:c r="F973" s="2" t="str">
        <x:v>Erişilemedi</x:v>
      </x:c>
      <x:c r="G973" t="str">
        <x:v>Gramaj + fiyat</x:v>
      </x:c>
      <x:c r="H973" t="str">
        <x:v>Instagram veya mevcut kaynak</x:v>
      </x:c>
      <x:c r="I973" s="28" t="str">
        <x:v>Erişilemedi</x:v>
      </x:c>
      <x:c r="J973" s="28" t="str">
        <x:v>Ürün adı, gramaj ve fiyat birlikte çıkarılamadı. Bağlantı manuel inceleme için korundu.</x:v>
      </x:c>
    </x:row>
    <x:row r="974">
      <x:c r="A974" t="str">
        <x:v>Top Roasters</x:v>
      </x:c>
      <x:c r="B974" t="str">
        <x:v>Ürün kaydı</x:v>
      </x:c>
      <x:c r="C974" t="str">
        <x:v>1 Ekim Dünya Kahve Günü: Kahve Tutkunlarının Bayramı</x:v>
      </x:c>
      <x:c r="D974" t="str">
        <x:v>Menşe belirtilmemiş</x:v>
      </x:c>
      <x:c r="E974" s="1" t="str">
        <x:v>Erişilemedi</x:v>
      </x:c>
      <x:c r="F974" s="2" t="n">
        <x:v>0</x:v>
      </x:c>
      <x:c r="G974" t="str">
        <x:v>Gramaj + fiyat</x:v>
      </x:c>
      <x:c r="H974" t="str">
        <x:v>Site haritası ürün sayfası</x:v>
      </x:c>
      <x:c r="I974" s="28" t="str">
        <x:v>https://www.toproasters.com.tr/post/1-ekim-dünya-kahve-günü-kahve-tutkunlarının-bayramı</x:v>
      </x:c>
      <x:c r="J974" s="28" t="str">
        <x:v>Ürün kimliği korundu; eksik alanlar erişilemedi olarak işaretlenecek.</x:v>
      </x:c>
    </x:row>
    <x:row r="975">
      <x:c r="A975" t="str">
        <x:v>Top Roasters</x:v>
      </x:c>
      <x:c r="B975" t="str">
        <x:v>Ürün kaydı</x:v>
      </x:c>
      <x:c r="C975" t="str">
        <x:v>1 Ekim Dünya Kahve Günü&amp;#x27;ne Özel Dünya Kahveleri Tadımı Ücretsiz!</x:v>
      </x:c>
      <x:c r="D975" t="str">
        <x:v>Menşe belirtilmemiş</x:v>
      </x:c>
      <x:c r="E975" s="1" t="str">
        <x:v>Erişilemedi</x:v>
      </x:c>
      <x:c r="F975" s="2" t="n">
        <x:v>0</x:v>
      </x:c>
      <x:c r="G975" t="str">
        <x:v>Gramaj + fiyat</x:v>
      </x:c>
      <x:c r="H975" t="str">
        <x:v>Site haritası ürün sayfası</x:v>
      </x:c>
      <x:c r="I975" s="28" t="str">
        <x:v>https://www.toproasters.com.tr/post/1-ekim-dunya-kahve-gunu-ne-ozel-dunya-kahveleri-tadimi-ucretsiz</x:v>
      </x:c>
      <x:c r="J975" s="28" t="str">
        <x:v>Ürün kimliği korundu; eksik alanlar erişilemedi olarak işaretlenecek.</x:v>
      </x:c>
    </x:row>
    <x:row r="976">
      <x:c r="A976" t="str">
        <x:v>Top Roasters</x:v>
      </x:c>
      <x:c r="B976" t="str">
        <x:v>Ürün kaydı</x:v>
      </x:c>
      <x:c r="C976" t="str">
        <x:v>2023 Dünya Kahve Tüketim İstatistikleri</x:v>
      </x:c>
      <x:c r="D976" t="str">
        <x:v>Menşe belirtilmemiş</x:v>
      </x:c>
      <x:c r="E976" s="1" t="str">
        <x:v>Erişilemedi</x:v>
      </x:c>
      <x:c r="F976" s="2" t="n">
        <x:v>0</x:v>
      </x:c>
      <x:c r="G976" t="str">
        <x:v>Gramaj + fiyat</x:v>
      </x:c>
      <x:c r="H976" t="str">
        <x:v>Site haritası ürün sayfası</x:v>
      </x:c>
      <x:c r="I976" s="28" t="str">
        <x:v>https://www.toproasters.com.tr/post/2023-dunya-kahve-tuketim-istatistikleri</x:v>
      </x:c>
      <x:c r="J976" s="28" t="str">
        <x:v>Ürün kimliği korundu; eksik alanlar erişilemedi olarak işaretlenecek.</x:v>
      </x:c>
    </x:row>
    <x:row r="977">
      <x:c r="A977" t="str">
        <x:v>Top Roasters</x:v>
      </x:c>
      <x:c r="B977" t="str">
        <x:v>Ürün kaydı</x:v>
      </x:c>
      <x:c r="C977" t="str">
        <x:v>2025 Yılı Türkiye Kahve Tüketimi</x:v>
      </x:c>
      <x:c r="D977" t="str">
        <x:v>Menşe belirtilmemiş</x:v>
      </x:c>
      <x:c r="E977" s="1" t="str">
        <x:v>Erişilemedi</x:v>
      </x:c>
      <x:c r="F977" s="2" t="n">
        <x:v>0</x:v>
      </x:c>
      <x:c r="G977" t="str">
        <x:v>Gramaj + fiyat</x:v>
      </x:c>
      <x:c r="H977" t="str">
        <x:v>Site haritası ürün sayfası</x:v>
      </x:c>
      <x:c r="I977" s="28" t="str">
        <x:v>https://www.toproasters.com.tr/post/2025-yılı-türkiye-kahve-tüketimi</x:v>
      </x:c>
      <x:c r="J977" s="28" t="str">
        <x:v>Ürün kimliği korundu; eksik alanlar erişilemedi olarak işaretlenecek.</x:v>
      </x:c>
    </x:row>
    <x:row r="978">
      <x:c r="A978" t="str">
        <x:v>Top Roasters</x:v>
      </x:c>
      <x:c r="B978" t="str">
        <x:v>Ürün kaydı</x:v>
      </x:c>
      <x:c r="C978" t="str">
        <x:v>2025’te Kahve Dünyasında Öne Çıkan Trendler Türkiye’ye Etkileri</x:v>
      </x:c>
      <x:c r="D978" t="str">
        <x:v>Menşe belirtilmemiş</x:v>
      </x:c>
      <x:c r="E978" s="1" t="str">
        <x:v>Erişilemedi</x:v>
      </x:c>
      <x:c r="F978" s="2" t="n">
        <x:v>0</x:v>
      </x:c>
      <x:c r="G978" t="str">
        <x:v>Gramaj + fiyat</x:v>
      </x:c>
      <x:c r="H978" t="str">
        <x:v>Site haritası ürün sayfası</x:v>
      </x:c>
      <x:c r="I978" s="28" t="str">
        <x:v>https://www.toproasters.com.tr/post/2025-te-kahve-dünyasında-öne-çıkan-trendler-türkiye-ye-etkileri</x:v>
      </x:c>
      <x:c r="J978" s="28" t="str">
        <x:v>Ürün kimliği korundu; eksik alanlar erişilemedi olarak işaretlenecek.</x:v>
      </x:c>
    </x:row>
    <x:row r="979">
      <x:c r="A979" t="str">
        <x:v>Top Roasters</x:v>
      </x:c>
      <x:c r="B979" t="str">
        <x:v>Ürün kaydı</x:v>
      </x:c>
      <x:c r="C979" t="str">
        <x:v>2025’te Kahve Dünyasında Patlayan 7 Trend: Top Roasters ile Fazlasını Keşfet</x:v>
      </x:c>
      <x:c r="D979" t="str">
        <x:v>Menşe belirtilmemiş</x:v>
      </x:c>
      <x:c r="E979" s="1" t="str">
        <x:v>Erişilemedi</x:v>
      </x:c>
      <x:c r="F979" s="2" t="n">
        <x:v>0</x:v>
      </x:c>
      <x:c r="G979" t="str">
        <x:v>Gramaj + fiyat</x:v>
      </x:c>
      <x:c r="H979" t="str">
        <x:v>Site haritası ürün sayfası</x:v>
      </x:c>
      <x:c r="I979" s="28" t="str">
        <x:v>https://www.toproasters.com.tr/post/2025-te-kahve-dünyasında-patlayan-7-trend-top-roasters-ile-fazlasını-keşfet</x:v>
      </x:c>
      <x:c r="J979" s="28" t="str">
        <x:v>Ürün kimliği korundu; eksik alanlar erişilemedi olarak işaretlenecek.</x:v>
      </x:c>
    </x:row>
    <x:row r="980">
      <x:c r="A980" t="str">
        <x:v>Top Roasters</x:v>
      </x:c>
      <x:c r="B980" t="str">
        <x:v>Ürün kaydı</x:v>
      </x:c>
      <x:c r="C980" t="str">
        <x:v>2026 Türkiye Kahve Yılı Olacak Bir Sonraki Durağımız Guatemala</x:v>
      </x:c>
      <x:c r="D980" t="str">
        <x:v>Guatemala</x:v>
      </x:c>
      <x:c r="E980" s="1" t="str">
        <x:v>Erişilemedi</x:v>
      </x:c>
      <x:c r="F980" s="2" t="n">
        <x:v>0</x:v>
      </x:c>
      <x:c r="G980" t="str">
        <x:v>Gramaj + fiyat</x:v>
      </x:c>
      <x:c r="H980" t="str">
        <x:v>Site haritası ürün sayfası</x:v>
      </x:c>
      <x:c r="I980" s="28" t="str">
        <x:v>https://www.toproasters.com.tr/post/2026-türkiye-kahve-yılı-olacak-bir-sonraki-durağımız-guatemala</x:v>
      </x:c>
      <x:c r="J980" s="28" t="str">
        <x:v>Ürün kimliği korundu; eksik alanlar erişilemedi olarak işaretlenecek.</x:v>
      </x:c>
    </x:row>
    <x:row r="981">
      <x:c r="A981" t="str">
        <x:v>Top Roasters</x:v>
      </x:c>
      <x:c r="B981" t="str">
        <x:v>Ürün kaydı</x:v>
      </x:c>
      <x:c r="C981" t="str">
        <x:v>2026’da Kahve Sektörü: Trendler, Tüketici Davranışları ve Yeni Fırsatlar</x:v>
      </x:c>
      <x:c r="D981" t="str">
        <x:v>Menşe belirtilmemiş</x:v>
      </x:c>
      <x:c r="E981" s="1" t="str">
        <x:v>Erişilemedi</x:v>
      </x:c>
      <x:c r="F981" s="2" t="n">
        <x:v>0</x:v>
      </x:c>
      <x:c r="G981" t="str">
        <x:v>Gramaj + fiyat</x:v>
      </x:c>
      <x:c r="H981" t="str">
        <x:v>Site haritası ürün sayfası</x:v>
      </x:c>
      <x:c r="I981" s="28" t="str">
        <x:v>https://www.toproasters.com.tr/post/2026-da-kahve-sektörü-trendler-tüketici-davranışları-ve-yeni-fırsatlar</x:v>
      </x:c>
      <x:c r="J981" s="28" t="str">
        <x:v>Ürün kimliği korundu; eksik alanlar erişilemedi olarak işaretlenecek.</x:v>
      </x:c>
    </x:row>
    <x:row r="982">
      <x:c r="A982" t="str">
        <x:v>Top Roasters</x:v>
      </x:c>
      <x:c r="B982" t="str">
        <x:v>Ürün kaydı</x:v>
      </x:c>
      <x:c r="C982" t="str">
        <x:v>Buzlu Kahve ve Cold Brew Arasındaki Fark Nedir?</x:v>
      </x:c>
      <x:c r="D982" t="str">
        <x:v>Menşe belirtilmemiş</x:v>
      </x:c>
      <x:c r="E982" s="1" t="str">
        <x:v>Erişilemedi</x:v>
      </x:c>
      <x:c r="F982" s="2" t="n">
        <x:v>0</x:v>
      </x:c>
      <x:c r="G982" t="str">
        <x:v>Gramaj + fiyat</x:v>
      </x:c>
      <x:c r="H982" t="str">
        <x:v>Site haritası ürün sayfası</x:v>
      </x:c>
      <x:c r="I982" s="28" t="str">
        <x:v>https://www.toproasters.com.tr/post/buzlu-kahve-ve-cold-brew-arasındaki-fark-nedir</x:v>
      </x:c>
      <x:c r="J982" s="28" t="str">
        <x:v>Ürün kimliği korundu; eksik alanlar erişilemedi olarak işaretlenecek.</x:v>
      </x:c>
    </x:row>
    <x:row r="983">
      <x:c r="A983" t="str">
        <x:v>Top Roasters</x:v>
      </x:c>
      <x:c r="B983" t="str">
        <x:v>Ürün kaydı</x:v>
      </x:c>
      <x:c r="C983" t="str">
        <x:v>Çocuklarınızla Kahve Keyfi Babyccino İle Mümkün</x:v>
      </x:c>
      <x:c r="D983" t="str">
        <x:v>Menşe belirtilmemiş</x:v>
      </x:c>
      <x:c r="E983" s="1" t="str">
        <x:v>Erişilemedi</x:v>
      </x:c>
      <x:c r="F983" s="2" t="n">
        <x:v>0</x:v>
      </x:c>
      <x:c r="G983" t="str">
        <x:v>Gramaj + fiyat</x:v>
      </x:c>
      <x:c r="H983" t="str">
        <x:v>Site haritası ürün sayfası</x:v>
      </x:c>
      <x:c r="I983" s="28" t="str">
        <x:v>https://www.toproasters.com.tr/post/çocuklarınızla-kahve-keyfi-babyccino-i-le-mümkün</x:v>
      </x:c>
      <x:c r="J983" s="28" t="str">
        <x:v>Ürün kimliği korundu; eksik alanlar erişilemedi olarak işaretlenecek.</x:v>
      </x:c>
    </x:row>
    <x:row r="984">
      <x:c r="A984" t="str">
        <x:v>Top Roasters</x:v>
      </x:c>
      <x:c r="B984" t="str">
        <x:v>Ürün kaydı</x:v>
      </x:c>
      <x:c r="C984" t="str">
        <x:v>Dünyanın Dört Bir Yanında Kahve Kültürü: Farklı Ülkeler Kahveyi Nasıl İçiyor?</x:v>
      </x:c>
      <x:c r="D984" t="str">
        <x:v>Menşe belirtilmemiş</x:v>
      </x:c>
      <x:c r="E984" s="1" t="str">
        <x:v>Erişilemedi</x:v>
      </x:c>
      <x:c r="F984" s="2" t="n">
        <x:v>0</x:v>
      </x:c>
      <x:c r="G984" t="str">
        <x:v>Gramaj + fiyat</x:v>
      </x:c>
      <x:c r="H984" t="str">
        <x:v>Site haritası ürün sayfası</x:v>
      </x:c>
      <x:c r="I984" s="28" t="str">
        <x:v>https://www.toproasters.com.tr/post/dünyanın-dört-bir-yanında-kahve-kültürü-farklı-ülkeler-kahveyi-nasıl-i̇çiyor</x:v>
      </x:c>
      <x:c r="J984" s="28" t="str">
        <x:v>Ürün kimliği korundu; eksik alanlar erişilemedi olarak işaretlenecek.</x:v>
      </x:c>
    </x:row>
    <x:row r="985">
      <x:c r="A985" t="str">
        <x:v>Top Roasters</x:v>
      </x:c>
      <x:c r="B985" t="str">
        <x:v>Ürün kaydı</x:v>
      </x:c>
      <x:c r="C985" t="str">
        <x:v>Dünyanın En İyi 5 Arabica Kahvesi ve Evde Nasıl Hazırlanır?</x:v>
      </x:c>
      <x:c r="D985" t="str">
        <x:v>Etiyopya | Kolombiya</x:v>
      </x:c>
      <x:c r="E985" s="1" t="str">
        <x:v>Erişilemedi</x:v>
      </x:c>
      <x:c r="F985" s="2" t="n">
        <x:v>0</x:v>
      </x:c>
      <x:c r="G985" t="str">
        <x:v>Gramaj + fiyat</x:v>
      </x:c>
      <x:c r="H985" t="str">
        <x:v>Site haritası ürün sayfası</x:v>
      </x:c>
      <x:c r="I985" s="28" t="str">
        <x:v>https://www.toproasters.com.tr/post/dünyanın-en-i̇yi-5-arabica-kahvesi-ve-evde-nasıl-hazırlanır</x:v>
      </x:c>
      <x:c r="J985" s="28" t="str">
        <x:v>Ürün kimliği korundu; eksik alanlar erişilemedi olarak işaretlenecek.</x:v>
      </x:c>
    </x:row>
    <x:row r="986">
      <x:c r="A986" t="str">
        <x:v>Top Roasters</x:v>
      </x:c>
      <x:c r="B986" t="str">
        <x:v>Ürün kaydı</x:v>
      </x:c>
      <x:c r="C986" t="str">
        <x:v>Espresso ve Filtre Kahve Makine Temizliği Nasıl Yapılmalıdır?</x:v>
      </x:c>
      <x:c r="D986" t="str">
        <x:v>Menşe belirtilmemiş</x:v>
      </x:c>
      <x:c r="E986" s="1" t="str">
        <x:v>Erişilemedi</x:v>
      </x:c>
      <x:c r="F986" s="2" t="n">
        <x:v>0</x:v>
      </x:c>
      <x:c r="G986" t="str">
        <x:v>Gramaj + fiyat</x:v>
      </x:c>
      <x:c r="H986" t="str">
        <x:v>Site haritası ürün sayfası</x:v>
      </x:c>
      <x:c r="I986" s="28" t="str">
        <x:v>https://www.toproasters.com.tr/post/espresso-ve-filtre-kahve-makine-temizligi-nasil-yapilmalidir</x:v>
      </x:c>
      <x:c r="J986" s="28" t="str">
        <x:v>Ürün kimliği korundu; eksik alanlar erişilemedi olarak işaretlenecek.</x:v>
      </x:c>
    </x:row>
    <x:row r="987">
      <x:c r="A987" t="str">
        <x:v>Top Roasters</x:v>
      </x:c>
      <x:c r="B987" t="str">
        <x:v>Ürün kaydı</x:v>
      </x:c>
      <x:c r="C987" t="str">
        <x:v>Etiyopya Yirgachaffe Kahve Çekirdeği Nedir?</x:v>
      </x:c>
      <x:c r="D987" t="str">
        <x:v>Etiyopya</x:v>
      </x:c>
      <x:c r="E987" s="1" t="str">
        <x:v>Erişilemedi</x:v>
      </x:c>
      <x:c r="F987" s="2" t="n">
        <x:v>0</x:v>
      </x:c>
      <x:c r="G987" t="str">
        <x:v>Gramaj + fiyat</x:v>
      </x:c>
      <x:c r="H987" t="str">
        <x:v>Site haritası ürün sayfası</x:v>
      </x:c>
      <x:c r="I987" s="28" t="str">
        <x:v>https://www.toproasters.com.tr/post/etiyopya-yirgachaffe-kahve-çekirdeği-nedir</x:v>
      </x:c>
      <x:c r="J987" s="28" t="str">
        <x:v>Ürün kimliği korundu; eksik alanlar erişilemedi olarak işaretlenecek.</x:v>
      </x:c>
    </x:row>
    <x:row r="988">
      <x:c r="A988" t="str">
        <x:v>Top Roasters</x:v>
      </x:c>
      <x:c r="B988" t="str">
        <x:v>Ürün kaydı</x:v>
      </x:c>
      <x:c r="C988" t="str">
        <x:v>Evde Kafe Kalitesinde Kahve Nasıl Yapılır? (Barista Seviyesinde Rehber)</x:v>
      </x:c>
      <x:c r="D988" t="str">
        <x:v>Menşe belirtilmemiş</x:v>
      </x:c>
      <x:c r="E988" s="1" t="str">
        <x:v>Erişilemedi</x:v>
      </x:c>
      <x:c r="F988" s="2" t="n">
        <x:v>0</x:v>
      </x:c>
      <x:c r="G988" t="str">
        <x:v>Gramaj + fiyat</x:v>
      </x:c>
      <x:c r="H988" t="str">
        <x:v>Site haritası ürün sayfası</x:v>
      </x:c>
      <x:c r="I988" s="28" t="str">
        <x:v>https://www.toproasters.com.tr/post/evde-kafe-kalitesinde-kahve-nasıl-yapılır-barista-seviyesinde-rehber</x:v>
      </x:c>
      <x:c r="J988" s="28" t="str">
        <x:v>Ürün kimliği korundu; eksik alanlar erişilemedi olarak işaretlenecek.</x:v>
      </x:c>
    </x:row>
    <x:row r="989">
      <x:c r="A989" t="str">
        <x:v>Top Roasters</x:v>
      </x:c>
      <x:c r="B989" t="str">
        <x:v>Ürün kaydı</x:v>
      </x:c>
      <x:c r="C989" t="str">
        <x:v>Evde Kahve Bitkisi Yetiştirmek Mümkün Mü?</x:v>
      </x:c>
      <x:c r="D989" t="str">
        <x:v>Menşe belirtilmemiş</x:v>
      </x:c>
      <x:c r="E989" s="1" t="str">
        <x:v>Erişilemedi</x:v>
      </x:c>
      <x:c r="F989" s="2" t="n">
        <x:v>0</x:v>
      </x:c>
      <x:c r="G989" t="str">
        <x:v>Gramaj + fiyat</x:v>
      </x:c>
      <x:c r="H989" t="str">
        <x:v>Site haritası ürün sayfası</x:v>
      </x:c>
      <x:c r="I989" s="28" t="str">
        <x:v>https://www.toproasters.com.tr/post/evde-kahve-bitkisi-yetiştirmek-mümkün-mü</x:v>
      </x:c>
      <x:c r="J989" s="28" t="str">
        <x:v>Ürün kimliği korundu; eksik alanlar erişilemedi olarak işaretlenecek.</x:v>
      </x:c>
    </x:row>
    <x:row r="990">
      <x:c r="A990" t="str">
        <x:v>Top Roasters</x:v>
      </x:c>
      <x:c r="B990" t="str">
        <x:v>Ürün kaydı</x:v>
      </x:c>
      <x:c r="C990" t="str">
        <x:v>Evde Kahve Demlemek</x:v>
      </x:c>
      <x:c r="D990" t="str">
        <x:v>Menşe belirtilmemiş</x:v>
      </x:c>
      <x:c r="E990" s="1" t="str">
        <x:v>Erişilemedi</x:v>
      </x:c>
      <x:c r="F990" s="2" t="n">
        <x:v>0</x:v>
      </x:c>
      <x:c r="G990" t="str">
        <x:v>Gramaj + fiyat</x:v>
      </x:c>
      <x:c r="H990" t="str">
        <x:v>Site haritası ürün sayfası</x:v>
      </x:c>
      <x:c r="I990" s="28" t="str">
        <x:v>https://www.toproasters.com.tr/post/evde-kahve-demlemek</x:v>
      </x:c>
      <x:c r="J990" s="28" t="str">
        <x:v>Ürün kimliği korundu; eksik alanlar erişilemedi olarak işaretlenecek.</x:v>
      </x:c>
    </x:row>
    <x:row r="991">
      <x:c r="A991" t="str">
        <x:v>Top Roasters</x:v>
      </x:c>
      <x:c r="B991" t="str">
        <x:v>Ürün kaydı</x:v>
      </x:c>
      <x:c r="C991" t="str">
        <x:v>Evinizde Kahve Tüketiyorsanız Nelere Dikkat Etmelisiniz?</x:v>
      </x:c>
      <x:c r="D991" t="str">
        <x:v>Menşe belirtilmemiş</x:v>
      </x:c>
      <x:c r="E991" s="1" t="str">
        <x:v>Erişilemedi</x:v>
      </x:c>
      <x:c r="F991" s="2" t="n">
        <x:v>0</x:v>
      </x:c>
      <x:c r="G991" t="str">
        <x:v>Gramaj + fiyat</x:v>
      </x:c>
      <x:c r="H991" t="str">
        <x:v>Site haritası ürün sayfası</x:v>
      </x:c>
      <x:c r="I991" s="28" t="str">
        <x:v>https://www.toproasters.com.tr/post/evinizde-kahve-tüketiyorsanız-nelere-dikkat-etmelisiniz</x:v>
      </x:c>
      <x:c r="J991" s="28" t="str">
        <x:v>Ürün kimliği korundu; eksik alanlar erişilemedi olarak işaretlenecek.</x:v>
      </x:c>
    </x:row>
    <x:row r="992">
      <x:c r="A992" t="str">
        <x:v>Top Roasters</x:v>
      </x:c>
      <x:c r="B992" t="str">
        <x:v>Ürün kaydı</x:v>
      </x:c>
      <x:c r="C992" t="str">
        <x:v>Flat White, Bir Latte Mi, Cappuccino Mu Yoksa Farklı Bir Kahve Çeşidi Mi?</x:v>
      </x:c>
      <x:c r="D992" t="str">
        <x:v>Menşe belirtilmemiş</x:v>
      </x:c>
      <x:c r="E992" s="1" t="str">
        <x:v>Erişilemedi</x:v>
      </x:c>
      <x:c r="F992" s="2" t="n">
        <x:v>0</x:v>
      </x:c>
      <x:c r="G992" t="str">
        <x:v>Gramaj + fiyat</x:v>
      </x:c>
      <x:c r="H992" t="str">
        <x:v>Site haritası ürün sayfası</x:v>
      </x:c>
      <x:c r="I992" s="28" t="str">
        <x:v>https://www.toproasters.com.tr/post/flat-white-bir-latte-mi-cappuccino-mu-yoksa-farklı-bir-kahve-çeşidi-mi</x:v>
      </x:c>
      <x:c r="J992" s="28" t="str">
        <x:v>Ürün kimliği korundu; eksik alanlar erişilemedi olarak işaretlenecek.</x:v>
      </x:c>
    </x:row>
    <x:row r="993">
      <x:c r="A993" t="str">
        <x:v>Top Roasters</x:v>
      </x:c>
      <x:c r="B993" t="str">
        <x:v>Ürün kaydı</x:v>
      </x:c>
      <x:c r="C993" t="str">
        <x:v>Güncel Haber: ABD’de Kahve Fiyatları Tetikte – Küçük Kafeler Zorlukta</x:v>
      </x:c>
      <x:c r="D993" t="str">
        <x:v>Menşe belirtilmemiş</x:v>
      </x:c>
      <x:c r="E993" s="1" t="str">
        <x:v>Erişilemedi</x:v>
      </x:c>
      <x:c r="F993" s="2" t="n">
        <x:v>0</x:v>
      </x:c>
      <x:c r="G993" t="str">
        <x:v>Gramaj + fiyat</x:v>
      </x:c>
      <x:c r="H993" t="str">
        <x:v>Site haritası ürün sayfası</x:v>
      </x:c>
      <x:c r="I993" s="28" t="str">
        <x:v>https://www.toproasters.com.tr/post/güncel-haber-abd-de-kahve-fiyatları-tetikte-küçük-kafeler-zorlukta</x:v>
      </x:c>
      <x:c r="J993" s="28" t="str">
        <x:v>Ürün kimliği korundu; eksik alanlar erişilemedi olarak işaretlenecek.</x:v>
      </x:c>
    </x:row>
    <x:row r="994">
      <x:c r="A994" t="str">
        <x:v>Top Roasters</x:v>
      </x:c>
      <x:c r="B994" t="str">
        <x:v>Ürün kaydı</x:v>
      </x:c>
      <x:c r="C994" t="str">
        <x:v>Kahve Alırken Herkesin Yaptığı 7 Büyük Hata</x:v>
      </x:c>
      <x:c r="D994" t="str">
        <x:v>Menşe belirtilmemiş</x:v>
      </x:c>
      <x:c r="E994" s="1" t="n">
        <x:v>2026</x:v>
      </x:c>
      <x:c r="F994" s="2" t="n">
        <x:v>0</x:v>
      </x:c>
      <x:c r="G994" t="str">
        <x:v>Fiyat</x:v>
      </x:c>
      <x:c r="H994" t="str">
        <x:v>Site haritası ürün sayfası</x:v>
      </x:c>
      <x:c r="I994" s="28" t="str">
        <x:v>https://www.toproasters.com.tr/post/kahve-alırken-herkesin-yaptığı-7-büyük-hata</x:v>
      </x:c>
      <x:c r="J994" s="28" t="str">
        <x:v>Ürün kimliği korundu; eksik alanlar erişilemedi olarak işaretlenecek.</x:v>
      </x:c>
    </x:row>
    <x:row r="995">
      <x:c r="A995" t="str">
        <x:v>Top Roasters</x:v>
      </x:c>
      <x:c r="B995" t="str">
        <x:v>Ürün kaydı</x:v>
      </x:c>
      <x:c r="C995" t="str">
        <x:v>Kahve Borsasında Son Durum: Fiyatlar Neden Bu Kadar Yükseliyor?</x:v>
      </x:c>
      <x:c r="D995" t="str">
        <x:v>Menşe belirtilmemiş</x:v>
      </x:c>
      <x:c r="E995" s="1" t="str">
        <x:v>Erişilemedi</x:v>
      </x:c>
      <x:c r="F995" s="2" t="n">
        <x:v>0</x:v>
      </x:c>
      <x:c r="G995" t="str">
        <x:v>Gramaj + fiyat</x:v>
      </x:c>
      <x:c r="H995" t="str">
        <x:v>Site haritası ürün sayfası</x:v>
      </x:c>
      <x:c r="I995" s="28" t="str">
        <x:v>https://www.toproasters.com.tr/post/başlık-kahve-borsasında-son-durum-fiyatlar-neden-bu-kadar-yükseliyor</x:v>
      </x:c>
      <x:c r="J995" s="28" t="str">
        <x:v>Ürün kimliği korundu; eksik alanlar erişilemedi olarak işaretlenecek.</x:v>
      </x:c>
    </x:row>
    <x:row r="996">
      <x:c r="A996" t="str">
        <x:v>Top Roasters</x:v>
      </x:c>
      <x:c r="B996" t="str">
        <x:v>Ürün kaydı</x:v>
      </x:c>
      <x:c r="C996" t="str">
        <x:v>Kahve Demleme Rehberi: Evde Profesyonel Kahve Yapmanın Püf Noktaları</x:v>
      </x:c>
      <x:c r="D996" t="str">
        <x:v>Menşe belirtilmemiş</x:v>
      </x:c>
      <x:c r="E996" s="1" t="str">
        <x:v>Erişilemedi</x:v>
      </x:c>
      <x:c r="F996" s="2" t="n">
        <x:v>0</x:v>
      </x:c>
      <x:c r="G996" t="str">
        <x:v>Gramaj + fiyat</x:v>
      </x:c>
      <x:c r="H996" t="str">
        <x:v>Site haritası ürün sayfası</x:v>
      </x:c>
      <x:c r="I996" s="28" t="str">
        <x:v>https://www.toproasters.com.tr/post/kahve-demleme-rehberi-evde-profesyonel-kahve-yapmanın-püf-noktaları</x:v>
      </x:c>
      <x:c r="J996" s="28" t="str">
        <x:v>Ürün kimliği korundu; eksik alanlar erişilemedi olarak işaretlenecek.</x:v>
      </x:c>
    </x:row>
    <x:row r="997">
      <x:c r="A997" t="str">
        <x:v>Top Roasters</x:v>
      </x:c>
      <x:c r="B997" t="str">
        <x:v>Ürün kaydı</x:v>
      </x:c>
      <x:c r="C997" t="str">
        <x:v>Kahve Fiyatları Neden Yükseliyor? 2025’te Kahve Borsasında Son Durum</x:v>
      </x:c>
      <x:c r="D997" t="str">
        <x:v>Menşe belirtilmemiş</x:v>
      </x:c>
      <x:c r="E997" s="1" t="str">
        <x:v>Erişilemedi</x:v>
      </x:c>
      <x:c r="F997" s="2" t="n">
        <x:v>0</x:v>
      </x:c>
      <x:c r="G997" t="str">
        <x:v>Gramaj + fiyat</x:v>
      </x:c>
      <x:c r="H997" t="str">
        <x:v>Site haritası ürün sayfası</x:v>
      </x:c>
      <x:c r="I997" s="28" t="str">
        <x:v>https://www.toproasters.com.tr/post/kahve-fiyatları-neden-yükseliyor-2025-te-kahve-borsasında-son-durum</x:v>
      </x:c>
      <x:c r="J997" s="28" t="str">
        <x:v>Ürün kimliği korundu; eksik alanlar erişilemedi olarak işaretlenecek.</x:v>
      </x:c>
    </x:row>
    <x:row r="998">
      <x:c r="A998" t="str">
        <x:v>Top Roasters</x:v>
      </x:c>
      <x:c r="B998" t="str">
        <x:v>Ürün kaydı</x:v>
      </x:c>
      <x:c r="C998" t="str">
        <x:v>Kahve İçin Quaker Terimi Ne Anlama Gelir?</x:v>
      </x:c>
      <x:c r="D998" t="str">
        <x:v>Menşe belirtilmemiş</x:v>
      </x:c>
      <x:c r="E998" s="1" t="str">
        <x:v>Erişilemedi</x:v>
      </x:c>
      <x:c r="F998" s="2" t="n">
        <x:v>0</x:v>
      </x:c>
      <x:c r="G998" t="str">
        <x:v>Gramaj + fiyat</x:v>
      </x:c>
      <x:c r="H998" t="str">
        <x:v>Site haritası ürün sayfası</x:v>
      </x:c>
      <x:c r="I998" s="28" t="str">
        <x:v>https://www.toproasters.com.tr/post/kahve-i̇çin-quaker-terimi-ne-anlama-gelir</x:v>
      </x:c>
      <x:c r="J998" s="28" t="str">
        <x:v>Ürün kimliği korundu; eksik alanlar erişilemedi olarak işaretlenecek.</x:v>
      </x:c>
    </x:row>
    <x:row r="999">
      <x:c r="A999" t="str">
        <x:v>Top Roasters</x:v>
      </x:c>
      <x:c r="B999" t="str">
        <x:v>Ürün kaydı</x:v>
      </x:c>
      <x:c r="C999" t="str">
        <x:v>Kahve Köpüğü İncelemesi; Köpüğün Arkasındaki Bilimsel Açıklamalar</x:v>
      </x:c>
      <x:c r="D999" t="str">
        <x:v>Menşe belirtilmemiş</x:v>
      </x:c>
      <x:c r="E999" s="1" t="str">
        <x:v>Erişilemedi</x:v>
      </x:c>
      <x:c r="F999" s="2" t="n">
        <x:v>0</x:v>
      </x:c>
      <x:c r="G999" t="str">
        <x:v>Gramaj + fiyat</x:v>
      </x:c>
      <x:c r="H999" t="str">
        <x:v>Site haritası ürün sayfası</x:v>
      </x:c>
      <x:c r="I999" s="28" t="str">
        <x:v>https://www.toproasters.com.tr/post/kahve-köpüğü-i̇ncelemesi-köpüğün-arkasındaki-bilimsel-açıklamalar</x:v>
      </x:c>
      <x:c r="J999" s="28" t="str">
        <x:v>Ürün kimliği korundu; eksik alanlar erişilemedi olarak işaretlenecek.</x:v>
      </x:c>
    </x:row>
    <x:row r="1000">
      <x:c r="A1000" t="str">
        <x:v>Top Roasters</x:v>
      </x:c>
      <x:c r="B1000" t="str">
        <x:v>Ürün kaydı</x:v>
      </x:c>
      <x:c r="C1000" t="str">
        <x:v>Kahve Kültürü İle Mutfak Sanatları Bir Araya Geliyor!</x:v>
      </x:c>
      <x:c r="D1000" t="str">
        <x:v>Menşe belirtilmemiş</x:v>
      </x:c>
      <x:c r="E1000" s="1" t="str">
        <x:v>Erişilemedi</x:v>
      </x:c>
      <x:c r="F1000" s="2" t="n">
        <x:v>0</x:v>
      </x:c>
      <x:c r="G1000" t="str">
        <x:v>Gramaj + fiyat</x:v>
      </x:c>
      <x:c r="H1000" t="str">
        <x:v>Site haritası ürün sayfası</x:v>
      </x:c>
      <x:c r="I1000" s="28" t="str">
        <x:v>https://www.toproasters.com.tr/post/kahve-kültürü-i̇le-mutfak-sanatları-bir-araya-geliyor</x:v>
      </x:c>
      <x:c r="J1000" s="28" t="str">
        <x:v>Ürün kimliği korundu; eksik alanlar erişilemedi olarak işaretlenecek.</x:v>
      </x:c>
    </x:row>
    <x:row r="1001">
      <x:c r="A1001" t="str">
        <x:v>Top Roasters</x:v>
      </x:c>
      <x:c r="B1001" t="str">
        <x:v>Ürün kaydı</x:v>
      </x:c>
      <x:c r="C1001" t="str">
        <x:v>Kahve Lekeleri ile Aranızı Düzeltin</x:v>
      </x:c>
      <x:c r="D1001" t="str">
        <x:v>Menşe belirtilmemiş</x:v>
      </x:c>
      <x:c r="E1001" s="1" t="str">
        <x:v>Erişilemedi</x:v>
      </x:c>
      <x:c r="F1001" s="2" t="n">
        <x:v>0</x:v>
      </x:c>
      <x:c r="G1001" t="str">
        <x:v>Gramaj + fiyat</x:v>
      </x:c>
      <x:c r="H1001" t="str">
        <x:v>Site haritası ürün sayfası</x:v>
      </x:c>
      <x:c r="I1001" s="28" t="str">
        <x:v>https://www.toproasters.com.tr/post/kahve-lekeleri-ile-aranızı-düzeltin</x:v>
      </x:c>
      <x:c r="J1001" s="28" t="str">
        <x:v>Ürün kimliği korundu; eksik alanlar erişilemedi olarak işaretlenecek.</x:v>
      </x:c>
    </x:row>
    <x:row r="1002">
      <x:c r="A1002" t="str">
        <x:v>Top Roasters</x:v>
      </x:c>
      <x:c r="B1002" t="str">
        <x:v>Ürün kaydı</x:v>
      </x:c>
      <x:c r="C1002" t="str">
        <x:v>Kahve Öğütümü Tadı Ne Kadar Etkiler?</x:v>
      </x:c>
      <x:c r="D1002" t="str">
        <x:v>Menşe belirtilmemiş</x:v>
      </x:c>
      <x:c r="E1002" s="1" t="str">
        <x:v>Erişilemedi</x:v>
      </x:c>
      <x:c r="F1002" s="2" t="n">
        <x:v>0</x:v>
      </x:c>
      <x:c r="G1002" t="str">
        <x:v>Gramaj + fiyat</x:v>
      </x:c>
      <x:c r="H1002" t="str">
        <x:v>Site haritası ürün sayfası</x:v>
      </x:c>
      <x:c r="I1002" s="28" t="str">
        <x:v>https://www.toproasters.com.tr/post/kahve-öğütümü-kalınlığı-tadı-ne-kadar-etkiler</x:v>
      </x:c>
      <x:c r="J1002" s="28" t="str">
        <x:v>Ürün kimliği korundu; eksik alanlar erişilemedi olarak işaretlenecek.</x:v>
      </x:c>
    </x:row>
    <x:row r="1003">
      <x:c r="A1003" t="str">
        <x:v>Top Roasters</x:v>
      </x:c>
      <x:c r="B1003" t="str">
        <x:v>Ürün kaydı</x:v>
      </x:c>
      <x:c r="C1003" t="str">
        <x:v>Kahve ve Burçlar; Hangi Kahve Hangi Burca Göre?</x:v>
      </x:c>
      <x:c r="D1003" t="str">
        <x:v>Menşe belirtilmemiş</x:v>
      </x:c>
      <x:c r="E1003" s="1" t="str">
        <x:v>Erişilemedi</x:v>
      </x:c>
      <x:c r="F1003" s="2" t="n">
        <x:v>0</x:v>
      </x:c>
      <x:c r="G1003" t="str">
        <x:v>Gramaj + fiyat</x:v>
      </x:c>
      <x:c r="H1003" t="str">
        <x:v>Site haritası ürün sayfası</x:v>
      </x:c>
      <x:c r="I1003" s="28" t="str">
        <x:v>https://www.toproasters.com.tr/post/kahve-ve-burçlar-hangi-kahve-hangi-burca-göre</x:v>
      </x:c>
      <x:c r="J1003" s="28" t="str">
        <x:v>Ürün kimliği korundu; eksik alanlar erişilemedi olarak işaretlenecek.</x:v>
      </x:c>
    </x:row>
    <x:row r="1004">
      <x:c r="A1004" t="str">
        <x:v>Top Roasters</x:v>
      </x:c>
      <x:c r="B1004" t="str">
        <x:v>Ürün kaydı</x:v>
      </x:c>
      <x:c r="C1004" t="str">
        <x:v>Kahve Yolculuğu: Latin Amerika</x:v>
      </x:c>
      <x:c r="D1004" t="str">
        <x:v>Kolombiya | Brezilya | Guatemala | Honduras</x:v>
      </x:c>
      <x:c r="E1004" s="1" t="str">
        <x:v>Erişilemedi</x:v>
      </x:c>
      <x:c r="F1004" s="2" t="n">
        <x:v>0</x:v>
      </x:c>
      <x:c r="G1004" t="str">
        <x:v>Gramaj + fiyat</x:v>
      </x:c>
      <x:c r="H1004" t="str">
        <x:v>Site haritası ürün sayfası</x:v>
      </x:c>
      <x:c r="I1004" s="28" t="str">
        <x:v>https://www.toproasters.com.tr/post/kahve-yolculuğu-latin-amerika</x:v>
      </x:c>
      <x:c r="J1004" s="28" t="str">
        <x:v>Ürün kimliği korundu; eksik alanlar erişilemedi olarak işaretlenecek.</x:v>
      </x:c>
    </x:row>
    <x:row r="1005">
      <x:c r="A1005" t="str">
        <x:v>Top Roasters</x:v>
      </x:c>
      <x:c r="B1005" t="str">
        <x:v>Ürün kaydı</x:v>
      </x:c>
      <x:c r="C1005" t="str">
        <x:v>Kahve Yolculuğumuzun Yeni Durağı: Colombia – And Dağlarının Altın Çekirdekleri</x:v>
      </x:c>
      <x:c r="D1005" t="str">
        <x:v>Kolombiya</x:v>
      </x:c>
      <x:c r="E1005" s="1" t="str">
        <x:v>Erişilemedi</x:v>
      </x:c>
      <x:c r="F1005" s="2" t="n">
        <x:v>0</x:v>
      </x:c>
      <x:c r="G1005" t="str">
        <x:v>Gramaj + fiyat</x:v>
      </x:c>
      <x:c r="H1005" t="str">
        <x:v>Site haritası ürün sayfası</x:v>
      </x:c>
      <x:c r="I1005" s="28" t="str">
        <x:v>https://www.toproasters.com.tr/post/kahve-yolculuğumuzun-yeni-durağı-colombia-and-dağlarının-altın-çekirdekleri</x:v>
      </x:c>
      <x:c r="J1005" s="28" t="str">
        <x:v>Ürün kimliği korundu; eksik alanlar erişilemedi olarak işaretlenecek.</x:v>
      </x:c>
    </x:row>
    <x:row r="1006">
      <x:c r="A1006" t="str">
        <x:v>Top Roasters</x:v>
      </x:c>
      <x:c r="B1006" t="str">
        <x:v>Ürün kaydı</x:v>
      </x:c>
      <x:c r="C1006" t="str">
        <x:v>Kahve Zirvesi 2022</x:v>
      </x:c>
      <x:c r="D1006" t="str">
        <x:v>Menşe belirtilmemiş</x:v>
      </x:c>
      <x:c r="E1006" s="1" t="str">
        <x:v>Erişilemedi</x:v>
      </x:c>
      <x:c r="F1006" s="2" t="n">
        <x:v>0</x:v>
      </x:c>
      <x:c r="G1006" t="str">
        <x:v>Gramaj + fiyat</x:v>
      </x:c>
      <x:c r="H1006" t="str">
        <x:v>Site haritası ürün sayfası</x:v>
      </x:c>
      <x:c r="I1006" s="28" t="str">
        <x:v>https://www.toproasters.com.tr/post/kahve-zirvesi-2022</x:v>
      </x:c>
      <x:c r="J1006" s="28" t="str">
        <x:v>Ürün kimliği korundu; eksik alanlar erişilemedi olarak işaretlenecek.</x:v>
      </x:c>
    </x:row>
    <x:row r="1007">
      <x:c r="A1007" t="str">
        <x:v>Top Roasters</x:v>
      </x:c>
      <x:c r="B1007" t="str">
        <x:v>Ürün kaydı</x:v>
      </x:c>
      <x:c r="C1007" t="str">
        <x:v>Kahve Zirvesi&amp;#x27;nde Buluşuyoruz!</x:v>
      </x:c>
      <x:c r="D1007" t="str">
        <x:v>Menşe belirtilmemiş</x:v>
      </x:c>
      <x:c r="E1007" s="1" t="str">
        <x:v>Erişilemedi</x:v>
      </x:c>
      <x:c r="F1007" s="2" t="n">
        <x:v>0</x:v>
      </x:c>
      <x:c r="G1007" t="str">
        <x:v>Gramaj + fiyat</x:v>
      </x:c>
      <x:c r="H1007" t="str">
        <x:v>Site haritası ürün sayfası</x:v>
      </x:c>
      <x:c r="I1007" s="28" t="str">
        <x:v>https://www.toproasters.com.tr/post/kahve-zirvesi-nde-buluşuyoruz</x:v>
      </x:c>
      <x:c r="J1007" s="28" t="str">
        <x:v>Ürün kimliği korundu; eksik alanlar erişilemedi olarak işaretlenecek.</x:v>
      </x:c>
    </x:row>
    <x:row r="1008">
      <x:c r="A1008" t="str">
        <x:v>Top Roasters</x:v>
      </x:c>
      <x:c r="B1008" t="str">
        <x:v>Ürün kaydı</x:v>
      </x:c>
      <x:c r="C1008" t="str">
        <x:v>KAHVECİ E-Dergisinin Yeni Sayısı Çıktı!</x:v>
      </x:c>
      <x:c r="D1008" t="str">
        <x:v>Menşe belirtilmemiş</x:v>
      </x:c>
      <x:c r="E1008" s="1" t="str">
        <x:v>Erişilemedi</x:v>
      </x:c>
      <x:c r="F1008" s="2" t="n">
        <x:v>0</x:v>
      </x:c>
      <x:c r="G1008" t="str">
        <x:v>Gramaj + fiyat</x:v>
      </x:c>
      <x:c r="H1008" t="str">
        <x:v>Site haritası ürün sayfası</x:v>
      </x:c>
      <x:c r="I1008" s="28" t="str">
        <x:v>https://www.toproasters.com.tr/post/kahveci-e-dergisinin-yeni-sayisi-cikti</x:v>
      </x:c>
      <x:c r="J1008" s="28" t="str">
        <x:v>Ürün kimliği korundu; eksik alanlar erişilemedi olarak işaretlenecek.</x:v>
      </x:c>
    </x:row>
    <x:row r="1009">
      <x:c r="A1009" t="str">
        <x:v>Top Roasters</x:v>
      </x:c>
      <x:c r="B1009" t="str">
        <x:v>Ürün kaydı</x:v>
      </x:c>
      <x:c r="C1009" t="str">
        <x:v>Kahvenin Keşfedilme Hikayesi</x:v>
      </x:c>
      <x:c r="D1009" t="str">
        <x:v>Menşe belirtilmemiş</x:v>
      </x:c>
      <x:c r="E1009" s="1" t="str">
        <x:v>Erişilemedi</x:v>
      </x:c>
      <x:c r="F1009" s="2" t="n">
        <x:v>0</x:v>
      </x:c>
      <x:c r="G1009" t="str">
        <x:v>Gramaj + fiyat</x:v>
      </x:c>
      <x:c r="H1009" t="str">
        <x:v>Site haritası ürün sayfası</x:v>
      </x:c>
      <x:c r="I1009" s="28" t="str">
        <x:v>https://www.toproasters.com.tr/post/kahvenin-keşfedilme-hikayesi</x:v>
      </x:c>
      <x:c r="J1009" s="28" t="str">
        <x:v>Ürün kimliği korundu; eksik alanlar erişilemedi olarak işaretlenecek.</x:v>
      </x:c>
    </x:row>
    <x:row r="1010">
      <x:c r="A1010" t="str">
        <x:v>Top Roasters</x:v>
      </x:c>
      <x:c r="B1010" t="str">
        <x:v>Ürün kaydı</x:v>
      </x:c>
      <x:c r="C1010" t="str">
        <x:v>Kahvenin Kimyası</x:v>
      </x:c>
      <x:c r="D1010" t="str">
        <x:v>Menşe belirtilmemiş</x:v>
      </x:c>
      <x:c r="E1010" s="1" t="str">
        <x:v>Erişilemedi</x:v>
      </x:c>
      <x:c r="F1010" s="2" t="n">
        <x:v>0</x:v>
      </x:c>
      <x:c r="G1010" t="str">
        <x:v>Gramaj + fiyat</x:v>
      </x:c>
      <x:c r="H1010" t="str">
        <x:v>Site haritası ürün sayfası</x:v>
      </x:c>
      <x:c r="I1010" s="28" t="str">
        <x:v>https://www.toproasters.com.tr/post/kahvenin-kimyası</x:v>
      </x:c>
      <x:c r="J1010" s="28" t="str">
        <x:v>Ürün kimliği korundu; eksik alanlar erişilemedi olarak işaretlenecek.</x:v>
      </x:c>
    </x:row>
    <x:row r="1011">
      <x:c r="A1011" t="str">
        <x:v>Top Roasters</x:v>
      </x:c>
      <x:c r="B1011" t="str">
        <x:v>Ürün kaydı</x:v>
      </x:c>
      <x:c r="C1011" t="str">
        <x:v>Kahveye Şeker Yerine Bal Eklemek İyi Bir Fikir Mi?</x:v>
      </x:c>
      <x:c r="D1011" t="str">
        <x:v>Menşe belirtilmemiş</x:v>
      </x:c>
      <x:c r="E1011" s="1" t="str">
        <x:v>Erişilemedi</x:v>
      </x:c>
      <x:c r="F1011" s="2" t="n">
        <x:v>0</x:v>
      </x:c>
      <x:c r="G1011" t="str">
        <x:v>Gramaj + fiyat</x:v>
      </x:c>
      <x:c r="H1011" t="str">
        <x:v>Site haritası ürün sayfası</x:v>
      </x:c>
      <x:c r="I1011" s="28" t="str">
        <x:v>https://www.toproasters.com.tr/post/kahveye-şeker-yerine-bal-eklemek-i̇yi-bir-fikir-mi</x:v>
      </x:c>
      <x:c r="J1011" s="28" t="str">
        <x:v>Ürün kimliği korundu; eksik alanlar erişilemedi olarak işaretlenecek.</x:v>
      </x:c>
    </x:row>
    <x:row r="1012">
      <x:c r="A1012" t="str">
        <x:v>Top Roasters</x:v>
      </x:c>
      <x:c r="B1012" t="str">
        <x:v>Ürün kaydı</x:v>
      </x:c>
      <x:c r="C1012" t="str">
        <x:v>Kenya AA Kahve Nedir?</x:v>
      </x:c>
      <x:c r="D1012" t="str">
        <x:v>Kenya</x:v>
      </x:c>
      <x:c r="E1012" s="1" t="str">
        <x:v>Erişilemedi</x:v>
      </x:c>
      <x:c r="F1012" s="2" t="n">
        <x:v>0</x:v>
      </x:c>
      <x:c r="G1012" t="str">
        <x:v>Gramaj + fiyat</x:v>
      </x:c>
      <x:c r="H1012" t="str">
        <x:v>Site haritası ürün sayfası</x:v>
      </x:c>
      <x:c r="I1012" s="28" t="str">
        <x:v>https://www.toproasters.com.tr/post/kenya-aa-kahve-nedir</x:v>
      </x:c>
      <x:c r="J1012" s="28" t="str">
        <x:v>Ürün kimliği korundu; eksik alanlar erişilemedi olarak işaretlenecek.</x:v>
      </x:c>
    </x:row>
    <x:row r="1013">
      <x:c r="A1013" t="str">
        <x:v>Top Roasters</x:v>
      </x:c>
      <x:c r="B1013" t="str">
        <x:v>Ürün kaydı</x:v>
      </x:c>
      <x:c r="C1013" t="str">
        <x:v>Mikro-Lot ve Single-Origin Kahveler: 2025’in En Değerli Kahve Trendleri</x:v>
      </x:c>
      <x:c r="D1013" t="str">
        <x:v>Menşe belirtilmemiş</x:v>
      </x:c>
      <x:c r="E1013" s="1" t="str">
        <x:v>Erişilemedi</x:v>
      </x:c>
      <x:c r="F1013" s="2" t="n">
        <x:v>0</x:v>
      </x:c>
      <x:c r="G1013" t="str">
        <x:v>Gramaj + fiyat</x:v>
      </x:c>
      <x:c r="H1013" t="str">
        <x:v>Site haritası ürün sayfası</x:v>
      </x:c>
      <x:c r="I1013" s="28" t="str">
        <x:v>https://www.toproasters.com.tr/post/mikro-lot-ve-single-origin-kahveler-2025-in-en-değerli-kahve-trendleri</x:v>
      </x:c>
      <x:c r="J1013" s="28" t="str">
        <x:v>Ürün kimliği korundu; eksik alanlar erişilemedi olarak işaretlenecek.</x:v>
      </x:c>
    </x:row>
    <x:row r="1014">
      <x:c r="A1014" t="str">
        <x:v>Top Roasters</x:v>
      </x:c>
      <x:c r="B1014" t="str">
        <x:v>Ürün kaydı</x:v>
      </x:c>
      <x:c r="C1014" t="str">
        <x:v>Neden Aynı Kahve Her Seferinde Farklı Tat Verir? (Gerçek Sebepler)</x:v>
      </x:c>
      <x:c r="D1014" t="str">
        <x:v>Menşe belirtilmemiş</x:v>
      </x:c>
      <x:c r="E1014" s="1" t="str">
        <x:v>Erişilemedi</x:v>
      </x:c>
      <x:c r="F1014" s="2" t="n">
        <x:v>0</x:v>
      </x:c>
      <x:c r="G1014" t="str">
        <x:v>Gramaj + fiyat</x:v>
      </x:c>
      <x:c r="H1014" t="str">
        <x:v>Site haritası ürün sayfası</x:v>
      </x:c>
      <x:c r="I1014" s="28" t="str">
        <x:v>https://www.toproasters.com.tr/post/neden-aynı-kahve-her-seferinde-farklı-tat-verir-gerçek-sebepler</x:v>
      </x:c>
      <x:c r="J1014" s="28" t="str">
        <x:v>Ürün kimliği korundu; eksik alanlar erişilemedi olarak işaretlenecek.</x:v>
      </x:c>
    </x:row>
    <x:row r="1015">
      <x:c r="A1015" t="str">
        <x:v>Top Roasters</x:v>
      </x:c>
      <x:c r="B1015" t="str">
        <x:v>Ürün kaydı</x:v>
      </x:c>
      <x:c r="C1015" t="str">
        <x:v>Sabahınızın Vazgeçilmezi: Kahveyle Güne Enerjik Başlamanın 5 Yolu</x:v>
      </x:c>
      <x:c r="D1015" t="str">
        <x:v>Menşe belirtilmemiş</x:v>
      </x:c>
      <x:c r="E1015" s="1" t="str">
        <x:v>Erişilemedi</x:v>
      </x:c>
      <x:c r="F1015" s="2" t="n">
        <x:v>0</x:v>
      </x:c>
      <x:c r="G1015" t="str">
        <x:v>Gramaj + fiyat</x:v>
      </x:c>
      <x:c r="H1015" t="str">
        <x:v>Site haritası ürün sayfası</x:v>
      </x:c>
      <x:c r="I1015" s="28" t="str">
        <x:v>https://www.toproasters.com.tr/post/sabahınızın-vazgeçilmezi-kahveyle-güne-enerjik-başlamanın-5-yolu</x:v>
      </x:c>
      <x:c r="J1015" s="28" t="str">
        <x:v>Ürün kimliği korundu; eksik alanlar erişilemedi olarak işaretlenecek.</x:v>
      </x:c>
    </x:row>
    <x:row r="1016">
      <x:c r="A1016" t="str">
        <x:v>Top Roasters</x:v>
      </x:c>
      <x:c r="B1016" t="str">
        <x:v>Ürün kaydı</x:v>
      </x:c>
      <x:c r="C1016" t="str">
        <x:v>Sade Kahveye Alışabilir Misiniz?</x:v>
      </x:c>
      <x:c r="D1016" t="str">
        <x:v>Menşe belirtilmemiş</x:v>
      </x:c>
      <x:c r="E1016" s="1" t="str">
        <x:v>Erişilemedi</x:v>
      </x:c>
      <x:c r="F1016" s="2" t="n">
        <x:v>0</x:v>
      </x:c>
      <x:c r="G1016" t="str">
        <x:v>Gramaj + fiyat</x:v>
      </x:c>
      <x:c r="H1016" t="str">
        <x:v>Site haritası ürün sayfası</x:v>
      </x:c>
      <x:c r="I1016" s="28" t="str">
        <x:v>https://www.toproasters.com.tr/post/sade-kahveye-alışabilir-misiniz</x:v>
      </x:c>
      <x:c r="J1016" s="28" t="str">
        <x:v>Ürün kimliği korundu; eksik alanlar erişilemedi olarak işaretlenecek.</x:v>
      </x:c>
    </x:row>
    <x:row r="1017">
      <x:c r="A1017" t="str">
        <x:v>Top Roasters</x:v>
      </x:c>
      <x:c r="B1017" t="str">
        <x:v>Ürün kaydı</x:v>
      </x:c>
      <x:c r="C1017" t="str">
        <x:v>Sıcak Kahveyi Doğru Soğutma Yöntemleri</x:v>
      </x:c>
      <x:c r="D1017" t="str">
        <x:v>Menşe belirtilmemiş</x:v>
      </x:c>
      <x:c r="E1017" s="1" t="str">
        <x:v>Erişilemedi</x:v>
      </x:c>
      <x:c r="F1017" s="2" t="n">
        <x:v>0</x:v>
      </x:c>
      <x:c r="G1017" t="str">
        <x:v>Gramaj + fiyat</x:v>
      </x:c>
      <x:c r="H1017" t="str">
        <x:v>Site haritası ürün sayfası</x:v>
      </x:c>
      <x:c r="I1017" s="28" t="str">
        <x:v>https://www.toproasters.com.tr/post/sıcak-kahveyi-doğru-soğutma-yöntemleri</x:v>
      </x:c>
      <x:c r="J1017" s="28" t="str">
        <x:v>Ürün kimliği korundu; eksik alanlar erişilemedi olarak işaretlenecek.</x:v>
      </x:c>
    </x:row>
    <x:row r="1018">
      <x:c r="A1018" t="str">
        <x:v>Top Roasters</x:v>
      </x:c>
      <x:c r="B1018" t="str">
        <x:v>Ürün kaydı</x:v>
      </x:c>
      <x:c r="C1018" t="str">
        <x:v>Sürdürülebilir Kahve Üretimi: Geleceğin Kahvesi Nasıl Yetişiyor?</x:v>
      </x:c>
      <x:c r="D1018" t="str">
        <x:v>Menşe belirtilmemiş</x:v>
      </x:c>
      <x:c r="E1018" s="1" t="str">
        <x:v>Erişilemedi</x:v>
      </x:c>
      <x:c r="F1018" s="2" t="n">
        <x:v>0</x:v>
      </x:c>
      <x:c r="G1018" t="str">
        <x:v>Gramaj + fiyat</x:v>
      </x:c>
      <x:c r="H1018" t="str">
        <x:v>Site haritası ürün sayfası</x:v>
      </x:c>
      <x:c r="I1018" s="28" t="str">
        <x:v>https://www.toproasters.com.tr/post/sürdürülebilir-kahve-üretimi-geleceğin-kahvesi-nasıl-yetişiyor</x:v>
      </x:c>
      <x:c r="J1018" s="28" t="str">
        <x:v>Ürün kimliği korundu; eksik alanlar erişilemedi olarak işaretlenecek.</x:v>
      </x:c>
    </x:row>
    <x:row r="1019">
      <x:c r="A1019" t="str">
        <x:v>Top Roasters</x:v>
      </x:c>
      <x:c r="B1019" t="str">
        <x:v>Ürün kaydı</x:v>
      </x:c>
      <x:c r="C1019" t="str">
        <x:v>Tadı Acıysa Sorun Kahvede Değil, Ekstraksiyonda Olabilir.</x:v>
      </x:c>
      <x:c r="D1019" t="str">
        <x:v>Menşe belirtilmemiş</x:v>
      </x:c>
      <x:c r="E1019" s="1" t="str">
        <x:v>Erişilemedi</x:v>
      </x:c>
      <x:c r="F1019" s="2" t="n">
        <x:v>0</x:v>
      </x:c>
      <x:c r="G1019" t="str">
        <x:v>Gramaj + fiyat</x:v>
      </x:c>
      <x:c r="H1019" t="str">
        <x:v>Site haritası ürün sayfası</x:v>
      </x:c>
      <x:c r="I1019" s="28" t="str">
        <x:v>https://www.toproasters.com.tr/post/tadı-acıysa-sorun-kahvede-değil-ekstraksiyonda-olabilir</x:v>
      </x:c>
      <x:c r="J1019" s="28" t="str">
        <x:v>Ürün kimliği korundu; eksik alanlar erişilemedi olarak işaretlenecek.</x:v>
      </x:c>
    </x:row>
    <x:row r="1020">
      <x:c r="A1020" t="str">
        <x:v>Top Roasters</x:v>
      </x:c>
      <x:c r="B1020" t="str">
        <x:v>Ürün kaydı</x:v>
      </x:c>
      <x:c r="C1020" t="str">
        <x:v>Top Roasters 5+1 Espresso Paketi – Daha Fazla Kahve, Daha Fazla Lezzet, Daha Az Maliyet</x:v>
      </x:c>
      <x:c r="D1020" t="str">
        <x:v>Menşe belirtilmemiş</x:v>
      </x:c>
      <x:c r="E1020" s="1" t="str">
        <x:v>Erişilemedi</x:v>
      </x:c>
      <x:c r="F1020" s="2" t="n">
        <x:v>0</x:v>
      </x:c>
      <x:c r="G1020" t="str">
        <x:v>Gramaj + fiyat</x:v>
      </x:c>
      <x:c r="H1020" t="str">
        <x:v>Site haritası ürün sayfası</x:v>
      </x:c>
      <x:c r="I1020" s="28" t="str">
        <x:v>https://www.toproasters.com.tr/post/top-roasters-5-1-espresso-paketi-daha-fazla-kahve-daha-fazla-lezzet-daha-az-maliyet</x:v>
      </x:c>
      <x:c r="J1020" s="28" t="str">
        <x:v>Ürün kimliği korundu; eksik alanlar erişilemedi olarak işaretlenecek.</x:v>
      </x:c>
    </x:row>
    <x:row r="1021">
      <x:c r="A1021" t="str">
        <x:v>Top Roasters</x:v>
      </x:c>
      <x:c r="B1021" t="str">
        <x:v>Ürün kaydı</x:v>
      </x:c>
      <x:c r="C1021" t="str">
        <x:v>Top Roasters ile Kahve Yolculuğu: İlk Durak Dubai</x:v>
      </x:c>
      <x:c r="D1021" t="str">
        <x:v>Menşe belirtilmemiş</x:v>
      </x:c>
      <x:c r="E1021" s="1" t="str">
        <x:v>Erişilemedi</x:v>
      </x:c>
      <x:c r="F1021" s="2" t="n">
        <x:v>0</x:v>
      </x:c>
      <x:c r="G1021" t="str">
        <x:v>Gramaj + fiyat</x:v>
      </x:c>
      <x:c r="H1021" t="str">
        <x:v>Site haritası ürün sayfası</x:v>
      </x:c>
      <x:c r="I1021" s="28" t="str">
        <x:v>https://www.toproasters.com.tr/post/top-roasters-ile-kahve-yolculuğu-i̇lk-durak-dubai</x:v>
      </x:c>
      <x:c r="J1021" s="28" t="str">
        <x:v>Ürün kimliği korundu; eksik alanlar erişilemedi olarak işaretlenecek.</x:v>
      </x:c>
    </x:row>
    <x:row r="1022">
      <x:c r="A1022" t="str">
        <x:v>Top Roasters</x:v>
      </x:c>
      <x:c r="B1022" t="str">
        <x:v>Ürün kaydı</x:v>
      </x:c>
      <x:c r="C1022" t="str">
        <x:v>Top Roasters Premium Coffee Atlas Üniversitesi İçerisinde Hizmet Vermeye Başladı!</x:v>
      </x:c>
      <x:c r="D1022" t="str">
        <x:v>Menşe belirtilmemiş</x:v>
      </x:c>
      <x:c r="E1022" s="1" t="str">
        <x:v>Erişilemedi</x:v>
      </x:c>
      <x:c r="F1022" s="2" t="n">
        <x:v>0</x:v>
      </x:c>
      <x:c r="G1022" t="str">
        <x:v>Gramaj + fiyat</x:v>
      </x:c>
      <x:c r="H1022" t="str">
        <x:v>Site haritası ürün sayfası</x:v>
      </x:c>
      <x:c r="I1022" s="28" t="str">
        <x:v>https://www.toproasters.com.tr/post/top-roasters-premium-coffee-atlas-universitesi-i-cerisinde-hizmet-vermeye-basladı</x:v>
      </x:c>
      <x:c r="J1022" s="28" t="str">
        <x:v>Ürün kimliği korundu; eksik alanlar erişilemedi olarak işaretlenecek.</x:v>
      </x:c>
    </x:row>
    <x:row r="1023">
      <x:c r="A1023" t="str">
        <x:v>Top Roasters</x:v>
      </x:c>
      <x:c r="B1023" t="str">
        <x:v>Ürün kaydı</x:v>
      </x:c>
      <x:c r="C1023" t="str">
        <x:v>Top Roasters Premium Coffee Bünyesinde Kurulan ADAM’S COOKIES Başarısını Kalite Ödülüyle Perçinledi!</x:v>
      </x:c>
      <x:c r="D1023" t="str">
        <x:v>Menşe belirtilmemiş</x:v>
      </x:c>
      <x:c r="E1023" s="1" t="str">
        <x:v>Erişilemedi</x:v>
      </x:c>
      <x:c r="F1023" s="2" t="n">
        <x:v>0</x:v>
      </x:c>
      <x:c r="G1023" t="str">
        <x:v>Gramaj + fiyat</x:v>
      </x:c>
      <x:c r="H1023" t="str">
        <x:v>Site haritası ürün sayfası</x:v>
      </x:c>
      <x:c r="I1023" s="28" t="str">
        <x:v>https://www.toproasters.com.tr/post/top-roasters-premium-coffee-bunyesinde-kurulan-adam-s-cookies-basarisini-kalite-oduluyle-percinledi</x:v>
      </x:c>
      <x:c r="J1023" s="28" t="str">
        <x:v>Ürün kimliği korundu; eksik alanlar erişilemedi olarak işaretlenecek.</x:v>
      </x:c>
    </x:row>
    <x:row r="1024">
      <x:c r="A1024" t="str">
        <x:v>Top Roasters</x:v>
      </x:c>
      <x:c r="B1024" t="str">
        <x:v>Ürün kaydı</x:v>
      </x:c>
      <x:c r="C1024" t="str">
        <x:v>Top Roasters World of Coffee Dubai 2026’da: Q Grader Adem Kahveci ile Kahvenin Geleceğine Yolculuk</x:v>
      </x:c>
      <x:c r="D1024" t="str">
        <x:v>Menşe belirtilmemiş</x:v>
      </x:c>
      <x:c r="E1024" s="1" t="str">
        <x:v>Erişilemedi</x:v>
      </x:c>
      <x:c r="F1024" s="2" t="n">
        <x:v>0</x:v>
      </x:c>
      <x:c r="G1024" t="str">
        <x:v>Gramaj + fiyat</x:v>
      </x:c>
      <x:c r="H1024" t="str">
        <x:v>Site haritası ürün sayfası</x:v>
      </x:c>
      <x:c r="I1024" s="28" t="str">
        <x:v>https://www.toproasters.com.tr/post/top-roasters-world-of-coffee-dubai-2026-da-q-grader-adem-kahveci-ile-kahvenin-geleceğine-yolculuk</x:v>
      </x:c>
      <x:c r="J1024" s="28" t="str">
        <x:v>Ürün kimliği korundu; eksik alanlar erişilemedi olarak işaretlenecek.</x:v>
      </x:c>
    </x:row>
    <x:row r="1025">
      <x:c r="A1025" t="str">
        <x:v>Top Roasters</x:v>
      </x:c>
      <x:c r="B1025" t="str">
        <x:v>Ürün kaydı</x:v>
      </x:c>
      <x:c r="C1025" t="str">
        <x:v>TR KAHVECİ</x:v>
      </x:c>
      <x:c r="D1025" t="str">
        <x:v>Menşe belirtilmemiş</x:v>
      </x:c>
      <x:c r="E1025" s="1" t="str">
        <x:v>Erişilemedi</x:v>
      </x:c>
      <x:c r="F1025" s="2" t="n">
        <x:v>0</x:v>
      </x:c>
      <x:c r="G1025" t="str">
        <x:v>Gramaj + fiyat</x:v>
      </x:c>
      <x:c r="H1025" t="str">
        <x:v>Site haritası ürün sayfası</x:v>
      </x:c>
      <x:c r="I1025" s="28" t="str">
        <x:v>https://www.toproasters.com.tr/post/tr-kahveci̇</x:v>
      </x:c>
      <x:c r="J1025" s="28" t="str">
        <x:v>Ürün kimliği korundu; eksik alanlar erişilemedi olarak işaretlenecek.</x:v>
      </x:c>
    </x:row>
    <x:row r="1026">
      <x:c r="A1026" t="str">
        <x:v>Top Roasters</x:v>
      </x:c>
      <x:c r="B1026" t="str">
        <x:v>Ürün kaydı</x:v>
      </x:c>
      <x:c r="C1026" t="str">
        <x:v>Türkiye’de Kahve Yetişir mi? Gerçekler, Denemeler ve Geleceğin Potansiyeli | Top Roasters Coffee</x:v>
      </x:c>
      <x:c r="D1026" t="str">
        <x:v>Menşe belirtilmemiş</x:v>
      </x:c>
      <x:c r="E1026" s="1" t="str">
        <x:v>Erişilemedi</x:v>
      </x:c>
      <x:c r="F1026" s="2" t="n">
        <x:v>0</x:v>
      </x:c>
      <x:c r="G1026" t="str">
        <x:v>Gramaj + fiyat</x:v>
      </x:c>
      <x:c r="H1026" t="str">
        <x:v>Site haritası ürün sayfası</x:v>
      </x:c>
      <x:c r="I1026" s="28" t="str">
        <x:v>https://www.toproasters.com.tr/post/türkiye-de-kahve-yetişir-mi-gerçekler-denemeler-ve-geleceğin-potansiyeli-top-roasters-coffee</x:v>
      </x:c>
      <x:c r="J1026" s="28" t="str">
        <x:v>Ürün kimliği korundu; eksik alanlar erişilemedi olarak işaretlenecek.</x:v>
      </x:c>
    </x:row>
    <x:row r="1027">
      <x:c r="A1027" t="str">
        <x:v>Troika Roasting Co.</x:v>
      </x:c>
      <x:c r="B1027" t="str">
        <x:v>Ürün kaydı</x:v>
      </x:c>
      <x:c r="C1027" t="str">
        <x:v>Timemore Coffee Server 600ml</x:v>
      </x:c>
      <x:c r="D1027" t="str">
        <x:v>Menşe belirtilmemiş</x:v>
      </x:c>
      <x:c r="E1027" s="1" t="str">
        <x:v>Erişilemedi</x:v>
      </x:c>
      <x:c r="F1027" s="2" t="n">
        <x:v>850</x:v>
      </x:c>
      <x:c r="G1027" t="str">
        <x:v>Gramaj</x:v>
      </x:c>
      <x:c r="H1027" t="str">
        <x:v>Site haritası ürün sayfası</x:v>
      </x:c>
      <x:c r="I1027" s="28" t="str">
        <x:v>https://troikaroasting.co/timemore-coffee-server-600ml</x:v>
      </x:c>
      <x:c r="J1027" s="28" t="str">
        <x:v>Ürün kimliği korundu; eksik alanlar erişilemedi olarak işaretlenecek.</x:v>
      </x:c>
    </x:row>
    <x:row r="1028">
      <x:c r="A1028" t="str">
        <x:v>Tropika Coffee Roastery</x:v>
      </x:c>
      <x:c r="B1028" t="str">
        <x:v>Ürün kaydı</x:v>
      </x:c>
      <x:c r="C1028" t="str">
        <x:v>Ethiopia Bombe 250g</x:v>
      </x:c>
      <x:c r="D1028" t="str">
        <x:v>Etiyopya</x:v>
      </x:c>
      <x:c r="E1028" s="1" t="n">
        <x:v>250</x:v>
      </x:c>
      <x:c r="F1028" s="2" t="n">
        <x:v>0</x:v>
      </x:c>
      <x:c r="G1028" t="str">
        <x:v>Fiyat</x:v>
      </x:c>
      <x:c r="H1028" t="str">
        <x:v>Site haritası ürün sayfası</x:v>
      </x:c>
      <x:c r="I1028" s="28" t="str">
        <x:v>https://www.tropikacoffee.com/product-page/ethiopia-bombe-250gr</x:v>
      </x:c>
      <x:c r="J1028" s="28" t="str">
        <x:v>Ürün kimliği korundu; eksik alanlar erişilemedi olarak işaretlenecek.</x:v>
      </x:c>
    </x:row>
    <x:row r="1029">
      <x:c r="A1029" t="str">
        <x:v>Tropika Coffee Roastery</x:v>
      </x:c>
      <x:c r="B1029" t="str">
        <x:v>Ürün kaydı</x:v>
      </x:c>
      <x:c r="C1029" t="str">
        <x:v>Ethiopia Sidamo 1Kg</x:v>
      </x:c>
      <x:c r="D1029" t="str">
        <x:v>Etiyopya</x:v>
      </x:c>
      <x:c r="E1029" s="1" t="n">
        <x:v>1000</x:v>
      </x:c>
      <x:c r="F1029" s="2" t="n">
        <x:v>0</x:v>
      </x:c>
      <x:c r="G1029" t="str">
        <x:v>Fiyat</x:v>
      </x:c>
      <x:c r="H1029" t="str">
        <x:v>Site haritası ürün sayfası</x:v>
      </x:c>
      <x:c r="I1029" s="28" t="str">
        <x:v>https://www.tropikacoffee.com/product-page/ethiopia-sidamo</x:v>
      </x:c>
      <x:c r="J1029" s="28" t="str">
        <x:v>Ürün kimliği korundu; eksik alanlar erişilemedi olarak işaretlenecek.</x:v>
      </x:c>
    </x:row>
    <x:row r="1030">
      <x:c r="A1030" t="str">
        <x:v>Tropika Coffee Roastery</x:v>
      </x:c>
      <x:c r="B1030" t="str">
        <x:v>Ürün kaydı</x:v>
      </x:c>
      <x:c r="C1030" t="str">
        <x:v>Ethiopia Sidamo 250g</x:v>
      </x:c>
      <x:c r="D1030" t="str">
        <x:v>Etiyopya</x:v>
      </x:c>
      <x:c r="E1030" s="1" t="n">
        <x:v>250</x:v>
      </x:c>
      <x:c r="F1030" s="2" t="n">
        <x:v>0</x:v>
      </x:c>
      <x:c r="G1030" t="str">
        <x:v>Fiyat</x:v>
      </x:c>
      <x:c r="H1030" t="str">
        <x:v>Site haritası ürün sayfası</x:v>
      </x:c>
      <x:c r="I1030" s="28" t="str">
        <x:v>https://www.tropikacoffee.com/product-page/single-origin-1</x:v>
      </x:c>
      <x:c r="J1030" s="28" t="str">
        <x:v>Ürün kimliği korundu; eksik alanlar erişilemedi olarak işaretlenecek.</x:v>
      </x:c>
    </x:row>
    <x:row r="1031">
      <x:c r="A1031" t="str">
        <x:v>Tropika Coffee Roastery</x:v>
      </x:c>
      <x:c r="B1031" t="str">
        <x:v>Ürün kaydı</x:v>
      </x:c>
      <x:c r="C1031" t="str">
        <x:v>Guatemala Antigua Santa Rosa 1Kg</x:v>
      </x:c>
      <x:c r="D1031" t="str">
        <x:v>Guatemala</x:v>
      </x:c>
      <x:c r="E1031" s="1" t="n">
        <x:v>1000</x:v>
      </x:c>
      <x:c r="F1031" s="2" t="n">
        <x:v>0</x:v>
      </x:c>
      <x:c r="G1031" t="str">
        <x:v>Fiyat</x:v>
      </x:c>
      <x:c r="H1031" t="str">
        <x:v>Site haritası ürün sayfası</x:v>
      </x:c>
      <x:c r="I1031" s="28" t="str">
        <x:v>https://www.tropikacoffee.com/product-page/guatemala-antigua-santa-rosa</x:v>
      </x:c>
      <x:c r="J1031" s="28" t="str">
        <x:v>Ürün kimliği korundu; eksik alanlar erişilemedi olarak işaretlenecek.</x:v>
      </x:c>
    </x:row>
    <x:row r="1032">
      <x:c r="A1032" t="str">
        <x:v>Tropika Coffee Roastery</x:v>
      </x:c>
      <x:c r="B1032" t="str">
        <x:v>Ürün kaydı</x:v>
      </x:c>
      <x:c r="C1032" t="str">
        <x:v>Guatemala Antigua Santa Rosa 250g</x:v>
      </x:c>
      <x:c r="D1032" t="str">
        <x:v>Guatemala</x:v>
      </x:c>
      <x:c r="E1032" s="1" t="n">
        <x:v>250</x:v>
      </x:c>
      <x:c r="F1032" s="2" t="n">
        <x:v>0</x:v>
      </x:c>
      <x:c r="G1032" t="str">
        <x:v>Fiyat</x:v>
      </x:c>
      <x:c r="H1032" t="str">
        <x:v>Site haritası ürün sayfası</x:v>
      </x:c>
      <x:c r="I1032" s="28" t="str">
        <x:v>https://www.tropikacoffee.com/product-page/single-origin</x:v>
      </x:c>
      <x:c r="J1032" s="28" t="str">
        <x:v>Ürün kimliği korundu; eksik alanlar erişilemedi olarak işaretlenecek.</x:v>
      </x:c>
    </x:row>
    <x:row r="1033">
      <x:c r="A1033" t="str">
        <x:v>Tropika Coffee Roastery</x:v>
      </x:c>
      <x:c r="B1033" t="str">
        <x:v>Ürün kaydı</x:v>
      </x:c>
      <x:c r="C1033" t="str">
        <x:v>Honduras San Marcos 1Kg</x:v>
      </x:c>
      <x:c r="D1033" t="str">
        <x:v>Honduras</x:v>
      </x:c>
      <x:c r="E1033" s="1" t="n">
        <x:v>1000</x:v>
      </x:c>
      <x:c r="F1033" s="2" t="n">
        <x:v>0</x:v>
      </x:c>
      <x:c r="G1033" t="str">
        <x:v>Fiyat</x:v>
      </x:c>
      <x:c r="H1033" t="str">
        <x:v>Site haritası ürün sayfası</x:v>
      </x:c>
      <x:c r="I1033" s="28" t="str">
        <x:v>https://www.tropikacoffee.com/product-page/honduras-san-marcos-1</x:v>
      </x:c>
      <x:c r="J1033" s="28" t="str">
        <x:v>Ürün kimliği korundu; eksik alanlar erişilemedi olarak işaretlenecek.</x:v>
      </x:c>
    </x:row>
    <x:row r="1034">
      <x:c r="A1034" t="str">
        <x:v>Tropika Coffee Roastery</x:v>
      </x:c>
      <x:c r="B1034" t="str">
        <x:v>Ürün kaydı</x:v>
      </x:c>
      <x:c r="C1034" t="str">
        <x:v>Indonesia Java Arjuno 250g</x:v>
      </x:c>
      <x:c r="D1034" t="str">
        <x:v>Endonezya</x:v>
      </x:c>
      <x:c r="E1034" s="1" t="n">
        <x:v>250</x:v>
      </x:c>
      <x:c r="F1034" s="2" t="n">
        <x:v>0</x:v>
      </x:c>
      <x:c r="G1034" t="str">
        <x:v>Fiyat</x:v>
      </x:c>
      <x:c r="H1034" t="str">
        <x:v>Site haritası ürün sayfası</x:v>
      </x:c>
      <x:c r="I1034" s="28" t="str">
        <x:v>https://www.tropikacoffee.com/product-page/indonesia-java-arjuno</x:v>
      </x:c>
      <x:c r="J1034" s="28" t="str">
        <x:v>Ürün kimliği korundu; eksik alanlar erişilemedi olarak işaretlenecek.</x:v>
      </x:c>
    </x:row>
    <x:row r="1035">
      <x:c r="A1035" t="str">
        <x:v>Tropika Coffee Roastery</x:v>
      </x:c>
      <x:c r="B1035" t="str">
        <x:v>Ürün kaydı</x:v>
      </x:c>
      <x:c r="C1035" t="str">
        <x:v>Indonesia Java Darum 250g</x:v>
      </x:c>
      <x:c r="D1035" t="str">
        <x:v>Endonezya</x:v>
      </x:c>
      <x:c r="E1035" s="1" t="n">
        <x:v>250</x:v>
      </x:c>
      <x:c r="F1035" s="2" t="n">
        <x:v>0</x:v>
      </x:c>
      <x:c r="G1035" t="str">
        <x:v>Fiyat</x:v>
      </x:c>
      <x:c r="H1035" t="str">
        <x:v>Site haritası ürün sayfası</x:v>
      </x:c>
      <x:c r="I1035" s="28" t="str">
        <x:v>https://www.tropikacoffee.com/product-page/indonesia-java-darum-250g</x:v>
      </x:c>
      <x:c r="J1035" s="28" t="str">
        <x:v>Ürün kimliği korundu; eksik alanlar erişilemedi olarak işaretlenecek.</x:v>
      </x:c>
    </x:row>
    <x:row r="1036">
      <x:c r="A1036" t="str">
        <x:v>Tropika Coffee Roastery</x:v>
      </x:c>
      <x:c r="B1036" t="str">
        <x:v>Ürün kaydı</x:v>
      </x:c>
      <x:c r="C1036" t="str">
        <x:v>Indonesia Java Dieng 250g</x:v>
      </x:c>
      <x:c r="D1036" t="str">
        <x:v>Endonezya</x:v>
      </x:c>
      <x:c r="E1036" s="1" t="n">
        <x:v>250</x:v>
      </x:c>
      <x:c r="F1036" s="2" t="n">
        <x:v>0</x:v>
      </x:c>
      <x:c r="G1036" t="str">
        <x:v>Fiyat</x:v>
      </x:c>
      <x:c r="H1036" t="str">
        <x:v>Site haritası ürün sayfası</x:v>
      </x:c>
      <x:c r="I1036" s="28" t="str">
        <x:v>https://www.tropikacoffee.com/product-page/indonesia-java-dieng-250g</x:v>
      </x:c>
      <x:c r="J1036" s="28" t="str">
        <x:v>Ürün kimliği korundu; eksik alanlar erişilemedi olarak işaretlenecek.</x:v>
      </x:c>
    </x:row>
    <x:row r="1037">
      <x:c r="A1037" t="str">
        <x:v>Tropika Coffee Roastery</x:v>
      </x:c>
      <x:c r="B1037" t="str">
        <x:v>Ürün kaydı</x:v>
      </x:c>
      <x:c r="C1037" t="str">
        <x:v>Indonesia Java Halu Banana 250g</x:v>
      </x:c>
      <x:c r="D1037" t="str">
        <x:v>Endonezya</x:v>
      </x:c>
      <x:c r="E1037" s="1" t="n">
        <x:v>250</x:v>
      </x:c>
      <x:c r="F1037" s="2" t="n">
        <x:v>0</x:v>
      </x:c>
      <x:c r="G1037" t="str">
        <x:v>Fiyat</x:v>
      </x:c>
      <x:c r="H1037" t="str">
        <x:v>Site haritası ürün sayfası</x:v>
      </x:c>
      <x:c r="I1037" s="28" t="str">
        <x:v>https://www.tropikacoffee.com/product-page/indonesia-java-halu-banana-250g</x:v>
      </x:c>
      <x:c r="J1037" s="28" t="str">
        <x:v>Ürün kimliği korundu; eksik alanlar erişilemedi olarak işaretlenecek.</x:v>
      </x:c>
    </x:row>
    <x:row r="1038">
      <x:c r="A1038" t="str">
        <x:v>Tropika Coffee Roastery</x:v>
      </x:c>
      <x:c r="B1038" t="str">
        <x:v>Ürün kaydı</x:v>
      </x:c>
      <x:c r="C1038" t="str">
        <x:v>Indonesia Kerinci 250g</x:v>
      </x:c>
      <x:c r="D1038" t="str">
        <x:v>Endonezya</x:v>
      </x:c>
      <x:c r="E1038" s="1" t="n">
        <x:v>250</x:v>
      </x:c>
      <x:c r="F1038" s="2" t="n">
        <x:v>0</x:v>
      </x:c>
      <x:c r="G1038" t="str">
        <x:v>Fiyat</x:v>
      </x:c>
      <x:c r="H1038" t="str">
        <x:v>Site haritası ürün sayfası</x:v>
      </x:c>
      <x:c r="I1038" s="28" t="str">
        <x:v>https://www.tropikacoffee.com/product-page/indonesia-kerinci-250g</x:v>
      </x:c>
      <x:c r="J1038" s="28" t="str">
        <x:v>Ürün kimliği korundu; eksik alanlar erişilemedi olarak işaretlenecek.</x:v>
      </x:c>
    </x:row>
    <x:row r="1039">
      <x:c r="A1039" t="str">
        <x:v>Tropika Coffee Roastery</x:v>
      </x:c>
      <x:c r="B1039" t="str">
        <x:v>Ürün kaydı</x:v>
      </x:c>
      <x:c r="C1039" t="str">
        <x:v>Indonesia Tana Toraja 250g</x:v>
      </x:c>
      <x:c r="D1039" t="str">
        <x:v>Endonezya</x:v>
      </x:c>
      <x:c r="E1039" s="1" t="n">
        <x:v>250</x:v>
      </x:c>
      <x:c r="F1039" s="2" t="n">
        <x:v>0</x:v>
      </x:c>
      <x:c r="G1039" t="str">
        <x:v>Fiyat</x:v>
      </x:c>
      <x:c r="H1039" t="str">
        <x:v>Site haritası ürün sayfası</x:v>
      </x:c>
      <x:c r="I1039" s="28" t="str">
        <x:v>https://www.tropikacoffee.com/product-page/indonesia-tana-toraja</x:v>
      </x:c>
      <x:c r="J1039" s="28" t="str">
        <x:v>Ürün kimliği korundu; eksik alanlar erişilemedi olarak işaretlenecek.</x:v>
      </x:c>
    </x:row>
    <x:row r="1040">
      <x:c r="A1040" t="str">
        <x:v>Tropika Coffee Roastery</x:v>
      </x:c>
      <x:c r="B1040" t="str">
        <x:v>Ürün kaydı</x:v>
      </x:c>
      <x:c r="C1040" t="str">
        <x:v>Tropika Natura Espresso Blend 1Kg</x:v>
      </x:c>
      <x:c r="D1040" t="str">
        <x:v>Harman – menşe belirtilmemiş</x:v>
      </x:c>
      <x:c r="E1040" s="1" t="n">
        <x:v>1000</x:v>
      </x:c>
      <x:c r="F1040" s="2" t="n">
        <x:v>0</x:v>
      </x:c>
      <x:c r="G1040" t="str">
        <x:v>Fiyat</x:v>
      </x:c>
      <x:c r="H1040" t="str">
        <x:v>Site haritası ürün sayfası</x:v>
      </x:c>
      <x:c r="I1040" s="28" t="str">
        <x:v>https://www.tropikacoffee.com/product-page/tropika-natura-espresso-blend-1</x:v>
      </x:c>
      <x:c r="J1040" s="28" t="str">
        <x:v>Ürün kimliği korundu; eksik alanlar erişilemedi olarak işaretlenecek.</x:v>
      </x:c>
    </x:row>
    <x:row r="1041">
      <x:c r="A1041" t="str">
        <x:v>Tropika Coffee Roastery</x:v>
      </x:c>
      <x:c r="B1041" t="str">
        <x:v>Ürün kaydı</x:v>
      </x:c>
      <x:c r="C1041" t="str">
        <x:v>Tropika Natura Espresso Blend 250g</x:v>
      </x:c>
      <x:c r="D1041" t="str">
        <x:v>Harman – menşe belirtilmemiş</x:v>
      </x:c>
      <x:c r="E1041" s="1" t="n">
        <x:v>250</x:v>
      </x:c>
      <x:c r="F1041" s="2" t="n">
        <x:v>0</x:v>
      </x:c>
      <x:c r="G1041" t="str">
        <x:v>Fiyat</x:v>
      </x:c>
      <x:c r="H1041" t="str">
        <x:v>Site haritası ürün sayfası</x:v>
      </x:c>
      <x:c r="I1041" s="28" t="str">
        <x:v>https://www.tropikacoffee.com/product-page/tropika-natura-espresso-blend</x:v>
      </x:c>
      <x:c r="J1041" s="28" t="str">
        <x:v>Ürün kimliği korundu; eksik alanlar erişilemedi olarak işaretlenecek.</x:v>
      </x:c>
    </x:row>
    <x:row r="1042">
      <x:c r="A1042" t="str">
        <x:v>Twentysix Coffee</x:v>
      </x:c>
      <x:c r="B1042" t="str">
        <x:v>Katalog takip kaydı</x:v>
      </x:c>
      <x:c r="C1042" t="str">
        <x:v>Ürün kataloğu — ayrıntılı ürün verisine erişilemedi</x:v>
      </x:c>
      <x:c r="D1042" t="str">
        <x:v>Erişilemedi</x:v>
      </x:c>
      <x:c r="E1042" s="1" t="str">
        <x:v>Erişilemedi</x:v>
      </x:c>
      <x:c r="F1042" s="2" t="str">
        <x:v>Erişilemedi</x:v>
      </x:c>
      <x:c r="G1042" t="str">
        <x:v>Gramaj + fiyat</x:v>
      </x:c>
      <x:c r="H1042" t="str">
        <x:v>Instagram veya mevcut kaynak</x:v>
      </x:c>
      <x:c r="I1042" s="28" t="str">
        <x:v>Erişilemedi</x:v>
      </x:c>
      <x:c r="J1042" s="28" t="str">
        <x:v>Ürün adı, gramaj ve fiyat birlikte çıkarılamadı. Bağlantı manuel inceleme için korundu.</x:v>
      </x:c>
    </x:row>
    <x:row r="1043">
      <x:c r="A1043" t="str">
        <x:v>Walker’s Coffee</x:v>
      </x:c>
      <x:c r="B1043" t="str">
        <x:v>Katalog takip kaydı</x:v>
      </x:c>
      <x:c r="C1043" t="str">
        <x:v>Ürün kataloğu — ayrıntılı ürün verisine erişilemedi</x:v>
      </x:c>
      <x:c r="D1043" t="str">
        <x:v>Erişilemedi</x:v>
      </x:c>
      <x:c r="E1043" s="1" t="str">
        <x:v>Erişilemedi</x:v>
      </x:c>
      <x:c r="F1043" s="2" t="str">
        <x:v>Erişilemedi</x:v>
      </x:c>
      <x:c r="G1043" t="str">
        <x:v>Gramaj + fiyat</x:v>
      </x:c>
      <x:c r="H1043" t="str">
        <x:v>Instagram veya mevcut kaynak</x:v>
      </x:c>
      <x:c r="I1043" s="28" t="str">
        <x:v>Erişilemedi</x:v>
      </x:c>
      <x:c r="J1043" s="28" t="str">
        <x:v>Ürün adı, gramaj ve fiyat birlikte çıkarılamadı. Bağlantı manuel inceleme için korundu.</x:v>
      </x:c>
    </x:row>
    <x:row r="1044">
      <x:c r="A1044" t="str">
        <x:v>Walter’s Coffee Roastery</x:v>
      </x:c>
      <x:c r="B1044" t="str">
        <x:v>Ürün kaydı</x:v>
      </x:c>
      <x:c r="C1044" t="str">
        <x:v>ethiopia mitima shantawene - 250gr</x:v>
      </x:c>
      <x:c r="D1044" t="str">
        <x:v>Etiyopya</x:v>
      </x:c>
      <x:c r="E1044" s="1" t="n">
        <x:v>250</x:v>
      </x:c>
      <x:c r="F1044" s="2" t="n">
        <x:v>0</x:v>
      </x:c>
      <x:c r="G1044" t="str">
        <x:v>Fiyat</x:v>
      </x:c>
      <x:c r="H1044" t="str">
        <x:v>Site haritası ürün sayfası</x:v>
      </x:c>
      <x:c r="I1044" s="28" t="str">
        <x:v>https://walterscoffee.com/products/ethiopia-mitima-shantawene-250-gr</x:v>
      </x:c>
      <x:c r="J1044" s="28" t="str">
        <x:v>Ürün kimliği korundu; eksik alanlar erişilemedi olarak işaretlenecek.</x:v>
      </x:c>
    </x:row>
    <x:row r="1045">
      <x:c r="A1045" t="str">
        <x:v>Walter’s Coffee Roastery</x:v>
      </x:c>
      <x:c r="B1045" t="str">
        <x:v>Ürün kaydı</x:v>
      </x:c>
      <x:c r="C1045" t="str">
        <x:v>guatemala dona linda - 250gr</x:v>
      </x:c>
      <x:c r="D1045" t="str">
        <x:v>Guatemala</x:v>
      </x:c>
      <x:c r="E1045" s="1" t="n">
        <x:v>250</x:v>
      </x:c>
      <x:c r="F1045" s="2" t="n">
        <x:v>0</x:v>
      </x:c>
      <x:c r="G1045" t="str">
        <x:v>Fiyat</x:v>
      </x:c>
      <x:c r="H1045" t="str">
        <x:v>Site haritası ürün sayfası</x:v>
      </x:c>
      <x:c r="I1045" s="28" t="str">
        <x:v>https://walterscoffee.com/products/guatemala-dona-linda-250-gr</x:v>
      </x:c>
      <x:c r="J1045" s="28" t="str">
        <x:v>Ürün kimliği korundu; eksik alanlar erişilemedi olarak işaretlenecek.</x:v>
      </x:c>
    </x:row>
    <x:row r="1046">
      <x:c r="A1046" t="str">
        <x:v>Walter’s Coffee Roastery</x:v>
      </x:c>
      <x:c r="B1046" t="str">
        <x:v>Ürün kaydı</x:v>
      </x:c>
      <x:c r="C1046" t="str">
        <x:v>guatemala oriente - 250gr</x:v>
      </x:c>
      <x:c r="D1046" t="str">
        <x:v>Guatemala</x:v>
      </x:c>
      <x:c r="E1046" s="1" t="n">
        <x:v>250</x:v>
      </x:c>
      <x:c r="F1046" s="2" t="n">
        <x:v>0</x:v>
      </x:c>
      <x:c r="G1046" t="str">
        <x:v>Fiyat</x:v>
      </x:c>
      <x:c r="H1046" t="str">
        <x:v>Site haritası ürün sayfası</x:v>
      </x:c>
      <x:c r="I1046" s="28" t="str">
        <x:v>https://walterscoffee.com/products/guatemala-oriente-250-gr</x:v>
      </x:c>
      <x:c r="J1046" s="28" t="str">
        <x:v>Ürün kimliği korundu; eksik alanlar erişilemedi olarak işaretlenecek.</x:v>
      </x:c>
    </x:row>
    <x:row r="1047">
      <x:c r="A1047" t="str">
        <x:v>Walter’s Coffee Roastery</x:v>
      </x:c>
      <x:c r="B1047" t="str">
        <x:v>Ürün kaydı</x:v>
      </x:c>
      <x:c r="C1047" t="str">
        <x:v>honduras tutule - 250gr</x:v>
      </x:c>
      <x:c r="D1047" t="str">
        <x:v>Honduras</x:v>
      </x:c>
      <x:c r="E1047" s="1" t="n">
        <x:v>250</x:v>
      </x:c>
      <x:c r="F1047" s="2" t="n">
        <x:v>0</x:v>
      </x:c>
      <x:c r="G1047" t="str">
        <x:v>Fiyat</x:v>
      </x:c>
      <x:c r="H1047" t="str">
        <x:v>Site haritası ürün sayfası</x:v>
      </x:c>
      <x:c r="I1047" s="28" t="str">
        <x:v>https://walterscoffee.com/products/honduras-tutule</x:v>
      </x:c>
      <x:c r="J1047" s="28" t="str">
        <x:v>Ürün kimliği korundu; eksik alanlar erişilemedi olarak işaretlenecek.</x:v>
      </x:c>
    </x:row>
    <x:row r="1048">
      <x:c r="A1048" t="str">
        <x:v>Walter’s Coffee Roastery</x:v>
      </x:c>
      <x:c r="B1048" t="str">
        <x:v>Ürün kaydı</x:v>
      </x:c>
      <x:c r="C1048" t="str">
        <x:v>rwanda baho - 250gr</x:v>
      </x:c>
      <x:c r="D1048" t="str">
        <x:v>Ruanda</x:v>
      </x:c>
      <x:c r="E1048" s="1" t="n">
        <x:v>250</x:v>
      </x:c>
      <x:c r="F1048" s="2" t="n">
        <x:v>0</x:v>
      </x:c>
      <x:c r="G1048" t="str">
        <x:v>Fiyat</x:v>
      </x:c>
      <x:c r="H1048" t="str">
        <x:v>Site haritası ürün sayfası</x:v>
      </x:c>
      <x:c r="I1048" s="28" t="str">
        <x:v>https://walterscoffee.com/products/rwanda-baho-250gr</x:v>
      </x:c>
      <x:c r="J1048" s="28" t="str">
        <x:v>Ürün kimliği korundu; eksik alanlar erişilemedi olarak işaretlenecek.</x:v>
      </x:c>
    </x:row>
    <x:row r="1049">
      <x:c r="A1049" t="str">
        <x:v>Walter’s Coffee Roastery</x:v>
      </x:c>
      <x:c r="B1049" t="str">
        <x:v>Ürün kaydı</x:v>
      </x:c>
      <x:c r="C1049" t="str">
        <x:v>Walter's Tea - SAMBA 50gr.</x:v>
      </x:c>
      <x:c r="D1049" t="str">
        <x:v>Menşe belirtilmemiş</x:v>
      </x:c>
      <x:c r="E1049" s="1" t="n">
        <x:v>50</x:v>
      </x:c>
      <x:c r="F1049" s="2" t="n">
        <x:v>0</x:v>
      </x:c>
      <x:c r="G1049" t="str">
        <x:v>Fiyat</x:v>
      </x:c>
      <x:c r="H1049" t="str">
        <x:v>Site haritası ürün sayfası</x:v>
      </x:c>
      <x:c r="I1049" s="28" t="str">
        <x:v>https://walterscoffee.com/products/walters-tea-samba-50gr</x:v>
      </x:c>
      <x:c r="J1049" s="28" t="str">
        <x:v>Ürün kimliği korundu; eksik alanlar erişilemedi olarak işaretlenecek.</x:v>
      </x:c>
    </x:row>
    <x:row r="1050">
      <x:c r="A1050" t="str">
        <x:v>Walter’s Coffee Roastery</x:v>
      </x:c>
      <x:c r="B1050" t="str">
        <x:v>Ürün kaydı</x:v>
      </x:c>
      <x:c r="C1050" t="str">
        <x:v>Walter's Tea - SPECIAL 50gr</x:v>
      </x:c>
      <x:c r="D1050" t="str">
        <x:v>Harman – menşe belirtilmemiş</x:v>
      </x:c>
      <x:c r="E1050" s="1" t="n">
        <x:v>50</x:v>
      </x:c>
      <x:c r="F1050" s="2" t="n">
        <x:v>0</x:v>
      </x:c>
      <x:c r="G1050" t="str">
        <x:v>Fiyat</x:v>
      </x:c>
      <x:c r="H1050" t="str">
        <x:v>Site haritası ürün sayfası</x:v>
      </x:c>
      <x:c r="I1050" s="28" t="str">
        <x:v>https://walterscoffee.com/products/walters-tea-special-50gr</x:v>
      </x:c>
      <x:c r="J1050" s="28" t="str">
        <x:v>Ürün kimliği korundu; eksik alanlar erişilemedi olarak işaretlenecek.</x:v>
      </x:c>
    </x:row>
    <x:row r="1051">
      <x:c r="A1051" t="str">
        <x:v>Walter’s Coffee Roastery</x:v>
      </x:c>
      <x:c r="B1051" t="str">
        <x:v>Ürün kaydı</x:v>
      </x:c>
      <x:c r="C1051" t="str">
        <x:v>Walters Coffee &amp;ndash; walterscoffee</x:v>
      </x:c>
      <x:c r="D1051" t="str">
        <x:v>Menşe belirtilmemiş</x:v>
      </x:c>
      <x:c r="E1051" s="1" t="str">
        <x:v>Erişilemedi</x:v>
      </x:c>
      <x:c r="F1051" s="2" t="n">
        <x:v>0</x:v>
      </x:c>
      <x:c r="G1051" t="str">
        <x:v>Gramaj + fiyat</x:v>
      </x:c>
      <x:c r="H1051" t="str">
        <x:v>Site haritası ürün sayfası</x:v>
      </x:c>
      <x:c r="I1051" s="28" t="str">
        <x:v>https://walterscoffee.com/</x:v>
      </x:c>
      <x:c r="J1051" s="28" t="str">
        <x:v>Ürün kimliği korundu; eksik alanlar erişilemedi olarak işaretlenecek.</x:v>
      </x:c>
    </x:row>
    <x:row r="1052">
      <x:c r="A1052" t="str">
        <x:v>Whiff Coffee Roastery</x:v>
      </x:c>
      <x:c r="B1052" t="str">
        <x:v>Ürün kaydı</x:v>
      </x:c>
      <x:c r="C1052" t="str">
        <x:v>Nitelikli Kahve Dükkanı | Toptan Kahve | Danışmanlık | Whiff Coffee Roastery</x:v>
      </x:c>
      <x:c r="D1052" t="str">
        <x:v>Menşe belirtilmemiş</x:v>
      </x:c>
      <x:c r="E1052" s="1" t="str">
        <x:v>Erişilemedi</x:v>
      </x:c>
      <x:c r="F1052" s="2" t="n">
        <x:v>1000</x:v>
      </x:c>
      <x:c r="G1052" t="str">
        <x:v>Gramaj</x:v>
      </x:c>
      <x:c r="H1052" t="str">
        <x:v>Site haritası ürün sayfası</x:v>
      </x:c>
      <x:c r="I1052" s="28" t="str">
        <x:v>https://whiffcoffeeroastery.com</x:v>
      </x:c>
      <x:c r="J1052" s="28" t="str">
        <x:v>Ürün kimliği korundu; eksik alanlar erişilemedi olarak işaretlenecek.</x:v>
      </x:c>
    </x:row>
    <x:row r="1053">
      <x:c r="A1053" t="str">
        <x:v>Whole Bean Coffee</x:v>
      </x:c>
      <x:c r="B1053" t="str">
        <x:v>Katalog takip kaydı</x:v>
      </x:c>
      <x:c r="C1053" t="str">
        <x:v>Ürün kataloğu — ayrıntılı ürün verisine erişilemedi</x:v>
      </x:c>
      <x:c r="D1053" t="str">
        <x:v>Erişilemedi</x:v>
      </x:c>
      <x:c r="E1053" s="1" t="str">
        <x:v>Erişilemedi</x:v>
      </x:c>
      <x:c r="F1053" s="2" t="str">
        <x:v>Erişilemedi</x:v>
      </x:c>
      <x:c r="G1053" t="str">
        <x:v>Gramaj + fiyat</x:v>
      </x:c>
      <x:c r="H1053" t="str">
        <x:v>Instagram veya mevcut kaynak</x:v>
      </x:c>
      <x:c r="I1053" s="28" t="str">
        <x:v>Erişilemedi</x:v>
      </x:c>
      <x:c r="J1053" s="28" t="str">
        <x:v>Ürün adı, gramaj ve fiyat birlikte çıkarılamadı. Bağlantı manuel inceleme için korundu.</x:v>
      </x:c>
    </x:row>
    <x:row r="1054">
      <x:c r="A1054" t="str">
        <x:v>Williams Roastery</x:v>
      </x:c>
      <x:c r="B1054" t="str">
        <x:v>Ürün kaydı</x:v>
      </x:c>
      <x:c r="C1054" t="str">
        <x:v>Brazil Carmo</x:v>
      </x:c>
      <x:c r="D1054" t="str">
        <x:v>Brezilya</x:v>
      </x:c>
      <x:c r="E1054" s="1" t="str">
        <x:v>Erişilemedi</x:v>
      </x:c>
      <x:c r="F1054" s="2" t="n">
        <x:v>485</x:v>
      </x:c>
      <x:c r="G1054" t="str">
        <x:v>Gramaj</x:v>
      </x:c>
      <x:c r="H1054" t="str">
        <x:v>WooCommerce Store API</x:v>
      </x:c>
      <x:c r="I1054" s="28" t="str">
        <x:v>https://williamsroastery.com/brazil-carmo/</x:v>
      </x:c>
      <x:c r="J1054" s="28" t="str">
        <x:v>Fiyat veya gramaj eksik olsa da ürün korundu.</x:v>
      </x:c>
    </x:row>
    <x:row r="1055">
      <x:c r="A1055" t="str">
        <x:v>Williams Roastery</x:v>
      </x:c>
      <x:c r="B1055" t="str">
        <x:v>Ürün kaydı</x:v>
      </x:c>
      <x:c r="C1055" t="str">
        <x:v>Colombia La Loma Sidra</x:v>
      </x:c>
      <x:c r="D1055" t="str">
        <x:v>Kolombiya</x:v>
      </x:c>
      <x:c r="E1055" s="1" t="str">
        <x:v>Erişilemedi</x:v>
      </x:c>
      <x:c r="F1055" s="2" t="n">
        <x:v>1200</x:v>
      </x:c>
      <x:c r="G1055" t="str">
        <x:v>Gramaj</x:v>
      </x:c>
      <x:c r="H1055" t="str">
        <x:v>WooCommerce Store API</x:v>
      </x:c>
      <x:c r="I1055" s="28" t="str">
        <x:v>https://williamsroastery.com/colombia-la-loma-sidra/</x:v>
      </x:c>
      <x:c r="J1055" s="28" t="str">
        <x:v>Fiyat veya gramaj eksik olsa da ürün korundu.</x:v>
      </x:c>
    </x:row>
    <x:row r="1056">
      <x:c r="A1056" t="str">
        <x:v>Williams Roastery</x:v>
      </x:c>
      <x:c r="B1056" t="str">
        <x:v>Ürün kaydı</x:v>
      </x:c>
      <x:c r="C1056" t="str">
        <x:v>Colombia Monteblanco Citrullus</x:v>
      </x:c>
      <x:c r="D1056" t="str">
        <x:v>Kolombiya</x:v>
      </x:c>
      <x:c r="E1056" s="1" t="str">
        <x:v>Erişilemedi</x:v>
      </x:c>
      <x:c r="F1056" s="2" t="n">
        <x:v>950</x:v>
      </x:c>
      <x:c r="G1056" t="str">
        <x:v>Gramaj</x:v>
      </x:c>
      <x:c r="H1056" t="str">
        <x:v>WooCommerce Store API</x:v>
      </x:c>
      <x:c r="I1056" s="28" t="str">
        <x:v>https://williamsroastery.com/colombia-monteblanco-citrullus/</x:v>
      </x:c>
      <x:c r="J1056" s="28" t="str">
        <x:v>Fiyat veya gramaj eksik olsa da ürün korundu.</x:v>
      </x:c>
    </x:row>
    <x:row r="1057">
      <x:c r="A1057" t="str">
        <x:v>Zuhalkız Kahve</x:v>
      </x:c>
      <x:c r="B1057" t="str">
        <x:v>Katalog takip kaydı</x:v>
      </x:c>
      <x:c r="C1057" t="str">
        <x:v>Ürün kataloğu — ayrıntılı ürün verisine erişilemedi</x:v>
      </x:c>
      <x:c r="D1057" t="str">
        <x:v>Erişilemedi</x:v>
      </x:c>
      <x:c r="E1057" s="1" t="str">
        <x:v>Erişilemedi</x:v>
      </x:c>
      <x:c r="F1057" s="2" t="str">
        <x:v>Erişilemedi</x:v>
      </x:c>
      <x:c r="G1057" t="str">
        <x:v>Gramaj + fiyat</x:v>
      </x:c>
      <x:c r="H1057" t="str">
        <x:v>Instagram veya mevcut kaynak</x:v>
      </x:c>
      <x:c r="I1057" s="28" t="str">
        <x:v>Erişilemedi</x:v>
      </x:c>
      <x:c r="J1057" s="28" t="str">
        <x:v>Ürün adı, gramaj ve fiyat birlikte çıkarılamadı. Bağlantı manuel inceleme için korundu.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7ec6f60e37345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4" hidden="0" customWidth="1"/>
  </x:cols>
  <x:sheetData>
    <x:row r="1">
      <x:c r="A1" s="5" t="str">
        <x:v>Filtresiz menşe kapsamı</x:v>
      </x:c>
      <x:c r="B1" s="5"/>
      <x:c r="C1" s="5"/>
      <x:c r="D1" s="5"/>
      <x:c r="E1" s="5"/>
    </x:row>
    <x:row r="3">
      <x:c r="A3" s="30" t="str">
        <x:v>Menşe</x:v>
      </x:c>
      <x:c r="B3" s="30" t="str">
        <x:v>Ürün-varyant</x:v>
      </x:c>
      <x:c r="C3" s="30" t="str">
        <x:v>Fiyatı erişilen</x:v>
      </x:c>
      <x:c r="D3" s="30" t="str">
        <x:v>Gramajı erişilen</x:v>
      </x:c>
      <x:c r="E3" s="30" t="str">
        <x:v>TL/kg hesaplanabilen</x:v>
      </x:c>
    </x:row>
    <x:row r="4">
      <x:c r="A4" t="str">
        <x:v>Brezilya</x:v>
      </x:c>
      <x:c r="B4" t="n">
        <x:f>COUNTIFS('Geniş Ürün Endeksi'!$F$4:$F$1714,A4,'Geniş Ürün Endeksi'!$D$4:$D$1714,"Ürün kaydı")</x:f>
        <x:v>101</x:v>
      </x:c>
      <x:c r="C4" t="n">
        <x:f>COUNTIFS('Geniş Ürün Endeksi'!$F$4:$F$1714,A4,'Geniş Ürün Endeksi'!$J$4:$J$1714,"Erişildi")</x:f>
        <x:v>81</x:v>
      </x:c>
      <x:c r="D4" t="n">
        <x:f>COUNTIFS('Geniş Ürün Endeksi'!$F$4:$F$1714,A4,'Geniş Ürün Endeksi'!$H$4:$H$1714,"Erişildi")</x:f>
        <x:v>53</x:v>
      </x:c>
      <x:c r="E4" t="n">
        <x:f>COUNTIFS('Geniş Ürün Endeksi'!$F$4:$F$1714,A4,'Geniş Ürün Endeksi'!$H$4:$H$1714,"Erişildi",'Geniş Ürün Endeksi'!$J$4:$J$1714,"Erişildi")</x:f>
        <x:v>49</x:v>
      </x:c>
    </x:row>
    <x:row r="5">
      <x:c r="A5" t="str">
        <x:v>Brezilya | Guatemala | Honduras</x:v>
      </x:c>
      <x:c r="B5" t="n">
        <x:f>COUNTIFS('Geniş Ürün Endeksi'!$F$4:$F$1714,A5,'Geniş Ürün Endeksi'!$D$4:$D$1714,"Ürün kaydı")</x:f>
        <x:v>4</x:v>
      </x:c>
      <x:c r="C5" t="n">
        <x:f>COUNTIFS('Geniş Ürün Endeksi'!$F$4:$F$1714,A5,'Geniş Ürün Endeksi'!$J$4:$J$1714,"Erişildi")</x:f>
        <x:v>2</x:v>
      </x:c>
      <x:c r="D5" t="n">
        <x:f>COUNTIFS('Geniş Ürün Endeksi'!$F$4:$F$1714,A5,'Geniş Ürün Endeksi'!$H$4:$H$1714,"Erişildi")</x:f>
        <x:v>4</x:v>
      </x:c>
      <x:c r="E5" t="n">
        <x:f>COUNTIFS('Geniş Ürün Endeksi'!$F$4:$F$1714,A5,'Geniş Ürün Endeksi'!$H$4:$H$1714,"Erişildi",'Geniş Ürün Endeksi'!$J$4:$J$1714,"Erişildi")</x:f>
        <x:v>2</x:v>
      </x:c>
    </x:row>
    <x:row r="6">
      <x:c r="A6" t="str">
        <x:v>Brezilya | Hindistan</x:v>
      </x:c>
      <x:c r="B6" t="n">
        <x:f>COUNTIFS('Geniş Ürün Endeksi'!$F$4:$F$1714,A6,'Geniş Ürün Endeksi'!$D$4:$D$1714,"Ürün kaydı")</x:f>
        <x:v>6</x:v>
      </x:c>
      <x:c r="C6" t="n">
        <x:f>COUNTIFS('Geniş Ürün Endeksi'!$F$4:$F$1714,A6,'Geniş Ürün Endeksi'!$J$4:$J$1714,"Erişildi")</x:f>
        <x:v>4</x:v>
      </x:c>
      <x:c r="D6" t="n">
        <x:f>COUNTIFS('Geniş Ürün Endeksi'!$F$4:$F$1714,A6,'Geniş Ürün Endeksi'!$H$4:$H$1714,"Erişildi")</x:f>
        <x:v>5</x:v>
      </x:c>
      <x:c r="E6" t="n">
        <x:f>COUNTIFS('Geniş Ürün Endeksi'!$F$4:$F$1714,A6,'Geniş Ürün Endeksi'!$H$4:$H$1714,"Erişildi",'Geniş Ürün Endeksi'!$J$4:$J$1714,"Erişildi")</x:f>
        <x:v>3</x:v>
      </x:c>
    </x:row>
    <x:row r="7">
      <x:c r="A7" t="str">
        <x:v>Brezilya | Honduras | El Salvador</x:v>
      </x:c>
      <x:c r="B7" t="n">
        <x:f>COUNTIFS('Geniş Ürün Endeksi'!$F$4:$F$1714,A7,'Geniş Ürün Endeksi'!$D$4:$D$1714,"Ürün kaydı")</x:f>
        <x:v>2</x:v>
      </x:c>
      <x:c r="C7" t="n">
        <x:f>COUNTIFS('Geniş Ürün Endeksi'!$F$4:$F$1714,A7,'Geniş Ürün Endeksi'!$J$4:$J$1714,"Erişildi")</x:f>
        <x:v>2</x:v>
      </x:c>
      <x:c r="D7" t="n">
        <x:f>COUNTIFS('Geniş Ürün Endeksi'!$F$4:$F$1714,A7,'Geniş Ürün Endeksi'!$H$4:$H$1714,"Erişildi")</x:f>
        <x:v>2</x:v>
      </x:c>
      <x:c r="E7" t="n">
        <x:f>COUNTIFS('Geniş Ürün Endeksi'!$F$4:$F$1714,A7,'Geniş Ürün Endeksi'!$H$4:$H$1714,"Erişildi",'Geniş Ürün Endeksi'!$J$4:$J$1714,"Erişildi")</x:f>
        <x:v>2</x:v>
      </x:c>
    </x:row>
    <x:row r="8">
      <x:c r="A8" t="str">
        <x:v>Brezilya | Kenya | Guatemala</x:v>
      </x:c>
      <x:c r="B8" t="n">
        <x:f>COUNTIFS('Geniş Ürün Endeksi'!$F$4:$F$1714,A8,'Geniş Ürün Endeksi'!$D$4:$D$1714,"Ürün kaydı")</x:f>
        <x:v>1</x:v>
      </x:c>
      <x:c r="C8" t="n">
        <x:f>COUNTIFS('Geniş Ürün Endeksi'!$F$4:$F$1714,A8,'Geniş Ürün Endeksi'!$J$4:$J$1714,"Erişildi")</x:f>
        <x:v>1</x:v>
      </x:c>
      <x:c r="D8" t="n">
        <x:f>COUNTIFS('Geniş Ürün Endeksi'!$F$4:$F$1714,A8,'Geniş Ürün Endeksi'!$H$4:$H$1714,"Erişildi")</x:f>
        <x:v>1</x:v>
      </x:c>
      <x:c r="E8" t="n">
        <x:f>COUNTIFS('Geniş Ürün Endeksi'!$F$4:$F$1714,A8,'Geniş Ürün Endeksi'!$H$4:$H$1714,"Erişildi",'Geniş Ürün Endeksi'!$J$4:$J$1714,"Erişildi")</x:f>
        <x:v>1</x:v>
      </x:c>
    </x:row>
    <x:row r="9">
      <x:c r="A9" t="str">
        <x:v>Brezilya | Kosta Rika | Panama</x:v>
      </x:c>
      <x:c r="B9" t="n">
        <x:f>COUNTIFS('Geniş Ürün Endeksi'!$F$4:$F$1714,A9,'Geniş Ürün Endeksi'!$D$4:$D$1714,"Ürün kaydı")</x:f>
        <x:v>1</x:v>
      </x:c>
      <x:c r="C9" t="n">
        <x:f>COUNTIFS('Geniş Ürün Endeksi'!$F$4:$F$1714,A9,'Geniş Ürün Endeksi'!$J$4:$J$1714,"Erişildi")</x:f>
        <x:v>1</x:v>
      </x:c>
      <x:c r="D9" t="n">
        <x:f>COUNTIFS('Geniş Ürün Endeksi'!$F$4:$F$1714,A9,'Geniş Ürün Endeksi'!$H$4:$H$1714,"Erişildi")</x:f>
        <x:v>0</x:v>
      </x:c>
      <x:c r="E9" t="n">
        <x:f>COUNTIFS('Geniş Ürün Endeksi'!$F$4:$F$1714,A9,'Geniş Ürün Endeksi'!$H$4:$H$1714,"Erişildi",'Geniş Ürün Endeksi'!$J$4:$J$1714,"Erişildi")</x:f>
        <x:v>0</x:v>
      </x:c>
    </x:row>
    <x:row r="10">
      <x:c r="A10" t="str">
        <x:v>Brezilya | Yemen</x:v>
      </x:c>
      <x:c r="B10" t="n">
        <x:f>COUNTIFS('Geniş Ürün Endeksi'!$F$4:$F$1714,A10,'Geniş Ürün Endeksi'!$D$4:$D$1714,"Ürün kaydı")</x:f>
        <x:v>1</x:v>
      </x:c>
      <x:c r="C10" t="n">
        <x:f>COUNTIFS('Geniş Ürün Endeksi'!$F$4:$F$1714,A10,'Geniş Ürün Endeksi'!$J$4:$J$1714,"Erişildi")</x:f>
        <x:v>1</x:v>
      </x:c>
      <x:c r="D10" t="n">
        <x:f>COUNTIFS('Geniş Ürün Endeksi'!$F$4:$F$1714,A10,'Geniş Ürün Endeksi'!$H$4:$H$1714,"Erişildi")</x:f>
        <x:v>0</x:v>
      </x:c>
      <x:c r="E10" t="n">
        <x:f>COUNTIFS('Geniş Ürün Endeksi'!$F$4:$F$1714,A10,'Geniş Ürün Endeksi'!$H$4:$H$1714,"Erişildi",'Geniş Ürün Endeksi'!$J$4:$J$1714,"Erişildi")</x:f>
        <x:v>0</x:v>
      </x:c>
    </x:row>
    <x:row r="11">
      <x:c r="A11" t="str">
        <x:v>Burundi</x:v>
      </x:c>
      <x:c r="B11" t="n">
        <x:f>COUNTIFS('Geniş Ürün Endeksi'!$F$4:$F$1714,A11,'Geniş Ürün Endeksi'!$D$4:$D$1714,"Ürün kaydı")</x:f>
        <x:v>10</x:v>
      </x:c>
      <x:c r="C11" t="n">
        <x:f>COUNTIFS('Geniş Ürün Endeksi'!$F$4:$F$1714,A11,'Geniş Ürün Endeksi'!$J$4:$J$1714,"Erişildi")</x:f>
        <x:v>8</x:v>
      </x:c>
      <x:c r="D11" t="n">
        <x:f>COUNTIFS('Geniş Ürün Endeksi'!$F$4:$F$1714,A11,'Geniş Ürün Endeksi'!$H$4:$H$1714,"Erişildi")</x:f>
        <x:v>6</x:v>
      </x:c>
      <x:c r="E11" t="n">
        <x:f>COUNTIFS('Geniş Ürün Endeksi'!$F$4:$F$1714,A11,'Geniş Ürün Endeksi'!$H$4:$H$1714,"Erişildi",'Geniş Ürün Endeksi'!$J$4:$J$1714,"Erişildi")</x:f>
        <x:v>6</x:v>
      </x:c>
    </x:row>
    <x:row r="12">
      <x:c r="A12" t="str">
        <x:v>El Salvador</x:v>
      </x:c>
      <x:c r="B12" t="n">
        <x:f>COUNTIFS('Geniş Ürün Endeksi'!$F$4:$F$1714,A12,'Geniş Ürün Endeksi'!$D$4:$D$1714,"Ürün kaydı")</x:f>
        <x:v>30</x:v>
      </x:c>
      <x:c r="C12" t="n">
        <x:f>COUNTIFS('Geniş Ürün Endeksi'!$F$4:$F$1714,A12,'Geniş Ürün Endeksi'!$J$4:$J$1714,"Erişildi")</x:f>
        <x:v>25</x:v>
      </x:c>
      <x:c r="D12" t="n">
        <x:f>COUNTIFS('Geniş Ürün Endeksi'!$F$4:$F$1714,A12,'Geniş Ürün Endeksi'!$H$4:$H$1714,"Erişildi")</x:f>
        <x:v>16</x:v>
      </x:c>
      <x:c r="E12" t="n">
        <x:f>COUNTIFS('Geniş Ürün Endeksi'!$F$4:$F$1714,A12,'Geniş Ürün Endeksi'!$H$4:$H$1714,"Erişildi",'Geniş Ürün Endeksi'!$J$4:$J$1714,"Erişildi")</x:f>
        <x:v>16</x:v>
      </x:c>
    </x:row>
    <x:row r="13">
      <x:c r="A13" t="str">
        <x:v>Endonezya</x:v>
      </x:c>
      <x:c r="B13" t="n">
        <x:f>COUNTIFS('Geniş Ürün Endeksi'!$F$4:$F$1714,A13,'Geniş Ürün Endeksi'!$D$4:$D$1714,"Ürün kaydı")</x:f>
        <x:v>36</x:v>
      </x:c>
      <x:c r="C13" t="n">
        <x:f>COUNTIFS('Geniş Ürün Endeksi'!$F$4:$F$1714,A13,'Geniş Ürün Endeksi'!$J$4:$J$1714,"Erişildi")</x:f>
        <x:v>25</x:v>
      </x:c>
      <x:c r="D13" t="n">
        <x:f>COUNTIFS('Geniş Ürün Endeksi'!$F$4:$F$1714,A13,'Geniş Ürün Endeksi'!$H$4:$H$1714,"Erişildi")</x:f>
        <x:v>25</x:v>
      </x:c>
      <x:c r="E13" t="n">
        <x:f>COUNTIFS('Geniş Ürün Endeksi'!$F$4:$F$1714,A13,'Geniş Ürün Endeksi'!$H$4:$H$1714,"Erişildi",'Geniş Ürün Endeksi'!$J$4:$J$1714,"Erişildi")</x:f>
        <x:v>18</x:v>
      </x:c>
    </x:row>
    <x:row r="14">
      <x:c r="A14" t="str">
        <x:v>Endonezya | Yemen</x:v>
      </x:c>
      <x:c r="B14" t="n">
        <x:f>COUNTIFS('Geniş Ürün Endeksi'!$F$4:$F$1714,A14,'Geniş Ürün Endeksi'!$D$4:$D$1714,"Ürün kaydı")</x:f>
        <x:v>2</x:v>
      </x:c>
      <x:c r="C14" t="n">
        <x:f>COUNTIFS('Geniş Ürün Endeksi'!$F$4:$F$1714,A14,'Geniş Ürün Endeksi'!$J$4:$J$1714,"Erişildi")</x:f>
        <x:v>0</x:v>
      </x:c>
      <x:c r="D14" t="n">
        <x:f>COUNTIFS('Geniş Ürün Endeksi'!$F$4:$F$1714,A14,'Geniş Ürün Endeksi'!$H$4:$H$1714,"Erişildi")</x:f>
        <x:v>0</x:v>
      </x:c>
      <x:c r="E14" t="n">
        <x:f>COUNTIFS('Geniş Ürün Endeksi'!$F$4:$F$1714,A14,'Geniş Ürün Endeksi'!$H$4:$H$1714,"Erişildi",'Geniş Ürün Endeksi'!$J$4:$J$1714,"Erişildi")</x:f>
        <x:v>0</x:v>
      </x:c>
    </x:row>
    <x:row r="15">
      <x:c r="A15" t="str">
        <x:v>Etiyopya</x:v>
      </x:c>
      <x:c r="B15" t="n">
        <x:f>COUNTIFS('Geniş Ürün Endeksi'!$F$4:$F$1714,A15,'Geniş Ürün Endeksi'!$D$4:$D$1714,"Ürün kaydı")</x:f>
        <x:v>155</x:v>
      </x:c>
      <x:c r="C15" t="n">
        <x:f>COUNTIFS('Geniş Ürün Endeksi'!$F$4:$F$1714,A15,'Geniş Ürün Endeksi'!$J$4:$J$1714,"Erişildi")</x:f>
        <x:v>119</x:v>
      </x:c>
      <x:c r="D15" t="n">
        <x:f>COUNTIFS('Geniş Ürün Endeksi'!$F$4:$F$1714,A15,'Geniş Ürün Endeksi'!$H$4:$H$1714,"Erişildi")</x:f>
        <x:v>98</x:v>
      </x:c>
      <x:c r="E15" t="n">
        <x:f>COUNTIFS('Geniş Ürün Endeksi'!$F$4:$F$1714,A15,'Geniş Ürün Endeksi'!$H$4:$H$1714,"Erişildi",'Geniş Ürün Endeksi'!$J$4:$J$1714,"Erişildi")</x:f>
        <x:v>83</x:v>
      </x:c>
    </x:row>
    <x:row r="16">
      <x:c r="A16" t="str">
        <x:v>Etiyopya | Brezilya</x:v>
      </x:c>
      <x:c r="B16" t="n">
        <x:f>COUNTIFS('Geniş Ürün Endeksi'!$F$4:$F$1714,A16,'Geniş Ürün Endeksi'!$D$4:$D$1714,"Ürün kaydı")</x:f>
        <x:v>9</x:v>
      </x:c>
      <x:c r="C16" t="n">
        <x:f>COUNTIFS('Geniş Ürün Endeksi'!$F$4:$F$1714,A16,'Geniş Ürün Endeksi'!$J$4:$J$1714,"Erişildi")</x:f>
        <x:v>9</x:v>
      </x:c>
      <x:c r="D16" t="n">
        <x:f>COUNTIFS('Geniş Ürün Endeksi'!$F$4:$F$1714,A16,'Geniş Ürün Endeksi'!$H$4:$H$1714,"Erişildi")</x:f>
        <x:v>8</x:v>
      </x:c>
      <x:c r="E16" t="n">
        <x:f>COUNTIFS('Geniş Ürün Endeksi'!$F$4:$F$1714,A16,'Geniş Ürün Endeksi'!$H$4:$H$1714,"Erişildi",'Geniş Ürün Endeksi'!$J$4:$J$1714,"Erişildi")</x:f>
        <x:v>8</x:v>
      </x:c>
    </x:row>
    <x:row r="17">
      <x:c r="A17" t="str">
        <x:v>Etiyopya | Brezilya | Endonezya | Hindistan</x:v>
      </x:c>
      <x:c r="B17" t="n">
        <x:f>COUNTIFS('Geniş Ürün Endeksi'!$F$4:$F$1714,A17,'Geniş Ürün Endeksi'!$D$4:$D$1714,"Ürün kaydı")</x:f>
        <x:v>2</x:v>
      </x:c>
      <x:c r="C17" t="n">
        <x:f>COUNTIFS('Geniş Ürün Endeksi'!$F$4:$F$1714,A17,'Geniş Ürün Endeksi'!$J$4:$J$1714,"Erişildi")</x:f>
        <x:v>0</x:v>
      </x:c>
      <x:c r="D17" t="n">
        <x:f>COUNTIFS('Geniş Ürün Endeksi'!$F$4:$F$1714,A17,'Geniş Ürün Endeksi'!$H$4:$H$1714,"Erişildi")</x:f>
        <x:v>2</x:v>
      </x:c>
      <x:c r="E17" t="n">
        <x:f>COUNTIFS('Geniş Ürün Endeksi'!$F$4:$F$1714,A17,'Geniş Ürün Endeksi'!$H$4:$H$1714,"Erişildi",'Geniş Ürün Endeksi'!$J$4:$J$1714,"Erişildi")</x:f>
        <x:v>0</x:v>
      </x:c>
    </x:row>
    <x:row r="18">
      <x:c r="A18" t="str">
        <x:v>Etiyopya | Brezilya | Guatemala</x:v>
      </x:c>
      <x:c r="B18" t="n">
        <x:f>COUNTIFS('Geniş Ürün Endeksi'!$F$4:$F$1714,A18,'Geniş Ürün Endeksi'!$D$4:$D$1714,"Ürün kaydı")</x:f>
        <x:v>9</x:v>
      </x:c>
      <x:c r="C18" t="n">
        <x:f>COUNTIFS('Geniş Ürün Endeksi'!$F$4:$F$1714,A18,'Geniş Ürün Endeksi'!$J$4:$J$1714,"Erişildi")</x:f>
        <x:v>9</x:v>
      </x:c>
      <x:c r="D18" t="n">
        <x:f>COUNTIFS('Geniş Ürün Endeksi'!$F$4:$F$1714,A18,'Geniş Ürün Endeksi'!$H$4:$H$1714,"Erişildi")</x:f>
        <x:v>9</x:v>
      </x:c>
      <x:c r="E18" t="n">
        <x:f>COUNTIFS('Geniş Ürün Endeksi'!$F$4:$F$1714,A18,'Geniş Ürün Endeksi'!$H$4:$H$1714,"Erişildi",'Geniş Ürün Endeksi'!$J$4:$J$1714,"Erişildi")</x:f>
        <x:v>9</x:v>
      </x:c>
    </x:row>
    <x:row r="19">
      <x:c r="A19" t="str">
        <x:v>Etiyopya | El Salvador</x:v>
      </x:c>
      <x:c r="B19" t="n">
        <x:f>COUNTIFS('Geniş Ürün Endeksi'!$F$4:$F$1714,A19,'Geniş Ürün Endeksi'!$D$4:$D$1714,"Ürün kaydı")</x:f>
        <x:v>3</x:v>
      </x:c>
      <x:c r="C19" t="n">
        <x:f>COUNTIFS('Geniş Ürün Endeksi'!$F$4:$F$1714,A19,'Geniş Ürün Endeksi'!$J$4:$J$1714,"Erişildi")</x:f>
        <x:v>3</x:v>
      </x:c>
      <x:c r="D19" t="n">
        <x:f>COUNTIFS('Geniş Ürün Endeksi'!$F$4:$F$1714,A19,'Geniş Ürün Endeksi'!$H$4:$H$1714,"Erişildi")</x:f>
        <x:v>3</x:v>
      </x:c>
      <x:c r="E19" t="n">
        <x:f>COUNTIFS('Geniş Ürün Endeksi'!$F$4:$F$1714,A19,'Geniş Ürün Endeksi'!$H$4:$H$1714,"Erişildi",'Geniş Ürün Endeksi'!$J$4:$J$1714,"Erişildi")</x:f>
        <x:v>3</x:v>
      </x:c>
    </x:row>
    <x:row r="20">
      <x:c r="A20" t="str">
        <x:v>Etiyopya | Endonezya</x:v>
      </x:c>
      <x:c r="B20" t="n">
        <x:f>COUNTIFS('Geniş Ürün Endeksi'!$F$4:$F$1714,A20,'Geniş Ürün Endeksi'!$D$4:$D$1714,"Ürün kaydı")</x:f>
        <x:v>3</x:v>
      </x:c>
      <x:c r="C20" t="n">
        <x:f>COUNTIFS('Geniş Ürün Endeksi'!$F$4:$F$1714,A20,'Geniş Ürün Endeksi'!$J$4:$J$1714,"Erişildi")</x:f>
        <x:v>3</x:v>
      </x:c>
      <x:c r="D20" t="n">
        <x:f>COUNTIFS('Geniş Ürün Endeksi'!$F$4:$F$1714,A20,'Geniş Ürün Endeksi'!$H$4:$H$1714,"Erişildi")</x:f>
        <x:v>3</x:v>
      </x:c>
      <x:c r="E20" t="n">
        <x:f>COUNTIFS('Geniş Ürün Endeksi'!$F$4:$F$1714,A20,'Geniş Ürün Endeksi'!$H$4:$H$1714,"Erişildi",'Geniş Ürün Endeksi'!$J$4:$J$1714,"Erişildi")</x:f>
        <x:v>3</x:v>
      </x:c>
    </x:row>
    <x:row r="21">
      <x:c r="A21" t="str">
        <x:v>Etiyopya | Guatemala</x:v>
      </x:c>
      <x:c r="B21" t="n">
        <x:f>COUNTIFS('Geniş Ürün Endeksi'!$F$4:$F$1714,A21,'Geniş Ürün Endeksi'!$D$4:$D$1714,"Ürün kaydı")</x:f>
        <x:v>4</x:v>
      </x:c>
      <x:c r="C21" t="n">
        <x:f>COUNTIFS('Geniş Ürün Endeksi'!$F$4:$F$1714,A21,'Geniş Ürün Endeksi'!$J$4:$J$1714,"Erişildi")</x:f>
        <x:v>4</x:v>
      </x:c>
      <x:c r="D21" t="n">
        <x:f>COUNTIFS('Geniş Ürün Endeksi'!$F$4:$F$1714,A21,'Geniş Ürün Endeksi'!$H$4:$H$1714,"Erişildi")</x:f>
        <x:v>3</x:v>
      </x:c>
      <x:c r="E21" t="n">
        <x:f>COUNTIFS('Geniş Ürün Endeksi'!$F$4:$F$1714,A21,'Geniş Ürün Endeksi'!$H$4:$H$1714,"Erişildi",'Geniş Ürün Endeksi'!$J$4:$J$1714,"Erişildi")</x:f>
        <x:v>3</x:v>
      </x:c>
    </x:row>
    <x:row r="22">
      <x:c r="A22" t="str">
        <x:v>Etiyopya | Guatemala | Honduras | El Salvador | Hindistan</x:v>
      </x:c>
      <x:c r="B22" t="n">
        <x:f>COUNTIFS('Geniş Ürün Endeksi'!$F$4:$F$1714,A22,'Geniş Ürün Endeksi'!$D$4:$D$1714,"Ürün kaydı")</x:f>
        <x:v>1</x:v>
      </x:c>
      <x:c r="C22" t="n">
        <x:f>COUNTIFS('Geniş Ürün Endeksi'!$F$4:$F$1714,A22,'Geniş Ürün Endeksi'!$J$4:$J$1714,"Erişildi")</x:f>
        <x:v>1</x:v>
      </x:c>
      <x:c r="D22" t="n">
        <x:f>COUNTIFS('Geniş Ürün Endeksi'!$F$4:$F$1714,A22,'Geniş Ürün Endeksi'!$H$4:$H$1714,"Erişildi")</x:f>
        <x:v>1</x:v>
      </x:c>
      <x:c r="E22" t="n">
        <x:f>COUNTIFS('Geniş Ürün Endeksi'!$F$4:$F$1714,A22,'Geniş Ürün Endeksi'!$H$4:$H$1714,"Erişildi",'Geniş Ürün Endeksi'!$J$4:$J$1714,"Erişildi")</x:f>
        <x:v>1</x:v>
      </x:c>
    </x:row>
    <x:row r="23">
      <x:c r="A23" t="str">
        <x:v>Etiyopya | Hindistan</x:v>
      </x:c>
      <x:c r="B23" t="n">
        <x:f>COUNTIFS('Geniş Ürün Endeksi'!$F$4:$F$1714,A23,'Geniş Ürün Endeksi'!$D$4:$D$1714,"Ürün kaydı")</x:f>
        <x:v>4</x:v>
      </x:c>
      <x:c r="C23" t="n">
        <x:f>COUNTIFS('Geniş Ürün Endeksi'!$F$4:$F$1714,A23,'Geniş Ürün Endeksi'!$J$4:$J$1714,"Erişildi")</x:f>
        <x:v>4</x:v>
      </x:c>
      <x:c r="D23" t="n">
        <x:f>COUNTIFS('Geniş Ürün Endeksi'!$F$4:$F$1714,A23,'Geniş Ürün Endeksi'!$H$4:$H$1714,"Erişildi")</x:f>
        <x:v>4</x:v>
      </x:c>
      <x:c r="E23" t="n">
        <x:f>COUNTIFS('Geniş Ürün Endeksi'!$F$4:$F$1714,A23,'Geniş Ürün Endeksi'!$H$4:$H$1714,"Erişildi",'Geniş Ürün Endeksi'!$J$4:$J$1714,"Erişildi")</x:f>
        <x:v>4</x:v>
      </x:c>
    </x:row>
    <x:row r="24">
      <x:c r="A24" t="str">
        <x:v>Etiyopya | Kenya</x:v>
      </x:c>
      <x:c r="B24" t="n">
        <x:f>COUNTIFS('Geniş Ürün Endeksi'!$F$4:$F$1714,A24,'Geniş Ürün Endeksi'!$D$4:$D$1714,"Ürün kaydı")</x:f>
        <x:v>1</x:v>
      </x:c>
      <x:c r="C24" t="n">
        <x:f>COUNTIFS('Geniş Ürün Endeksi'!$F$4:$F$1714,A24,'Geniş Ürün Endeksi'!$J$4:$J$1714,"Erişildi")</x:f>
        <x:v>1</x:v>
      </x:c>
      <x:c r="D24" t="n">
        <x:f>COUNTIFS('Geniş Ürün Endeksi'!$F$4:$F$1714,A24,'Geniş Ürün Endeksi'!$H$4:$H$1714,"Erişildi")</x:f>
        <x:v>1</x:v>
      </x:c>
      <x:c r="E24" t="n">
        <x:f>COUNTIFS('Geniş Ürün Endeksi'!$F$4:$F$1714,A24,'Geniş Ürün Endeksi'!$H$4:$H$1714,"Erişildi",'Geniş Ürün Endeksi'!$J$4:$J$1714,"Erişildi")</x:f>
        <x:v>1</x:v>
      </x:c>
    </x:row>
    <x:row r="25">
      <x:c r="A25" t="str">
        <x:v>Etiyopya | Kenya | Guatemala</x:v>
      </x:c>
      <x:c r="B25" t="n">
        <x:f>COUNTIFS('Geniş Ürün Endeksi'!$F$4:$F$1714,A25,'Geniş Ürün Endeksi'!$D$4:$D$1714,"Ürün kaydı")</x:f>
        <x:v>1</x:v>
      </x:c>
      <x:c r="C25" t="n">
        <x:f>COUNTIFS('Geniş Ürün Endeksi'!$F$4:$F$1714,A25,'Geniş Ürün Endeksi'!$J$4:$J$1714,"Erişildi")</x:f>
        <x:v>1</x:v>
      </x:c>
      <x:c r="D25" t="n">
        <x:f>COUNTIFS('Geniş Ürün Endeksi'!$F$4:$F$1714,A25,'Geniş Ürün Endeksi'!$H$4:$H$1714,"Erişildi")</x:f>
        <x:v>0</x:v>
      </x:c>
      <x:c r="E25" t="n">
        <x:f>COUNTIFS('Geniş Ürün Endeksi'!$F$4:$F$1714,A25,'Geniş Ürün Endeksi'!$H$4:$H$1714,"Erişildi",'Geniş Ürün Endeksi'!$J$4:$J$1714,"Erişildi")</x:f>
        <x:v>0</x:v>
      </x:c>
    </x:row>
    <x:row r="26">
      <x:c r="A26" t="str">
        <x:v>Etiyopya | Kenya | Tanzanya</x:v>
      </x:c>
      <x:c r="B26" t="n">
        <x:f>COUNTIFS('Geniş Ürün Endeksi'!$F$4:$F$1714,A26,'Geniş Ürün Endeksi'!$D$4:$D$1714,"Ürün kaydı")</x:f>
        <x:v>1</x:v>
      </x:c>
      <x:c r="C26" t="n">
        <x:f>COUNTIFS('Geniş Ürün Endeksi'!$F$4:$F$1714,A26,'Geniş Ürün Endeksi'!$J$4:$J$1714,"Erişildi")</x:f>
        <x:v>1</x:v>
      </x:c>
      <x:c r="D26" t="n">
        <x:f>COUNTIFS('Geniş Ürün Endeksi'!$F$4:$F$1714,A26,'Geniş Ürün Endeksi'!$H$4:$H$1714,"Erişildi")</x:f>
        <x:v>0</x:v>
      </x:c>
      <x:c r="E26" t="n">
        <x:f>COUNTIFS('Geniş Ürün Endeksi'!$F$4:$F$1714,A26,'Geniş Ürün Endeksi'!$H$4:$H$1714,"Erişildi",'Geniş Ürün Endeksi'!$J$4:$J$1714,"Erişildi")</x:f>
        <x:v>0</x:v>
      </x:c>
    </x:row>
    <x:row r="27">
      <x:c r="A27" t="str">
        <x:v>Etiyopya | Kolombiya</x:v>
      </x:c>
      <x:c r="B27" t="n">
        <x:f>COUNTIFS('Geniş Ürün Endeksi'!$F$4:$F$1714,A27,'Geniş Ürün Endeksi'!$D$4:$D$1714,"Ürün kaydı")</x:f>
        <x:v>5</x:v>
      </x:c>
      <x:c r="C27" t="n">
        <x:f>COUNTIFS('Geniş Ürün Endeksi'!$F$4:$F$1714,A27,'Geniş Ürün Endeksi'!$J$4:$J$1714,"Erişildi")</x:f>
        <x:v>4</x:v>
      </x:c>
      <x:c r="D27" t="n">
        <x:f>COUNTIFS('Geniş Ürün Endeksi'!$F$4:$F$1714,A27,'Geniş Ürün Endeksi'!$H$4:$H$1714,"Erişildi")</x:f>
        <x:v>4</x:v>
      </x:c>
      <x:c r="E27" t="n">
        <x:f>COUNTIFS('Geniş Ürün Endeksi'!$F$4:$F$1714,A27,'Geniş Ürün Endeksi'!$H$4:$H$1714,"Erişildi",'Geniş Ürün Endeksi'!$J$4:$J$1714,"Erişildi")</x:f>
        <x:v>4</x:v>
      </x:c>
    </x:row>
    <x:row r="28">
      <x:c r="A28" t="str">
        <x:v>Etiyopya | Kolombiya | Brezilya</x:v>
      </x:c>
      <x:c r="B28" t="n">
        <x:f>COUNTIFS('Geniş Ürün Endeksi'!$F$4:$F$1714,A28,'Geniş Ürün Endeksi'!$D$4:$D$1714,"Ürün kaydı")</x:f>
        <x:v>19</x:v>
      </x:c>
      <x:c r="C28" t="n">
        <x:f>COUNTIFS('Geniş Ürün Endeksi'!$F$4:$F$1714,A28,'Geniş Ürün Endeksi'!$J$4:$J$1714,"Erişildi")</x:f>
        <x:v>19</x:v>
      </x:c>
      <x:c r="D28" t="n">
        <x:f>COUNTIFS('Geniş Ürün Endeksi'!$F$4:$F$1714,A28,'Geniş Ürün Endeksi'!$H$4:$H$1714,"Erişildi")</x:f>
        <x:v>4</x:v>
      </x:c>
      <x:c r="E28" t="n">
        <x:f>COUNTIFS('Geniş Ürün Endeksi'!$F$4:$F$1714,A28,'Geniş Ürün Endeksi'!$H$4:$H$1714,"Erişildi",'Geniş Ürün Endeksi'!$J$4:$J$1714,"Erişildi")</x:f>
        <x:v>4</x:v>
      </x:c>
    </x:row>
    <x:row r="29">
      <x:c r="A29" t="str">
        <x:v>Etiyopya | Kolombiya | Brezilya | Guatemala | El Salvador</x:v>
      </x:c>
      <x:c r="B29" t="n">
        <x:f>COUNTIFS('Geniş Ürün Endeksi'!$F$4:$F$1714,A29,'Geniş Ürün Endeksi'!$D$4:$D$1714,"Ürün kaydı")</x:f>
        <x:v>1</x:v>
      </x:c>
      <x:c r="C29" t="n">
        <x:f>COUNTIFS('Geniş Ürün Endeksi'!$F$4:$F$1714,A29,'Geniş Ürün Endeksi'!$J$4:$J$1714,"Erişildi")</x:f>
        <x:v>1</x:v>
      </x:c>
      <x:c r="D29" t="n">
        <x:f>COUNTIFS('Geniş Ürün Endeksi'!$F$4:$F$1714,A29,'Geniş Ürün Endeksi'!$H$4:$H$1714,"Erişildi")</x:f>
        <x:v>1</x:v>
      </x:c>
      <x:c r="E29" t="n">
        <x:f>COUNTIFS('Geniş Ürün Endeksi'!$F$4:$F$1714,A29,'Geniş Ürün Endeksi'!$H$4:$H$1714,"Erişildi",'Geniş Ürün Endeksi'!$J$4:$J$1714,"Erişildi")</x:f>
        <x:v>1</x:v>
      </x:c>
    </x:row>
    <x:row r="30">
      <x:c r="A30" t="str">
        <x:v>Etiyopya | Kolombiya | Burundi | Endonezya</x:v>
      </x:c>
      <x:c r="B30" t="n">
        <x:f>COUNTIFS('Geniş Ürün Endeksi'!$F$4:$F$1714,A30,'Geniş Ürün Endeksi'!$D$4:$D$1714,"Ürün kaydı")</x:f>
        <x:v>1</x:v>
      </x:c>
      <x:c r="C30" t="n">
        <x:f>COUNTIFS('Geniş Ürün Endeksi'!$F$4:$F$1714,A30,'Geniş Ürün Endeksi'!$J$4:$J$1714,"Erişildi")</x:f>
        <x:v>1</x:v>
      </x:c>
      <x:c r="D30" t="n">
        <x:f>COUNTIFS('Geniş Ürün Endeksi'!$F$4:$F$1714,A30,'Geniş Ürün Endeksi'!$H$4:$H$1714,"Erişildi")</x:f>
        <x:v>1</x:v>
      </x:c>
      <x:c r="E30" t="n">
        <x:f>COUNTIFS('Geniş Ürün Endeksi'!$F$4:$F$1714,A30,'Geniş Ürün Endeksi'!$H$4:$H$1714,"Erişildi",'Geniş Ürün Endeksi'!$J$4:$J$1714,"Erişildi")</x:f>
        <x:v>1</x:v>
      </x:c>
    </x:row>
    <x:row r="31">
      <x:c r="A31" t="str">
        <x:v>Etiyopya | Kolombiya | Guatemala | Kosta Rika</x:v>
      </x:c>
      <x:c r="B31" t="n">
        <x:f>COUNTIFS('Geniş Ürün Endeksi'!$F$4:$F$1714,A31,'Geniş Ürün Endeksi'!$D$4:$D$1714,"Ürün kaydı")</x:f>
        <x:v>1</x:v>
      </x:c>
      <x:c r="C31" t="n">
        <x:f>COUNTIFS('Geniş Ürün Endeksi'!$F$4:$F$1714,A31,'Geniş Ürün Endeksi'!$J$4:$J$1714,"Erişildi")</x:f>
        <x:v>1</x:v>
      </x:c>
      <x:c r="D31" t="n">
        <x:f>COUNTIFS('Geniş Ürün Endeksi'!$F$4:$F$1714,A31,'Geniş Ürün Endeksi'!$H$4:$H$1714,"Erişildi")</x:f>
        <x:v>1</x:v>
      </x:c>
      <x:c r="E31" t="n">
        <x:f>COUNTIFS('Geniş Ürün Endeksi'!$F$4:$F$1714,A31,'Geniş Ürün Endeksi'!$H$4:$H$1714,"Erişildi",'Geniş Ürün Endeksi'!$J$4:$J$1714,"Erişildi")</x:f>
        <x:v>1</x:v>
      </x:c>
    </x:row>
    <x:row r="32">
      <x:c r="A32" t="str">
        <x:v>Etiyopya | Kolombiya | Kenya</x:v>
      </x:c>
      <x:c r="B32" t="n">
        <x:f>COUNTIFS('Geniş Ürün Endeksi'!$F$4:$F$1714,A32,'Geniş Ürün Endeksi'!$D$4:$D$1714,"Ürün kaydı")</x:f>
        <x:v>2</x:v>
      </x:c>
      <x:c r="C32" t="n">
        <x:f>COUNTIFS('Geniş Ürün Endeksi'!$F$4:$F$1714,A32,'Geniş Ürün Endeksi'!$J$4:$J$1714,"Erişildi")</x:f>
        <x:v>1</x:v>
      </x:c>
      <x:c r="D32" t="n">
        <x:f>COUNTIFS('Geniş Ürün Endeksi'!$F$4:$F$1714,A32,'Geniş Ürün Endeksi'!$H$4:$H$1714,"Erişildi")</x:f>
        <x:v>0</x:v>
      </x:c>
      <x:c r="E32" t="n">
        <x:f>COUNTIFS('Geniş Ürün Endeksi'!$F$4:$F$1714,A32,'Geniş Ürün Endeksi'!$H$4:$H$1714,"Erişildi",'Geniş Ürün Endeksi'!$J$4:$J$1714,"Erişildi")</x:f>
        <x:v>0</x:v>
      </x:c>
    </x:row>
    <x:row r="33">
      <x:c r="A33" t="str">
        <x:v>Etiyopya | Kolombiya | Peru</x:v>
      </x:c>
      <x:c r="B33" t="n">
        <x:f>COUNTIFS('Geniş Ürün Endeksi'!$F$4:$F$1714,A33,'Geniş Ürün Endeksi'!$D$4:$D$1714,"Ürün kaydı")</x:f>
        <x:v>1</x:v>
      </x:c>
      <x:c r="C33" t="n">
        <x:f>COUNTIFS('Geniş Ürün Endeksi'!$F$4:$F$1714,A33,'Geniş Ürün Endeksi'!$J$4:$J$1714,"Erişildi")</x:f>
        <x:v>1</x:v>
      </x:c>
      <x:c r="D33" t="n">
        <x:f>COUNTIFS('Geniş Ürün Endeksi'!$F$4:$F$1714,A33,'Geniş Ürün Endeksi'!$H$4:$H$1714,"Erişildi")</x:f>
        <x:v>0</x:v>
      </x:c>
      <x:c r="E33" t="n">
        <x:f>COUNTIFS('Geniş Ürün Endeksi'!$F$4:$F$1714,A33,'Geniş Ürün Endeksi'!$H$4:$H$1714,"Erişildi",'Geniş Ürün Endeksi'!$J$4:$J$1714,"Erişildi")</x:f>
        <x:v>0</x:v>
      </x:c>
    </x:row>
    <x:row r="34">
      <x:c r="A34" t="str">
        <x:v>Etiyopya | Kolombiya | Ruanda</x:v>
      </x:c>
      <x:c r="B34" t="n">
        <x:f>COUNTIFS('Geniş Ürün Endeksi'!$F$4:$F$1714,A34,'Geniş Ürün Endeksi'!$D$4:$D$1714,"Ürün kaydı")</x:f>
        <x:v>1</x:v>
      </x:c>
      <x:c r="C34" t="n">
        <x:f>COUNTIFS('Geniş Ürün Endeksi'!$F$4:$F$1714,A34,'Geniş Ürün Endeksi'!$J$4:$J$1714,"Erişildi")</x:f>
        <x:v>1</x:v>
      </x:c>
      <x:c r="D34" t="n">
        <x:f>COUNTIFS('Geniş Ürün Endeksi'!$F$4:$F$1714,A34,'Geniş Ürün Endeksi'!$H$4:$H$1714,"Erişildi")</x:f>
        <x:v>1</x:v>
      </x:c>
      <x:c r="E34" t="n">
        <x:f>COUNTIFS('Geniş Ürün Endeksi'!$F$4:$F$1714,A34,'Geniş Ürün Endeksi'!$H$4:$H$1714,"Erişildi",'Geniş Ürün Endeksi'!$J$4:$J$1714,"Erişildi")</x:f>
        <x:v>1</x:v>
      </x:c>
    </x:row>
    <x:row r="35">
      <x:c r="A35" t="str">
        <x:v>Etiyopya | Yemen</x:v>
      </x:c>
      <x:c r="B35" t="n">
        <x:f>COUNTIFS('Geniş Ürün Endeksi'!$F$4:$F$1714,A35,'Geniş Ürün Endeksi'!$D$4:$D$1714,"Ürün kaydı")</x:f>
        <x:v>1</x:v>
      </x:c>
      <x:c r="C35" t="n">
        <x:f>COUNTIFS('Geniş Ürün Endeksi'!$F$4:$F$1714,A35,'Geniş Ürün Endeksi'!$J$4:$J$1714,"Erişildi")</x:f>
        <x:v>0</x:v>
      </x:c>
      <x:c r="D35" t="n">
        <x:f>COUNTIFS('Geniş Ürün Endeksi'!$F$4:$F$1714,A35,'Geniş Ürün Endeksi'!$H$4:$H$1714,"Erişildi")</x:f>
        <x:v>0</x:v>
      </x:c>
      <x:c r="E35" t="n">
        <x:f>COUNTIFS('Geniş Ürün Endeksi'!$F$4:$F$1714,A35,'Geniş Ürün Endeksi'!$H$4:$H$1714,"Erişildi",'Geniş Ürün Endeksi'!$J$4:$J$1714,"Erişildi")</x:f>
        <x:v>0</x:v>
      </x:c>
    </x:row>
    <x:row r="36">
      <x:c r="A36" t="str">
        <x:v>Guatemala</x:v>
      </x:c>
      <x:c r="B36" t="n">
        <x:f>COUNTIFS('Geniş Ürün Endeksi'!$F$4:$F$1714,A36,'Geniş Ürün Endeksi'!$D$4:$D$1714,"Ürün kaydı")</x:f>
        <x:v>55</x:v>
      </x:c>
      <x:c r="C36" t="n">
        <x:f>COUNTIFS('Geniş Ürün Endeksi'!$F$4:$F$1714,A36,'Geniş Ürün Endeksi'!$J$4:$J$1714,"Erişildi")</x:f>
        <x:v>40</x:v>
      </x:c>
      <x:c r="D36" t="n">
        <x:f>COUNTIFS('Geniş Ürün Endeksi'!$F$4:$F$1714,A36,'Geniş Ürün Endeksi'!$H$4:$H$1714,"Erişildi")</x:f>
        <x:v>39</x:v>
      </x:c>
      <x:c r="E36" t="n">
        <x:f>COUNTIFS('Geniş Ürün Endeksi'!$F$4:$F$1714,A36,'Geniş Ürün Endeksi'!$H$4:$H$1714,"Erişildi",'Geniş Ürün Endeksi'!$J$4:$J$1714,"Erişildi")</x:f>
        <x:v>31</x:v>
      </x:c>
    </x:row>
    <x:row r="37">
      <x:c r="A37" t="str">
        <x:v>Guatemala | Meksika</x:v>
      </x:c>
      <x:c r="B37" t="n">
        <x:f>COUNTIFS('Geniş Ürün Endeksi'!$F$4:$F$1714,A37,'Geniş Ürün Endeksi'!$D$4:$D$1714,"Ürün kaydı")</x:f>
        <x:v>2</x:v>
      </x:c>
      <x:c r="C37" t="n">
        <x:f>COUNTIFS('Geniş Ürün Endeksi'!$F$4:$F$1714,A37,'Geniş Ürün Endeksi'!$J$4:$J$1714,"Erişildi")</x:f>
        <x:v>2</x:v>
      </x:c>
      <x:c r="D37" t="n">
        <x:f>COUNTIFS('Geniş Ürün Endeksi'!$F$4:$F$1714,A37,'Geniş Ürün Endeksi'!$H$4:$H$1714,"Erişildi")</x:f>
        <x:v>2</x:v>
      </x:c>
      <x:c r="E37" t="n">
        <x:f>COUNTIFS('Geniş Ürün Endeksi'!$F$4:$F$1714,A37,'Geniş Ürün Endeksi'!$H$4:$H$1714,"Erişildi",'Geniş Ürün Endeksi'!$J$4:$J$1714,"Erişildi")</x:f>
        <x:v>2</x:v>
      </x:c>
    </x:row>
    <x:row r="38">
      <x:c r="A38" t="str">
        <x:v>Harman – menşe belirtilmemiş</x:v>
      </x:c>
      <x:c r="B38" t="n">
        <x:f>COUNTIFS('Geniş Ürün Endeksi'!$F$4:$F$1714,A38,'Geniş Ürün Endeksi'!$D$4:$D$1714,"Ürün kaydı")</x:f>
        <x:v>161</x:v>
      </x:c>
      <x:c r="C38" t="n">
        <x:f>COUNTIFS('Geniş Ürün Endeksi'!$F$4:$F$1714,A38,'Geniş Ürün Endeksi'!$J$4:$J$1714,"Erişildi")</x:f>
        <x:v>130</x:v>
      </x:c>
      <x:c r="D38" t="n">
        <x:f>COUNTIFS('Geniş Ürün Endeksi'!$F$4:$F$1714,A38,'Geniş Ürün Endeksi'!$H$4:$H$1714,"Erişildi")</x:f>
        <x:v>127</x:v>
      </x:c>
      <x:c r="E38" t="n">
        <x:f>COUNTIFS('Geniş Ürün Endeksi'!$F$4:$F$1714,A38,'Geniş Ürün Endeksi'!$H$4:$H$1714,"Erişildi",'Geniş Ürün Endeksi'!$J$4:$J$1714,"Erişildi")</x:f>
        <x:v>101</x:v>
      </x:c>
    </x:row>
    <x:row r="39">
      <x:c r="A39" t="str">
        <x:v>Hindistan</x:v>
      </x:c>
      <x:c r="B39" t="n">
        <x:f>COUNTIFS('Geniş Ürün Endeksi'!$F$4:$F$1714,A39,'Geniş Ürün Endeksi'!$D$4:$D$1714,"Ürün kaydı")</x:f>
        <x:v>6</x:v>
      </x:c>
      <x:c r="C39" t="n">
        <x:f>COUNTIFS('Geniş Ürün Endeksi'!$F$4:$F$1714,A39,'Geniş Ürün Endeksi'!$J$4:$J$1714,"Erişildi")</x:f>
        <x:v>5</x:v>
      </x:c>
      <x:c r="D39" t="n">
        <x:f>COUNTIFS('Geniş Ürün Endeksi'!$F$4:$F$1714,A39,'Geniş Ürün Endeksi'!$H$4:$H$1714,"Erişildi")</x:f>
        <x:v>4</x:v>
      </x:c>
      <x:c r="E39" t="n">
        <x:f>COUNTIFS('Geniş Ürün Endeksi'!$F$4:$F$1714,A39,'Geniş Ürün Endeksi'!$H$4:$H$1714,"Erişildi",'Geniş Ürün Endeksi'!$J$4:$J$1714,"Erişildi")</x:f>
        <x:v>3</x:v>
      </x:c>
    </x:row>
    <x:row r="40">
      <x:c r="A40" t="str">
        <x:v>Honduras</x:v>
      </x:c>
      <x:c r="B40" t="n">
        <x:f>COUNTIFS('Geniş Ürün Endeksi'!$F$4:$F$1714,A40,'Geniş Ürün Endeksi'!$D$4:$D$1714,"Ürün kaydı")</x:f>
        <x:v>32</x:v>
      </x:c>
      <x:c r="C40" t="n">
        <x:f>COUNTIFS('Geniş Ürün Endeksi'!$F$4:$F$1714,A40,'Geniş Ürün Endeksi'!$J$4:$J$1714,"Erişildi")</x:f>
        <x:v>27</x:v>
      </x:c>
      <x:c r="D40" t="n">
        <x:f>COUNTIFS('Geniş Ürün Endeksi'!$F$4:$F$1714,A40,'Geniş Ürün Endeksi'!$H$4:$H$1714,"Erişildi")</x:f>
        <x:v>17</x:v>
      </x:c>
      <x:c r="E40" t="n">
        <x:f>COUNTIFS('Geniş Ürün Endeksi'!$F$4:$F$1714,A40,'Geniş Ürün Endeksi'!$H$4:$H$1714,"Erişildi",'Geniş Ürün Endeksi'!$J$4:$J$1714,"Erişildi")</x:f>
        <x:v>14</x:v>
      </x:c>
    </x:row>
    <x:row r="41">
      <x:c r="A41" t="str">
        <x:v>Honduras | Kosta Rika | Nikaragua</x:v>
      </x:c>
      <x:c r="B41" t="n">
        <x:f>COUNTIFS('Geniş Ürün Endeksi'!$F$4:$F$1714,A41,'Geniş Ürün Endeksi'!$D$4:$D$1714,"Ürün kaydı")</x:f>
        <x:v>1</x:v>
      </x:c>
      <x:c r="C41" t="n">
        <x:f>COUNTIFS('Geniş Ürün Endeksi'!$F$4:$F$1714,A41,'Geniş Ürün Endeksi'!$J$4:$J$1714,"Erişildi")</x:f>
        <x:v>1</x:v>
      </x:c>
      <x:c r="D41" t="n">
        <x:f>COUNTIFS('Geniş Ürün Endeksi'!$F$4:$F$1714,A41,'Geniş Ürün Endeksi'!$H$4:$H$1714,"Erişildi")</x:f>
        <x:v>1</x:v>
      </x:c>
      <x:c r="E41" t="n">
        <x:f>COUNTIFS('Geniş Ürün Endeksi'!$F$4:$F$1714,A41,'Geniş Ürün Endeksi'!$H$4:$H$1714,"Erişildi",'Geniş Ürün Endeksi'!$J$4:$J$1714,"Erişildi")</x:f>
        <x:v>1</x:v>
      </x:c>
    </x:row>
    <x:row r="42">
      <x:c r="A42" t="str">
        <x:v>Kenya</x:v>
      </x:c>
      <x:c r="B42" t="n">
        <x:f>COUNTIFS('Geniş Ürün Endeksi'!$F$4:$F$1714,A42,'Geniş Ürün Endeksi'!$D$4:$D$1714,"Ürün kaydı")</x:f>
        <x:v>43</x:v>
      </x:c>
      <x:c r="C42" t="n">
        <x:f>COUNTIFS('Geniş Ürün Endeksi'!$F$4:$F$1714,A42,'Geniş Ürün Endeksi'!$J$4:$J$1714,"Erişildi")</x:f>
        <x:v>33</x:v>
      </x:c>
      <x:c r="D42" t="n">
        <x:f>COUNTIFS('Geniş Ürün Endeksi'!$F$4:$F$1714,A42,'Geniş Ürün Endeksi'!$H$4:$H$1714,"Erişildi")</x:f>
        <x:v>26</x:v>
      </x:c>
      <x:c r="E42" t="n">
        <x:f>COUNTIFS('Geniş Ürün Endeksi'!$F$4:$F$1714,A42,'Geniş Ürün Endeksi'!$H$4:$H$1714,"Erişildi",'Geniş Ürün Endeksi'!$J$4:$J$1714,"Erişildi")</x:f>
        <x:v>23</x:v>
      </x:c>
    </x:row>
    <x:row r="43">
      <x:c r="A43" t="str">
        <x:v>Kenya | Guatemala</x:v>
      </x:c>
      <x:c r="B43" t="n">
        <x:f>COUNTIFS('Geniş Ürün Endeksi'!$F$4:$F$1714,A43,'Geniş Ürün Endeksi'!$D$4:$D$1714,"Ürün kaydı")</x:f>
        <x:v>2</x:v>
      </x:c>
      <x:c r="C43" t="n">
        <x:f>COUNTIFS('Geniş Ürün Endeksi'!$F$4:$F$1714,A43,'Geniş Ürün Endeksi'!$J$4:$J$1714,"Erişildi")</x:f>
        <x:v>2</x:v>
      </x:c>
      <x:c r="D43" t="n">
        <x:f>COUNTIFS('Geniş Ürün Endeksi'!$F$4:$F$1714,A43,'Geniş Ürün Endeksi'!$H$4:$H$1714,"Erişildi")</x:f>
        <x:v>2</x:v>
      </x:c>
      <x:c r="E43" t="n">
        <x:f>COUNTIFS('Geniş Ürün Endeksi'!$F$4:$F$1714,A43,'Geniş Ürün Endeksi'!$H$4:$H$1714,"Erişildi",'Geniş Ürün Endeksi'!$J$4:$J$1714,"Erişildi")</x:f>
        <x:v>2</x:v>
      </x:c>
    </x:row>
    <x:row r="44">
      <x:c r="A44" t="str">
        <x:v>Kenya | Guatemala | Tanzanya</x:v>
      </x:c>
      <x:c r="B44" t="n">
        <x:f>COUNTIFS('Geniş Ürün Endeksi'!$F$4:$F$1714,A44,'Geniş Ürün Endeksi'!$D$4:$D$1714,"Ürün kaydı")</x:f>
        <x:v>1</x:v>
      </x:c>
      <x:c r="C44" t="n">
        <x:f>COUNTIFS('Geniş Ürün Endeksi'!$F$4:$F$1714,A44,'Geniş Ürün Endeksi'!$J$4:$J$1714,"Erişildi")</x:f>
        <x:v>1</x:v>
      </x:c>
      <x:c r="D44" t="n">
        <x:f>COUNTIFS('Geniş Ürün Endeksi'!$F$4:$F$1714,A44,'Geniş Ürün Endeksi'!$H$4:$H$1714,"Erişildi")</x:f>
        <x:v>1</x:v>
      </x:c>
      <x:c r="E44" t="n">
        <x:f>COUNTIFS('Geniş Ürün Endeksi'!$F$4:$F$1714,A44,'Geniş Ürün Endeksi'!$H$4:$H$1714,"Erişildi",'Geniş Ürün Endeksi'!$J$4:$J$1714,"Erişildi")</x:f>
        <x:v>1</x:v>
      </x:c>
    </x:row>
    <x:row r="45">
      <x:c r="A45" t="str">
        <x:v>Kenya | Kosta Rika</x:v>
      </x:c>
      <x:c r="B45" t="n">
        <x:f>COUNTIFS('Geniş Ürün Endeksi'!$F$4:$F$1714,A45,'Geniş Ürün Endeksi'!$D$4:$D$1714,"Ürün kaydı")</x:f>
        <x:v>1</x:v>
      </x:c>
      <x:c r="C45" t="n">
        <x:f>COUNTIFS('Geniş Ürün Endeksi'!$F$4:$F$1714,A45,'Geniş Ürün Endeksi'!$J$4:$J$1714,"Erişildi")</x:f>
        <x:v>1</x:v>
      </x:c>
      <x:c r="D45" t="n">
        <x:f>COUNTIFS('Geniş Ürün Endeksi'!$F$4:$F$1714,A45,'Geniş Ürün Endeksi'!$H$4:$H$1714,"Erişildi")</x:f>
        <x:v>1</x:v>
      </x:c>
      <x:c r="E45" t="n">
        <x:f>COUNTIFS('Geniş Ürün Endeksi'!$F$4:$F$1714,A45,'Geniş Ürün Endeksi'!$H$4:$H$1714,"Erişildi",'Geniş Ürün Endeksi'!$J$4:$J$1714,"Erişildi")</x:f>
        <x:v>1</x:v>
      </x:c>
    </x:row>
    <x:row r="46">
      <x:c r="A46" t="str">
        <x:v>Kolombiya</x:v>
      </x:c>
      <x:c r="B46" t="n">
        <x:f>COUNTIFS('Geniş Ürün Endeksi'!$F$4:$F$1714,A46,'Geniş Ürün Endeksi'!$D$4:$D$1714,"Ürün kaydı")</x:f>
        <x:v>135</x:v>
      </x:c>
      <x:c r="C46" t="n">
        <x:f>COUNTIFS('Geniş Ürün Endeksi'!$F$4:$F$1714,A46,'Geniş Ürün Endeksi'!$J$4:$J$1714,"Erişildi")</x:f>
        <x:v>107</x:v>
      </x:c>
      <x:c r="D46" t="n">
        <x:f>COUNTIFS('Geniş Ürün Endeksi'!$F$4:$F$1714,A46,'Geniş Ürün Endeksi'!$H$4:$H$1714,"Erişildi")</x:f>
        <x:v>83</x:v>
      </x:c>
      <x:c r="E46" t="n">
        <x:f>COUNTIFS('Geniş Ürün Endeksi'!$F$4:$F$1714,A46,'Geniş Ürün Endeksi'!$H$4:$H$1714,"Erişildi",'Geniş Ürün Endeksi'!$J$4:$J$1714,"Erişildi")</x:f>
        <x:v>72</x:v>
      </x:c>
    </x:row>
    <x:row r="47">
      <x:c r="A47" t="str">
        <x:v>Kolombiya | Brezilya</x:v>
      </x:c>
      <x:c r="B47" t="n">
        <x:f>COUNTIFS('Geniş Ürün Endeksi'!$F$4:$F$1714,A47,'Geniş Ürün Endeksi'!$D$4:$D$1714,"Ürün kaydı")</x:f>
        <x:v>14</x:v>
      </x:c>
      <x:c r="C47" t="n">
        <x:f>COUNTIFS('Geniş Ürün Endeksi'!$F$4:$F$1714,A47,'Geniş Ürün Endeksi'!$J$4:$J$1714,"Erişildi")</x:f>
        <x:v>14</x:v>
      </x:c>
      <x:c r="D47" t="n">
        <x:f>COUNTIFS('Geniş Ürün Endeksi'!$F$4:$F$1714,A47,'Geniş Ürün Endeksi'!$H$4:$H$1714,"Erişildi")</x:f>
        <x:v>12</x:v>
      </x:c>
      <x:c r="E47" t="n">
        <x:f>COUNTIFS('Geniş Ürün Endeksi'!$F$4:$F$1714,A47,'Geniş Ürün Endeksi'!$H$4:$H$1714,"Erişildi",'Geniş Ürün Endeksi'!$J$4:$J$1714,"Erişildi")</x:f>
        <x:v>12</x:v>
      </x:c>
    </x:row>
    <x:row r="48">
      <x:c r="A48" t="str">
        <x:v>Kolombiya | Brezilya | Guatemala | Honduras</x:v>
      </x:c>
      <x:c r="B48" t="n">
        <x:f>COUNTIFS('Geniş Ürün Endeksi'!$F$4:$F$1714,A48,'Geniş Ürün Endeksi'!$D$4:$D$1714,"Ürün kaydı")</x:f>
        <x:v>1</x:v>
      </x:c>
      <x:c r="C48" t="n">
        <x:f>COUNTIFS('Geniş Ürün Endeksi'!$F$4:$F$1714,A48,'Geniş Ürün Endeksi'!$J$4:$J$1714,"Erişildi")</x:f>
        <x:v>0</x:v>
      </x:c>
      <x:c r="D48" t="n">
        <x:f>COUNTIFS('Geniş Ürün Endeksi'!$F$4:$F$1714,A48,'Geniş Ürün Endeksi'!$H$4:$H$1714,"Erişildi")</x:f>
        <x:v>0</x:v>
      </x:c>
      <x:c r="E48" t="n">
        <x:f>COUNTIFS('Geniş Ürün Endeksi'!$F$4:$F$1714,A48,'Geniş Ürün Endeksi'!$H$4:$H$1714,"Erişildi",'Geniş Ürün Endeksi'!$J$4:$J$1714,"Erişildi")</x:f>
        <x:v>0</x:v>
      </x:c>
    </x:row>
    <x:row r="49">
      <x:c r="A49" t="str">
        <x:v>Kolombiya | Burundi | El Salvador | Endonezya</x:v>
      </x:c>
      <x:c r="B49" t="n">
        <x:f>COUNTIFS('Geniş Ürün Endeksi'!$F$4:$F$1714,A49,'Geniş Ürün Endeksi'!$D$4:$D$1714,"Ürün kaydı")</x:f>
        <x:v>1</x:v>
      </x:c>
      <x:c r="C49" t="n">
        <x:f>COUNTIFS('Geniş Ürün Endeksi'!$F$4:$F$1714,A49,'Geniş Ürün Endeksi'!$J$4:$J$1714,"Erişildi")</x:f>
        <x:v>1</x:v>
      </x:c>
      <x:c r="D49" t="n">
        <x:f>COUNTIFS('Geniş Ürün Endeksi'!$F$4:$F$1714,A49,'Geniş Ürün Endeksi'!$H$4:$H$1714,"Erişildi")</x:f>
        <x:v>1</x:v>
      </x:c>
      <x:c r="E49" t="n">
        <x:f>COUNTIFS('Geniş Ürün Endeksi'!$F$4:$F$1714,A49,'Geniş Ürün Endeksi'!$H$4:$H$1714,"Erişildi",'Geniş Ürün Endeksi'!$J$4:$J$1714,"Erişildi")</x:f>
        <x:v>1</x:v>
      </x:c>
    </x:row>
    <x:row r="50">
      <x:c r="A50" t="str">
        <x:v>Kolombiya | Ekvador</x:v>
      </x:c>
      <x:c r="B50" t="n">
        <x:f>COUNTIFS('Geniş Ürün Endeksi'!$F$4:$F$1714,A50,'Geniş Ürün Endeksi'!$D$4:$D$1714,"Ürün kaydı")</x:f>
        <x:v>2</x:v>
      </x:c>
      <x:c r="C50" t="n">
        <x:f>COUNTIFS('Geniş Ürün Endeksi'!$F$4:$F$1714,A50,'Geniş Ürün Endeksi'!$J$4:$J$1714,"Erişildi")</x:f>
        <x:v>2</x:v>
      </x:c>
      <x:c r="D50" t="n">
        <x:f>COUNTIFS('Geniş Ürün Endeksi'!$F$4:$F$1714,A50,'Geniş Ürün Endeksi'!$H$4:$H$1714,"Erişildi")</x:f>
        <x:v>2</x:v>
      </x:c>
      <x:c r="E50" t="n">
        <x:f>COUNTIFS('Geniş Ürün Endeksi'!$F$4:$F$1714,A50,'Geniş Ürün Endeksi'!$H$4:$H$1714,"Erişildi",'Geniş Ürün Endeksi'!$J$4:$J$1714,"Erişildi")</x:f>
        <x:v>2</x:v>
      </x:c>
    </x:row>
    <x:row r="51">
      <x:c r="A51" t="str">
        <x:v>Kolombiya | El Salvador</x:v>
      </x:c>
      <x:c r="B51" t="n">
        <x:f>COUNTIFS('Geniş Ürün Endeksi'!$F$4:$F$1714,A51,'Geniş Ürün Endeksi'!$D$4:$D$1714,"Ürün kaydı")</x:f>
        <x:v>1</x:v>
      </x:c>
      <x:c r="C51" t="n">
        <x:f>COUNTIFS('Geniş Ürün Endeksi'!$F$4:$F$1714,A51,'Geniş Ürün Endeksi'!$J$4:$J$1714,"Erişildi")</x:f>
        <x:v>1</x:v>
      </x:c>
      <x:c r="D51" t="n">
        <x:f>COUNTIFS('Geniş Ürün Endeksi'!$F$4:$F$1714,A51,'Geniş Ürün Endeksi'!$H$4:$H$1714,"Erişildi")</x:f>
        <x:v>1</x:v>
      </x:c>
      <x:c r="E51" t="n">
        <x:f>COUNTIFS('Geniş Ürün Endeksi'!$F$4:$F$1714,A51,'Geniş Ürün Endeksi'!$H$4:$H$1714,"Erişildi",'Geniş Ürün Endeksi'!$J$4:$J$1714,"Erişildi")</x:f>
        <x:v>1</x:v>
      </x:c>
    </x:row>
    <x:row r="52">
      <x:c r="A52" t="str">
        <x:v>Kolombiya | Guatemala</x:v>
      </x:c>
      <x:c r="B52" t="n">
        <x:f>COUNTIFS('Geniş Ürün Endeksi'!$F$4:$F$1714,A52,'Geniş Ürün Endeksi'!$D$4:$D$1714,"Ürün kaydı")</x:f>
        <x:v>4</x:v>
      </x:c>
      <x:c r="C52" t="n">
        <x:f>COUNTIFS('Geniş Ürün Endeksi'!$F$4:$F$1714,A52,'Geniş Ürün Endeksi'!$J$4:$J$1714,"Erişildi")</x:f>
        <x:v>2</x:v>
      </x:c>
      <x:c r="D52" t="n">
        <x:f>COUNTIFS('Geniş Ürün Endeksi'!$F$4:$F$1714,A52,'Geniş Ürün Endeksi'!$H$4:$H$1714,"Erişildi")</x:f>
        <x:v>4</x:v>
      </x:c>
      <x:c r="E52" t="n">
        <x:f>COUNTIFS('Geniş Ürün Endeksi'!$F$4:$F$1714,A52,'Geniş Ürün Endeksi'!$H$4:$H$1714,"Erişildi",'Geniş Ürün Endeksi'!$J$4:$J$1714,"Erişildi")</x:f>
        <x:v>2</x:v>
      </x:c>
    </x:row>
    <x:row r="53">
      <x:c r="A53" t="str">
        <x:v>Kolombiya | Guatemala | El Salvador</x:v>
      </x:c>
      <x:c r="B53" t="n">
        <x:f>COUNTIFS('Geniş Ürün Endeksi'!$F$4:$F$1714,A53,'Geniş Ürün Endeksi'!$D$4:$D$1714,"Ürün kaydı")</x:f>
        <x:v>3</x:v>
      </x:c>
      <x:c r="C53" t="n">
        <x:f>COUNTIFS('Geniş Ürün Endeksi'!$F$4:$F$1714,A53,'Geniş Ürün Endeksi'!$J$4:$J$1714,"Erişildi")</x:f>
        <x:v>3</x:v>
      </x:c>
      <x:c r="D53" t="n">
        <x:f>COUNTIFS('Geniş Ürün Endeksi'!$F$4:$F$1714,A53,'Geniş Ürün Endeksi'!$H$4:$H$1714,"Erişildi")</x:f>
        <x:v>3</x:v>
      </x:c>
      <x:c r="E53" t="n">
        <x:f>COUNTIFS('Geniş Ürün Endeksi'!$F$4:$F$1714,A53,'Geniş Ürün Endeksi'!$H$4:$H$1714,"Erişildi",'Geniş Ürün Endeksi'!$J$4:$J$1714,"Erişildi")</x:f>
        <x:v>3</x:v>
      </x:c>
    </x:row>
    <x:row r="54">
      <x:c r="A54" t="str">
        <x:v>Kolombiya | Hindistan</x:v>
      </x:c>
      <x:c r="B54" t="n">
        <x:f>COUNTIFS('Geniş Ürün Endeksi'!$F$4:$F$1714,A54,'Geniş Ürün Endeksi'!$D$4:$D$1714,"Ürün kaydı")</x:f>
        <x:v>2</x:v>
      </x:c>
      <x:c r="C54" t="n">
        <x:f>COUNTIFS('Geniş Ürün Endeksi'!$F$4:$F$1714,A54,'Geniş Ürün Endeksi'!$J$4:$J$1714,"Erişildi")</x:f>
        <x:v>2</x:v>
      </x:c>
      <x:c r="D54" t="n">
        <x:f>COUNTIFS('Geniş Ürün Endeksi'!$F$4:$F$1714,A54,'Geniş Ürün Endeksi'!$H$4:$H$1714,"Erişildi")</x:f>
        <x:v>1</x:v>
      </x:c>
      <x:c r="E54" t="n">
        <x:f>COUNTIFS('Geniş Ürün Endeksi'!$F$4:$F$1714,A54,'Geniş Ürün Endeksi'!$H$4:$H$1714,"Erişildi",'Geniş Ürün Endeksi'!$J$4:$J$1714,"Erişildi")</x:f>
        <x:v>1</x:v>
      </x:c>
    </x:row>
    <x:row r="55">
      <x:c r="A55" t="str">
        <x:v>Kolombiya | Kosta Rika</x:v>
      </x:c>
      <x:c r="B55" t="n">
        <x:f>COUNTIFS('Geniş Ürün Endeksi'!$F$4:$F$1714,A55,'Geniş Ürün Endeksi'!$D$4:$D$1714,"Ürün kaydı")</x:f>
        <x:v>1</x:v>
      </x:c>
      <x:c r="C55" t="n">
        <x:f>COUNTIFS('Geniş Ürün Endeksi'!$F$4:$F$1714,A55,'Geniş Ürün Endeksi'!$J$4:$J$1714,"Erişildi")</x:f>
        <x:v>1</x:v>
      </x:c>
      <x:c r="D55" t="n">
        <x:f>COUNTIFS('Geniş Ürün Endeksi'!$F$4:$F$1714,A55,'Geniş Ürün Endeksi'!$H$4:$H$1714,"Erişildi")</x:f>
        <x:v>1</x:v>
      </x:c>
      <x:c r="E55" t="n">
        <x:f>COUNTIFS('Geniş Ürün Endeksi'!$F$4:$F$1714,A55,'Geniş Ürün Endeksi'!$H$4:$H$1714,"Erişildi",'Geniş Ürün Endeksi'!$J$4:$J$1714,"Erişildi")</x:f>
        <x:v>1</x:v>
      </x:c>
    </x:row>
    <x:row r="56">
      <x:c r="A56" t="str">
        <x:v>Kosta Rika</x:v>
      </x:c>
      <x:c r="B56" t="n">
        <x:f>COUNTIFS('Geniş Ürün Endeksi'!$F$4:$F$1714,A56,'Geniş Ürün Endeksi'!$D$4:$D$1714,"Ürün kaydı")</x:f>
        <x:v>24</x:v>
      </x:c>
      <x:c r="C56" t="n">
        <x:f>COUNTIFS('Geniş Ürün Endeksi'!$F$4:$F$1714,A56,'Geniş Ürün Endeksi'!$J$4:$J$1714,"Erişildi")</x:f>
        <x:v>21</x:v>
      </x:c>
      <x:c r="D56" t="n">
        <x:f>COUNTIFS('Geniş Ürün Endeksi'!$F$4:$F$1714,A56,'Geniş Ürün Endeksi'!$H$4:$H$1714,"Erişildi")</x:f>
        <x:v>13</x:v>
      </x:c>
      <x:c r="E56" t="n">
        <x:f>COUNTIFS('Geniş Ürün Endeksi'!$F$4:$F$1714,A56,'Geniş Ürün Endeksi'!$H$4:$H$1714,"Erişildi",'Geniş Ürün Endeksi'!$J$4:$J$1714,"Erişildi")</x:f>
        <x:v>12</x:v>
      </x:c>
    </x:row>
    <x:row r="57">
      <x:c r="A57" t="str">
        <x:v>Latin Amerika harmanı</x:v>
      </x:c>
      <x:c r="B57" t="n">
        <x:f>COUNTIFS('Geniş Ürün Endeksi'!$F$4:$F$1714,A57,'Geniş Ürün Endeksi'!$D$4:$D$1714,"Ürün kaydı")</x:f>
        <x:v>5</x:v>
      </x:c>
      <x:c r="C57" t="n">
        <x:f>COUNTIFS('Geniş Ürün Endeksi'!$F$4:$F$1714,A57,'Geniş Ürün Endeksi'!$J$4:$J$1714,"Erişildi")</x:f>
        <x:v>5</x:v>
      </x:c>
      <x:c r="D57" t="n">
        <x:f>COUNTIFS('Geniş Ürün Endeksi'!$F$4:$F$1714,A57,'Geniş Ürün Endeksi'!$H$4:$H$1714,"Erişildi")</x:f>
        <x:v>5</x:v>
      </x:c>
      <x:c r="E57" t="n">
        <x:f>COUNTIFS('Geniş Ürün Endeksi'!$F$4:$F$1714,A57,'Geniş Ürün Endeksi'!$H$4:$H$1714,"Erişildi",'Geniş Ürün Endeksi'!$J$4:$J$1714,"Erişildi")</x:f>
        <x:v>5</x:v>
      </x:c>
    </x:row>
    <x:row r="58">
      <x:c r="A58" t="str">
        <x:v>Meksika</x:v>
      </x:c>
      <x:c r="B58" t="n">
        <x:f>COUNTIFS('Geniş Ürün Endeksi'!$F$4:$F$1714,A58,'Geniş Ürün Endeksi'!$D$4:$D$1714,"Ürün kaydı")</x:f>
        <x:v>3</x:v>
      </x:c>
      <x:c r="C58" t="n">
        <x:f>COUNTIFS('Geniş Ürün Endeksi'!$F$4:$F$1714,A58,'Geniş Ürün Endeksi'!$J$4:$J$1714,"Erişildi")</x:f>
        <x:v>2</x:v>
      </x:c>
      <x:c r="D58" t="n">
        <x:f>COUNTIFS('Geniş Ürün Endeksi'!$F$4:$F$1714,A58,'Geniş Ürün Endeksi'!$H$4:$H$1714,"Erişildi")</x:f>
        <x:v>0</x:v>
      </x:c>
      <x:c r="E58" t="n">
        <x:f>COUNTIFS('Geniş Ürün Endeksi'!$F$4:$F$1714,A58,'Geniş Ürün Endeksi'!$H$4:$H$1714,"Erişildi",'Geniş Ürün Endeksi'!$J$4:$J$1714,"Erişildi")</x:f>
        <x:v>0</x:v>
      </x:c>
    </x:row>
    <x:row r="59">
      <x:c r="A59" t="str">
        <x:v>Menşe belirtilmemiş</x:v>
      </x:c>
      <x:c r="B59" t="n">
        <x:f>COUNTIFS('Geniş Ürün Endeksi'!$F$4:$F$1714,A59,'Geniş Ürün Endeksi'!$D$4:$D$1714,"Ürün kaydı")</x:f>
        <x:v>646</x:v>
      </x:c>
      <x:c r="C59" t="n">
        <x:f>COUNTIFS('Geniş Ürün Endeksi'!$F$4:$F$1714,A59,'Geniş Ürün Endeksi'!$J$4:$J$1714,"Erişildi")</x:f>
        <x:v>257</x:v>
      </x:c>
      <x:c r="D59" t="n">
        <x:f>COUNTIFS('Geniş Ürün Endeksi'!$F$4:$F$1714,A59,'Geniş Ürün Endeksi'!$H$4:$H$1714,"Erişildi")</x:f>
        <x:v>238</x:v>
      </x:c>
      <x:c r="E59" t="n">
        <x:f>COUNTIFS('Geniş Ürün Endeksi'!$F$4:$F$1714,A59,'Geniş Ürün Endeksi'!$H$4:$H$1714,"Erişildi",'Geniş Ürün Endeksi'!$J$4:$J$1714,"Erişildi")</x:f>
        <x:v>114</x:v>
      </x:c>
    </x:row>
    <x:row r="60">
      <x:c r="A60" t="str">
        <x:v>Nikaragua</x:v>
      </x:c>
      <x:c r="B60" t="n">
        <x:f>COUNTIFS('Geniş Ürün Endeksi'!$F$4:$F$1714,A60,'Geniş Ürün Endeksi'!$D$4:$D$1714,"Ürün kaydı")</x:f>
        <x:v>7</x:v>
      </x:c>
      <x:c r="C60" t="n">
        <x:f>COUNTIFS('Geniş Ürün Endeksi'!$F$4:$F$1714,A60,'Geniş Ürün Endeksi'!$J$4:$J$1714,"Erişildi")</x:f>
        <x:v>3</x:v>
      </x:c>
      <x:c r="D60" t="n">
        <x:f>COUNTIFS('Geniş Ürün Endeksi'!$F$4:$F$1714,A60,'Geniş Ürün Endeksi'!$H$4:$H$1714,"Erişildi")</x:f>
        <x:v>2</x:v>
      </x:c>
      <x:c r="E60" t="n">
        <x:f>COUNTIFS('Geniş Ürün Endeksi'!$F$4:$F$1714,A60,'Geniş Ürün Endeksi'!$H$4:$H$1714,"Erişildi",'Geniş Ürün Endeksi'!$J$4:$J$1714,"Erişildi")</x:f>
        <x:v>1</x:v>
      </x:c>
    </x:row>
    <x:row r="61">
      <x:c r="A61" t="str">
        <x:v>Panama</x:v>
      </x:c>
      <x:c r="B61" t="n">
        <x:f>COUNTIFS('Geniş Ürün Endeksi'!$F$4:$F$1714,A61,'Geniş Ürün Endeksi'!$D$4:$D$1714,"Ürün kaydı")</x:f>
        <x:v>6</x:v>
      </x:c>
      <x:c r="C61" t="n">
        <x:f>COUNTIFS('Geniş Ürün Endeksi'!$F$4:$F$1714,A61,'Geniş Ürün Endeksi'!$J$4:$J$1714,"Erişildi")</x:f>
        <x:v>5</x:v>
      </x:c>
      <x:c r="D61" t="n">
        <x:f>COUNTIFS('Geniş Ürün Endeksi'!$F$4:$F$1714,A61,'Geniş Ürün Endeksi'!$H$4:$H$1714,"Erişildi")</x:f>
        <x:v>4</x:v>
      </x:c>
      <x:c r="E61" t="n">
        <x:f>COUNTIFS('Geniş Ürün Endeksi'!$F$4:$F$1714,A61,'Geniş Ürün Endeksi'!$H$4:$H$1714,"Erişildi",'Geniş Ürün Endeksi'!$J$4:$J$1714,"Erişildi")</x:f>
        <x:v>4</x:v>
      </x:c>
    </x:row>
    <x:row r="62">
      <x:c r="A62" t="str">
        <x:v>Peru</x:v>
      </x:c>
      <x:c r="B62" t="n">
        <x:f>COUNTIFS('Geniş Ürün Endeksi'!$F$4:$F$1714,A62,'Geniş Ürün Endeksi'!$D$4:$D$1714,"Ürün kaydı")</x:f>
        <x:v>18</x:v>
      </x:c>
      <x:c r="C62" t="n">
        <x:f>COUNTIFS('Geniş Ürün Endeksi'!$F$4:$F$1714,A62,'Geniş Ürün Endeksi'!$J$4:$J$1714,"Erişildi")</x:f>
        <x:v>14</x:v>
      </x:c>
      <x:c r="D62" t="n">
        <x:f>COUNTIFS('Geniş Ürün Endeksi'!$F$4:$F$1714,A62,'Geniş Ürün Endeksi'!$H$4:$H$1714,"Erişildi")</x:f>
        <x:v>8</x:v>
      </x:c>
      <x:c r="E62" t="n">
        <x:f>COUNTIFS('Geniş Ürün Endeksi'!$F$4:$F$1714,A62,'Geniş Ürün Endeksi'!$H$4:$H$1714,"Erişildi",'Geniş Ürün Endeksi'!$J$4:$J$1714,"Erişildi")</x:f>
        <x:v>7</x:v>
      </x:c>
    </x:row>
    <x:row r="63">
      <x:c r="A63" t="str">
        <x:v>Peru | Hindistan</x:v>
      </x:c>
      <x:c r="B63" t="n">
        <x:f>COUNTIFS('Geniş Ürün Endeksi'!$F$4:$F$1714,A63,'Geniş Ürün Endeksi'!$D$4:$D$1714,"Ürün kaydı")</x:f>
        <x:v>1</x:v>
      </x:c>
      <x:c r="C63" t="n">
        <x:f>COUNTIFS('Geniş Ürün Endeksi'!$F$4:$F$1714,A63,'Geniş Ürün Endeksi'!$J$4:$J$1714,"Erişildi")</x:f>
        <x:v>1</x:v>
      </x:c>
      <x:c r="D63" t="n">
        <x:f>COUNTIFS('Geniş Ürün Endeksi'!$F$4:$F$1714,A63,'Geniş Ürün Endeksi'!$H$4:$H$1714,"Erişildi")</x:f>
        <x:v>1</x:v>
      </x:c>
      <x:c r="E63" t="n">
        <x:f>COUNTIFS('Geniş Ürün Endeksi'!$F$4:$F$1714,A63,'Geniş Ürün Endeksi'!$H$4:$H$1714,"Erişildi",'Geniş Ürün Endeksi'!$J$4:$J$1714,"Erişildi")</x:f>
        <x:v>1</x:v>
      </x:c>
    </x:row>
    <x:row r="64">
      <x:c r="A64" t="str">
        <x:v>Ruanda</x:v>
      </x:c>
      <x:c r="B64" t="n">
        <x:f>COUNTIFS('Geniş Ürün Endeksi'!$F$4:$F$1714,A64,'Geniş Ürün Endeksi'!$D$4:$D$1714,"Ürün kaydı")</x:f>
        <x:v>17</x:v>
      </x:c>
      <x:c r="C64" t="n">
        <x:f>COUNTIFS('Geniş Ürün Endeksi'!$F$4:$F$1714,A64,'Geniş Ürün Endeksi'!$J$4:$J$1714,"Erişildi")</x:f>
        <x:v>14</x:v>
      </x:c>
      <x:c r="D64" t="n">
        <x:f>COUNTIFS('Geniş Ürün Endeksi'!$F$4:$F$1714,A64,'Geniş Ürün Endeksi'!$H$4:$H$1714,"Erişildi")</x:f>
        <x:v>9</x:v>
      </x:c>
      <x:c r="E64" t="n">
        <x:f>COUNTIFS('Geniş Ürün Endeksi'!$F$4:$F$1714,A64,'Geniş Ürün Endeksi'!$H$4:$H$1714,"Erişildi",'Geniş Ürün Endeksi'!$J$4:$J$1714,"Erişildi")</x:f>
        <x:v>8</x:v>
      </x:c>
    </x:row>
    <x:row r="65">
      <x:c r="A65" t="str">
        <x:v>Tanzanya</x:v>
      </x:c>
      <x:c r="B65" t="n">
        <x:f>COUNTIFS('Geniş Ürün Endeksi'!$F$4:$F$1714,A65,'Geniş Ürün Endeksi'!$D$4:$D$1714,"Ürün kaydı")</x:f>
        <x:v>10</x:v>
      </x:c>
      <x:c r="C65" t="n">
        <x:f>COUNTIFS('Geniş Ürün Endeksi'!$F$4:$F$1714,A65,'Geniş Ürün Endeksi'!$J$4:$J$1714,"Erişildi")</x:f>
        <x:v>7</x:v>
      </x:c>
      <x:c r="D65" t="n">
        <x:f>COUNTIFS('Geniş Ürün Endeksi'!$F$4:$F$1714,A65,'Geniş Ürün Endeksi'!$H$4:$H$1714,"Erişildi")</x:f>
        <x:v>5</x:v>
      </x:c>
      <x:c r="E65" t="n">
        <x:f>COUNTIFS('Geniş Ürün Endeksi'!$F$4:$F$1714,A65,'Geniş Ürün Endeksi'!$H$4:$H$1714,"Erişildi",'Geniş Ürün Endeksi'!$J$4:$J$1714,"Erişildi")</x:f>
        <x:v>5</x:v>
      </x:c>
    </x:row>
    <x:row r="66">
      <x:c r="A66" t="str">
        <x:v>Türkiye (ürün sayfası beyanı)</x:v>
      </x:c>
      <x:c r="B66" t="n">
        <x:f>COUNTIFS('Geniş Ürün Endeksi'!$F$4:$F$1714,A66,'Geniş Ürün Endeksi'!$D$4:$D$1714,"Ürün kaydı")</x:f>
        <x:v>1</x:v>
      </x:c>
      <x:c r="C66" t="n">
        <x:f>COUNTIFS('Geniş Ürün Endeksi'!$F$4:$F$1714,A66,'Geniş Ürün Endeksi'!$J$4:$J$1714,"Erişildi")</x:f>
        <x:v>1</x:v>
      </x:c>
      <x:c r="D66" t="n">
        <x:f>COUNTIFS('Geniş Ürün Endeksi'!$F$4:$F$1714,A66,'Geniş Ürün Endeksi'!$H$4:$H$1714,"Erişildi")</x:f>
        <x:v>1</x:v>
      </x:c>
      <x:c r="E66" t="n">
        <x:f>COUNTIFS('Geniş Ürün Endeksi'!$F$4:$F$1714,A66,'Geniş Ürün Endeksi'!$H$4:$H$1714,"Erişildi",'Geniş Ürün Endeksi'!$J$4:$J$1714,"Erişildi")</x:f>
        <x:v>1</x:v>
      </x:c>
    </x:row>
    <x:row r="67">
      <x:c r="A67" t="str">
        <x:v>Uganda</x:v>
      </x:c>
      <x:c r="B67" t="n">
        <x:f>COUNTIFS('Geniş Ürün Endeksi'!$F$4:$F$1714,A67,'Geniş Ürün Endeksi'!$D$4:$D$1714,"Ürün kaydı")</x:f>
        <x:v>1</x:v>
      </x:c>
      <x:c r="C67" t="n">
        <x:f>COUNTIFS('Geniş Ürün Endeksi'!$F$4:$F$1714,A67,'Geniş Ürün Endeksi'!$J$4:$J$1714,"Erişildi")</x:f>
        <x:v>1</x:v>
      </x:c>
      <x:c r="D67" t="n">
        <x:f>COUNTIFS('Geniş Ürün Endeksi'!$F$4:$F$1714,A67,'Geniş Ürün Endeksi'!$H$4:$H$1714,"Erişildi")</x:f>
        <x:v>1</x:v>
      </x:c>
      <x:c r="E67" t="n">
        <x:f>COUNTIFS('Geniş Ürün Endeksi'!$F$4:$F$1714,A67,'Geniş Ürün Endeksi'!$H$4:$H$1714,"Erişildi",'Geniş Ürün Endeksi'!$J$4:$J$1714,"Erişildi")</x:f>
        <x:v>1</x:v>
      </x:c>
    </x:row>
    <x:row r="68">
      <x:c r="A68" t="str">
        <x:v>Yemen</x:v>
      </x:c>
      <x:c r="B68" t="n">
        <x:f>COUNTIFS('Geniş Ürün Endeksi'!$F$4:$F$1714,A68,'Geniş Ürün Endeksi'!$D$4:$D$1714,"Ürün kaydı")</x:f>
        <x:v>3</x:v>
      </x:c>
      <x:c r="C68" t="n">
        <x:f>COUNTIFS('Geniş Ürün Endeksi'!$F$4:$F$1714,A68,'Geniş Ürün Endeksi'!$J$4:$J$1714,"Erişildi")</x:f>
        <x:v>1</x:v>
      </x:c>
      <x:c r="D68" t="n">
        <x:f>COUNTIFS('Geniş Ürün Endeksi'!$F$4:$F$1714,A68,'Geniş Ürün Endeksi'!$H$4:$H$1714,"Erişildi")</x:f>
        <x:v>0</x:v>
      </x:c>
      <x:c r="E68" t="n">
        <x:f>COUNTIFS('Geniş Ürün Endeksi'!$F$4:$F$1714,A68,'Geniş Ürün Endeksi'!$H$4:$H$1714,"Erişildi",'Geniş Ürün Endeksi'!$J$4:$J$1714,"Erişildi")</x:f>
        <x:v>0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b3116344da341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96" hidden="0" customWidth="1"/>
  </x:cols>
  <x:sheetData>
    <x:row r="1">
      <x:c r="A1" s="5" t="str">
        <x:v>Filtresiz geniş kahve ürün endeksi özeti</x:v>
      </x:c>
      <x:c r="B1" s="5"/>
      <x:c r="C1" s="5"/>
      <x:c r="D1" s="5"/>
      <x:c r="E1" s="5"/>
      <x:c r="F1" s="5"/>
    </x:row>
    <x:row r="3">
      <x:c r="A3" s="30" t="str">
        <x:v>Gösterge</x:v>
      </x:c>
      <x:c r="B3" s="30" t="str">
        <x:v>Değer</x:v>
      </x:c>
    </x:row>
    <x:row r="4">
      <x:c r="A4" t="str">
        <x:v>Kapsanan işletme</x:v>
      </x:c>
      <x:c r="B4" t="n">
        <x:v>151</x:v>
      </x:c>
    </x:row>
    <x:row r="5">
      <x:c r="A5" t="str">
        <x:v>Adlandırılmış ürün bulunan işletme</x:v>
      </x:c>
      <x:c r="B5" t="n">
        <x:v>69</x:v>
      </x:c>
    </x:row>
    <x:row r="6">
      <x:c r="A6" t="str">
        <x:v>Bunlardan doğrulanmış işletme</x:v>
      </x:c>
      <x:c r="B6" t="n">
        <x:v>50</x:v>
      </x:c>
    </x:row>
    <x:row r="7">
      <x:c r="A7" t="str">
        <x:v>Yalnız katalog/takip bağlantısı</x:v>
      </x:c>
      <x:c r="B7" t="n">
        <x:v>82</x:v>
      </x:c>
    </x:row>
    <x:row r="8">
      <x:c r="A8" t="str">
        <x:v>Toplam ana tablo satırı</x:v>
      </x:c>
      <x:c r="B8" t="n">
        <x:v>1711</x:v>
      </x:c>
    </x:row>
    <x:row r="9">
      <x:c r="A9" t="str">
        <x:v>Ürün kayıtları</x:v>
      </x:c>
      <x:c r="B9" t="n">
        <x:v>1629</x:v>
      </x:c>
    </x:row>
    <x:row r="10">
      <x:c r="A10" t="str">
        <x:v>Katalog takip kayıtları</x:v>
      </x:c>
      <x:c r="B10" t="n">
        <x:v>82</x:v>
      </x:c>
    </x:row>
    <x:row r="11">
      <x:c r="A11" t="str">
        <x:v>Fiyatı erişilemeyen satır</x:v>
      </x:c>
      <x:c r="B11" t="n">
        <x:v>670</x:v>
      </x:c>
    </x:row>
    <x:row r="12">
      <x:c r="A12" t="str">
        <x:v>Gramajı erişilemeyen satır</x:v>
      </x:c>
      <x:c r="B12" t="n">
        <x:v>840</x:v>
      </x:c>
    </x:row>
    <x:row r="13">
      <x:c r="A13" t="str">
        <x:v>Her ikisi erişilen satır</x:v>
      </x:c>
      <x:c r="B13" t="n">
        <x:v>657</x:v>
      </x:c>
    </x:row>
    <x:row r="14">
      <x:c r="A14" t="str">
        <x:v>Menşe sınıfı</x:v>
      </x:c>
      <x:c r="B14" t="n">
        <x:v>65</x:v>
      </x:c>
    </x:row>
    <x:row r="15">
      <x:c r="A15" t="str">
        <x:v>Kontrol tarihi</x:v>
      </x:c>
      <x:c r="B15" s="3" t="n">
        <x:v>46245</x:v>
      </x:c>
    </x:row>
    <x:row r="17">
      <x:c r="A17" s="22" t="str">
        <x:v>Yorum</x:v>
      </x:c>
      <x:c r="B17" s="23" t="str">
        <x:v>Açıklama</x:v>
      </x:c>
    </x:row>
    <x:row r="18">
      <x:c r="A18" t="str">
        <x:v>Kayıt yaklaşımı</x:v>
      </x:c>
      <x:c r="B18" s="28" t="str">
        <x:v>Fiyat ve gramaj eksikliği ürünün veya işletmenin dışlanmasına yol açmaz.</x:v>
      </x:c>
    </x:row>
    <x:row r="19">
      <x:c r="A19" t="str">
        <x:v>Katalog satırı</x:v>
      </x:c>
      <x:c r="B19" s="28" t="str">
        <x:v>Ürün adı çıkarılamayan işletmeler mağaza/Instagram bağlantısıyla korunur.</x:v>
      </x:c>
    </x:row>
    <x:row r="20">
      <x:c r="A20" t="str">
        <x:v>TL/kg</x:v>
      </x:c>
      <x:c r="B20" s="28" t="str">
        <x:v>Yalnız gramaj ve fiyat birlikte sayısal olduğunda hesaplanır.</x:v>
      </x:c>
    </x:row>
    <x:row r="21">
      <x:c r="A21" t="str">
        <x:v>Kapsam sınırı</x:v>
      </x:c>
      <x:c r="B21" s="28" t="str">
        <x:v>Adlandırılmış ürün bulunmayan işletmeler manuel katalog incelemesi gerektirir.</x:v>
      </x:c>
    </x:row>
  </x:sheetData>
  <x:mergeCells>
    <x:mergeCell ref="A1:F1"/>
  </x:mergeCells>
  <x:pageMargins left="0.7" right="0.7" top="0.75" bottom="0.75" header="0.3" footer="0.3"/>
</x:worksheet>
</file>